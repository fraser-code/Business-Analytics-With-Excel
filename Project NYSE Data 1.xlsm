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2.xml" ContentType="application/vnd.openxmlformats-officedocument.spreadsheetml.pivotTable+xml"/>
  <Override PartName="/xl/drawings/drawing5.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Ex3.xml" ContentType="application/vnd.ms-office.chartex+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202300"/>
  <mc:AlternateContent xmlns:mc="http://schemas.openxmlformats.org/markup-compatibility/2006">
    <mc:Choice Requires="x15">
      <x15ac:absPath xmlns:x15ac="http://schemas.microsoft.com/office/spreadsheetml/2010/11/ac" url="C:\Users\frase\Desktop\Data Science\Udacity\Udacity Business Analytics\Module 2\Project\Final Submission\"/>
    </mc:Choice>
  </mc:AlternateContent>
  <xr:revisionPtr revIDLastSave="0" documentId="13_ncr:1_{18B5BD2C-ED92-4562-8BCB-663E5A67A866}" xr6:coauthVersionLast="47" xr6:coauthVersionMax="47" xr10:uidLastSave="{00000000-0000-0000-0000-000000000000}"/>
  <bookViews>
    <workbookView xWindow="-120" yWindow="-120" windowWidth="29040" windowHeight="15720" xr2:uid="{A8609709-47B2-4CE3-9ED4-43FD986D5D4E}"/>
  </bookViews>
  <sheets>
    <sheet name="Overview of Sectors" sheetId="4" r:id="rId1"/>
    <sheet name="projectdata-nyse" sheetId="2" r:id="rId2"/>
    <sheet name="Question 1" sheetId="18" r:id="rId3"/>
    <sheet name="Question 2" sheetId="6" r:id="rId4"/>
    <sheet name="PNL Statement Dashboard" sheetId="16" r:id="rId5"/>
    <sheet name="PNL Forecast (Year 5 &amp; 6)" sheetId="1" r:id="rId6"/>
    <sheet name="Question 3" sheetId="5" r:id="rId7"/>
    <sheet name="IT Pivot Table" sheetId="12" r:id="rId8"/>
    <sheet name="IGNORE &gt;" sheetId="24" r:id="rId9"/>
    <sheet name="For Drop down" sheetId="3" r:id="rId10"/>
    <sheet name="Consumer Discretionary" sheetId="19" r:id="rId11"/>
    <sheet name="Consumer Staples" sheetId="20" r:id="rId12"/>
    <sheet name="IT" sheetId="11" r:id="rId13"/>
    <sheet name="HC Avg Op exp" sheetId="7" r:id="rId14"/>
    <sheet name="E Avg Op Exp" sheetId="9" r:id="rId15"/>
    <sheet name="CS Avg Op Exp" sheetId="8" r:id="rId16"/>
  </sheets>
  <functionGroups builtInGroupCount="19"/>
  <definedNames>
    <definedName name="_xlchart.v1.0" hidden="1">'Consumer Discretionary'!$D$2:$D$77</definedName>
    <definedName name="_xlchart.v1.1" hidden="1">'Consumer Discretionary'!$I$2</definedName>
    <definedName name="_xlchart.v1.10" hidden="1">'Question 2'!$P$11</definedName>
    <definedName name="_xlchart.v1.11" hidden="1">IT!$J$130</definedName>
    <definedName name="_xlchart.v1.12" hidden="1">IT!$J$144</definedName>
    <definedName name="_xlchart.v1.13" hidden="1">IT!$J$156</definedName>
    <definedName name="_xlchart.v1.14" hidden="1">IT!$J$168</definedName>
    <definedName name="_xlchart.v1.15" hidden="1">IT!$J$18</definedName>
    <definedName name="_xlchart.v1.16" hidden="1">IT!$J$2</definedName>
    <definedName name="_xlchart.v1.17" hidden="1">IT!$J$217</definedName>
    <definedName name="_xlchart.v1.18" hidden="1">IT!$J$225</definedName>
    <definedName name="_xlchart.v1.19" hidden="1">IT!$J$228</definedName>
    <definedName name="_xlchart.v1.2" hidden="1">'Consumer Staples'!$D$2:$D$34</definedName>
    <definedName name="_xlchart.v1.20" hidden="1">IT!$J$26</definedName>
    <definedName name="_xlchart.v1.21" hidden="1">IT!$J$34</definedName>
    <definedName name="_xlchart.v1.22" hidden="1">IT!$J$42</definedName>
    <definedName name="_xlchart.v1.23" hidden="1">IT!$J$50</definedName>
    <definedName name="_xlchart.v1.24" hidden="1">IT!$J$54</definedName>
    <definedName name="_xlchart.v1.25" hidden="1">IT!$J$58</definedName>
    <definedName name="_xlchart.v1.26" hidden="1">IT!$J$66</definedName>
    <definedName name="_xlchart.v1.27" hidden="1">IT!$L$130:$L$143</definedName>
    <definedName name="_xlchart.v1.28" hidden="1">IT!$L$144:$L$155</definedName>
    <definedName name="_xlchart.v1.29" hidden="1">IT!$L$156:$L$167</definedName>
    <definedName name="_xlchart.v1.3" hidden="1">'Consumer Staples'!$I$2</definedName>
    <definedName name="_xlchart.v1.30" hidden="1">IT!$L$168:$L$216</definedName>
    <definedName name="_xlchart.v1.31" hidden="1">IT!$L$18:$L$25</definedName>
    <definedName name="_xlchart.v1.32" hidden="1">IT!$L$217:$L$224</definedName>
    <definedName name="_xlchart.v1.33" hidden="1">IT!$L$225:$L$227</definedName>
    <definedName name="_xlchart.v1.34" hidden="1">IT!$L$228:$L$231</definedName>
    <definedName name="_xlchart.v1.35" hidden="1">IT!$L$26:$L$33</definedName>
    <definedName name="_xlchart.v1.36" hidden="1">IT!$L$2:$L$17</definedName>
    <definedName name="_xlchart.v1.37" hidden="1">IT!$L$2:$L$231</definedName>
    <definedName name="_xlchart.v1.38" hidden="1">IT!$L$34:$L$41</definedName>
    <definedName name="_xlchart.v1.39" hidden="1">IT!$L$42:$L$49</definedName>
    <definedName name="_xlchart.v1.4" hidden="1">'CS Avg Op Exp'!$I$2</definedName>
    <definedName name="_xlchart.v1.40" hidden="1">IT!$L$50:$L$53</definedName>
    <definedName name="_xlchart.v1.41" hidden="1">IT!$L$54:$L$57</definedName>
    <definedName name="_xlchart.v1.42" hidden="1">IT!$L$58:$L$65</definedName>
    <definedName name="_xlchart.v1.43" hidden="1">IT!$L$66:$L$129</definedName>
    <definedName name="_xlchart.v1.5" hidden="1">'CS Avg Op Exp'!$L$2:$L$34</definedName>
    <definedName name="_xlchart.v1.6" hidden="1">'E Avg Op Exp'!$I$2</definedName>
    <definedName name="_xlchart.v1.7" hidden="1">'E Avg Op Exp'!$L$2:$L$32</definedName>
    <definedName name="_xlchart.v1.8" hidden="1">'HC Avg Op exp'!$I$2</definedName>
    <definedName name="_xlchart.v1.9" hidden="1">'HC Avg Op exp'!$L$2:$L$48</definedName>
    <definedName name="_xleta.AVERAGE" hidden="1" xlm="1">#NAME?</definedName>
    <definedName name="_xleta.EXP" hidden="1" xlm="1">#NAME?</definedName>
    <definedName name="_xleta.FLOOR" hidden="1" xlm="1">#NAME?</definedName>
    <definedName name="_xleta.MAX" hidden="1" xlm="1">#NAME?</definedName>
    <definedName name="_xleta.MEDIAN" hidden="1" xlm="1">#NAME?</definedName>
    <definedName name="_xleta.MIN" hidden="1" xlm="1">#NAME?</definedName>
    <definedName name="_xleta.PERCENTILE.INC" hidden="1" xlm="1">#NAME?</definedName>
    <definedName name="_xleta.SKEW" hidden="1" xlm="1">#NAME?</definedName>
    <definedName name="_xleta.STDEV.P" hidden="1" xlm="1">#NAME?</definedName>
    <definedName name="_xleta.TEXT" hidden="1" xlm="1">#NAME?</definedName>
    <definedName name="Case">'For Drop down'!$E$3:$E$5</definedName>
    <definedName name="COGS">'projectdata-nyse'!$E$2:$E$461</definedName>
    <definedName name="CSOPEXP">'CS Avg Op Exp'!$L$2:$L$34</definedName>
    <definedName name="EOPEXP">'E Avg Op Exp'!$L$2:$L$32</definedName>
    <definedName name="HCOPEXP">'HC Avg Op exp'!$L$2:$L$48</definedName>
    <definedName name="op_exp">'projectdata-nyse'!$H$2:$H$1711</definedName>
    <definedName name="RND">'projectdata-nyse'!$G$2:$G$1711</definedName>
    <definedName name="SGAs">'projectdata-nyse'!$F$2:$F$1711</definedName>
    <definedName name="ticker_symbol">'projectdata-nyse'!$A$2:$A$1711</definedName>
    <definedName name="TICKETSYMBOL">'For Drop down'!$C$3:$C$432</definedName>
    <definedName name="total_rev">'projectdata-nyse'!$D$2:$D$1711</definedName>
    <definedName name="year">'projectdata-nyse'!$B$2:$B$1711</definedName>
    <definedName name="yr">'For Drop down'!$G$3:$G$6</definedName>
  </definedNames>
  <calcPr calcId="191029"/>
  <pivotCaches>
    <pivotCache cacheId="0" r:id="rId17"/>
    <pivotCache cacheId="1" r:id="rId18"/>
    <pivotCache cacheId="2" r:id="rId1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4" i="2" l="1"/>
  <c r="C19" i="1"/>
  <c r="K103" i="12" a="1"/>
  <c r="K103" i="12" s="1"/>
  <c r="K104" i="12" a="1"/>
  <c r="K104" i="12" s="1"/>
  <c r="K102" i="12" a="1"/>
  <c r="K102" i="12" s="1"/>
  <c r="K101" i="12" a="1"/>
  <c r="K101" i="12" s="1"/>
  <c r="K100" i="12" a="1"/>
  <c r="K100" i="12" s="1"/>
  <c r="K99" i="12" a="1"/>
  <c r="K99" i="12" s="1"/>
  <c r="K98" i="12" a="1"/>
  <c r="K98" i="12" s="1"/>
  <c r="K97" i="12" a="1"/>
  <c r="K97" i="12" s="1"/>
  <c r="K96" i="12" a="1"/>
  <c r="K96" i="12" s="1"/>
  <c r="K95" i="12" a="1"/>
  <c r="K95" i="12" s="1"/>
  <c r="K94" i="12" a="1"/>
  <c r="K94" i="12" s="1"/>
  <c r="K93" i="12" a="1"/>
  <c r="K93" i="12" s="1"/>
  <c r="K92" i="12" a="1"/>
  <c r="K92" i="12" s="1"/>
  <c r="K91" i="12" a="1"/>
  <c r="K91" i="12" s="1"/>
  <c r="K90" i="12" a="1"/>
  <c r="K90" i="12" s="1"/>
  <c r="K89" i="12" a="1"/>
  <c r="K89" i="12" s="1"/>
  <c r="J90" i="12" a="1"/>
  <c r="J90" i="12" s="1"/>
  <c r="J91" i="12" a="1"/>
  <c r="J91" i="12" s="1"/>
  <c r="J92" i="12" a="1"/>
  <c r="J92" i="12" s="1"/>
  <c r="J93" i="12" a="1"/>
  <c r="J93" i="12" s="1"/>
  <c r="J94" i="12" a="1"/>
  <c r="J94" i="12" s="1"/>
  <c r="J95" i="12" a="1"/>
  <c r="J95" i="12" s="1"/>
  <c r="J96" i="12" a="1"/>
  <c r="J96" i="12" s="1"/>
  <c r="J97" i="12" a="1"/>
  <c r="J97" i="12" s="1"/>
  <c r="J98" i="12" a="1"/>
  <c r="J98" i="12" s="1"/>
  <c r="J99" i="12" a="1"/>
  <c r="J99" i="12" s="1"/>
  <c r="J100" i="12" a="1"/>
  <c r="J100" i="12" s="1"/>
  <c r="J101" i="12" a="1"/>
  <c r="J101" i="12" s="1"/>
  <c r="J102" i="12" a="1"/>
  <c r="J102" i="12" s="1"/>
  <c r="J103" i="12" a="1"/>
  <c r="J103" i="12" s="1"/>
  <c r="J104" i="12" a="1"/>
  <c r="J104" i="12" s="1"/>
  <c r="K87" i="12"/>
  <c r="C17" i="16"/>
  <c r="V6" i="18"/>
  <c r="V7" i="18"/>
  <c r="V8" i="18"/>
  <c r="V9" i="18"/>
  <c r="V10" i="18"/>
  <c r="V11" i="18"/>
  <c r="V12" i="18"/>
  <c r="V13" i="18"/>
  <c r="V14" i="18"/>
  <c r="V5" i="18"/>
  <c r="Q6" i="18"/>
  <c r="Q7" i="18"/>
  <c r="Q8" i="18"/>
  <c r="Q9" i="18"/>
  <c r="Q10" i="18"/>
  <c r="Q11" i="18"/>
  <c r="Q12" i="18"/>
  <c r="Q13" i="18"/>
  <c r="Q14" i="18"/>
  <c r="Q5" i="18"/>
  <c r="K11" i="6"/>
  <c r="K10" i="6"/>
  <c r="K4" i="6"/>
  <c r="G4" i="6"/>
  <c r="E4" i="6"/>
  <c r="D4" i="6"/>
  <c r="K8" i="6"/>
  <c r="F4" i="6"/>
  <c r="B5" i="6"/>
  <c r="R5" i="18"/>
  <c r="L7" i="6"/>
  <c r="K7" i="6"/>
  <c r="M5" i="6"/>
  <c r="L5" i="6"/>
  <c r="K5" i="6"/>
  <c r="M11" i="6"/>
  <c r="M10" i="6"/>
  <c r="M8" i="6"/>
  <c r="M7" i="6"/>
  <c r="M6" i="6"/>
  <c r="M4" i="6"/>
  <c r="M12" i="6"/>
  <c r="L11" i="6"/>
  <c r="L10" i="6"/>
  <c r="L8" i="6"/>
  <c r="L6" i="6"/>
  <c r="L4" i="6"/>
  <c r="L12" i="6"/>
  <c r="K6" i="6"/>
  <c r="K12" i="6"/>
  <c r="M13" i="6"/>
  <c r="L13" i="6"/>
  <c r="K13" i="6"/>
  <c r="I90" i="12" a="1"/>
  <c r="I90" i="12" s="1"/>
  <c r="I91" i="12" a="1"/>
  <c r="I91" i="12" s="1"/>
  <c r="I92" i="12" a="1"/>
  <c r="I92" i="12" s="1"/>
  <c r="I93" i="12" a="1"/>
  <c r="I93" i="12" s="1"/>
  <c r="I94" i="12" a="1"/>
  <c r="I94" i="12" s="1"/>
  <c r="I95" i="12" a="1"/>
  <c r="I95" i="12" s="1"/>
  <c r="I96" i="12" a="1"/>
  <c r="I96" i="12" s="1"/>
  <c r="I97" i="12" a="1"/>
  <c r="I97" i="12" s="1"/>
  <c r="I98" i="12" a="1"/>
  <c r="I98" i="12" s="1"/>
  <c r="I99" i="12" a="1"/>
  <c r="I99" i="12" s="1"/>
  <c r="I100" i="12" a="1"/>
  <c r="I100" i="12" s="1"/>
  <c r="I101" i="12" a="1"/>
  <c r="I101" i="12" s="1"/>
  <c r="I102" i="12" a="1"/>
  <c r="I102" i="12" s="1"/>
  <c r="I103" i="12" a="1"/>
  <c r="I103" i="12" s="1"/>
  <c r="I104" i="12" a="1"/>
  <c r="I104" i="12" s="1"/>
  <c r="I89" i="12" a="1"/>
  <c r="I89" i="12" s="1"/>
  <c r="J89" i="12" a="1"/>
  <c r="J89" i="12" s="1"/>
  <c r="H96" i="12" a="1"/>
  <c r="H96" i="12" s="1"/>
  <c r="J87" i="12"/>
  <c r="H104" i="12" a="1"/>
  <c r="H104" i="12" s="1"/>
  <c r="H103" i="12" a="1"/>
  <c r="H103" i="12" s="1"/>
  <c r="H102" i="12" a="1"/>
  <c r="H102" i="12" s="1"/>
  <c r="H101" i="12" a="1"/>
  <c r="H101" i="12" s="1"/>
  <c r="H100" i="12" a="1"/>
  <c r="H100" i="12" s="1"/>
  <c r="H99" i="12" a="1"/>
  <c r="H99" i="12" s="1"/>
  <c r="H98" i="12" a="1"/>
  <c r="H98" i="12" s="1"/>
  <c r="H97" i="12" a="1"/>
  <c r="H97" i="12" s="1"/>
  <c r="H95" i="12" a="1"/>
  <c r="H95" i="12" s="1"/>
  <c r="H94" i="12" a="1"/>
  <c r="H94" i="12" s="1"/>
  <c r="H93" i="12" a="1"/>
  <c r="H93" i="12" s="1"/>
  <c r="H92" i="12" a="1"/>
  <c r="H92" i="12" s="1"/>
  <c r="H91" i="12" a="1"/>
  <c r="H91" i="12" s="1"/>
  <c r="H90" i="12" a="1"/>
  <c r="H90" i="12" s="1"/>
  <c r="H89" i="12" a="1"/>
  <c r="H89" i="12" s="1"/>
  <c r="G89" i="12" a="1"/>
  <c r="G89" i="12" s="1"/>
  <c r="H87" i="12"/>
  <c r="G87" i="12"/>
  <c r="N2" i="20"/>
  <c r="T6" i="18"/>
  <c r="T7" i="18" s="1"/>
  <c r="O6" i="18"/>
  <c r="E14" i="18"/>
  <c r="E13" i="18"/>
  <c r="D14" i="18"/>
  <c r="D13" i="18"/>
  <c r="N3" i="20"/>
  <c r="N4" i="20"/>
  <c r="N5" i="20"/>
  <c r="N6" i="20"/>
  <c r="N7" i="20"/>
  <c r="N8" i="20"/>
  <c r="N9" i="20"/>
  <c r="N10" i="20"/>
  <c r="N11" i="20"/>
  <c r="N12" i="20"/>
  <c r="N13" i="20"/>
  <c r="N14" i="20"/>
  <c r="N15" i="20"/>
  <c r="N16" i="20"/>
  <c r="N17" i="20"/>
  <c r="N18" i="20"/>
  <c r="N19" i="20"/>
  <c r="N20" i="20"/>
  <c r="N21" i="20"/>
  <c r="N22" i="20"/>
  <c r="N23" i="20"/>
  <c r="N24" i="20"/>
  <c r="N25" i="20"/>
  <c r="N26" i="20"/>
  <c r="N27" i="20"/>
  <c r="N28" i="20"/>
  <c r="N29" i="20"/>
  <c r="N30" i="20"/>
  <c r="N31" i="20"/>
  <c r="N32" i="20"/>
  <c r="N33" i="20"/>
  <c r="N34" i="20"/>
  <c r="N2" i="19"/>
  <c r="N3" i="19"/>
  <c r="N4" i="19"/>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N58" i="19"/>
  <c r="N59" i="19"/>
  <c r="N60" i="19"/>
  <c r="N61" i="19"/>
  <c r="N62" i="19"/>
  <c r="N63" i="19"/>
  <c r="N64" i="19"/>
  <c r="N65" i="19"/>
  <c r="N66" i="19"/>
  <c r="N67" i="19"/>
  <c r="N68" i="19"/>
  <c r="N69" i="19"/>
  <c r="N70" i="19"/>
  <c r="N71" i="19"/>
  <c r="N72" i="19"/>
  <c r="N73" i="19"/>
  <c r="N74" i="19"/>
  <c r="N75" i="19"/>
  <c r="N76" i="19"/>
  <c r="N77" i="19"/>
  <c r="E4" i="18"/>
  <c r="D4" i="18"/>
  <c r="E5" i="18"/>
  <c r="E12" i="18"/>
  <c r="E11" i="18"/>
  <c r="E9" i="18"/>
  <c r="E7" i="18"/>
  <c r="E6" i="18"/>
  <c r="E8" i="18"/>
  <c r="D8" i="18"/>
  <c r="D6" i="18"/>
  <c r="D5" i="18"/>
  <c r="D9" i="18"/>
  <c r="D12" i="18"/>
  <c r="D7" i="18"/>
  <c r="D11" i="18"/>
  <c r="L3" i="3" a="1"/>
  <c r="L3" i="3" s="1"/>
  <c r="J3" i="3" a="1"/>
  <c r="J3" i="3" s="1"/>
  <c r="C89" i="12" a="1"/>
  <c r="C89" i="12" s="1"/>
  <c r="C5" i="16" a="1"/>
  <c r="C5" i="16" s="1"/>
  <c r="C15" i="16" s="1"/>
  <c r="D9" i="16" a="1"/>
  <c r="D9" i="16" s="1"/>
  <c r="E9" i="16" a="1"/>
  <c r="E9" i="16" s="1"/>
  <c r="F9" i="16" a="1"/>
  <c r="F9" i="16" s="1"/>
  <c r="C9" i="16" a="1"/>
  <c r="C9" i="16" s="1"/>
  <c r="D8" i="16" a="1"/>
  <c r="D8" i="16" s="1"/>
  <c r="E8" i="16" a="1"/>
  <c r="E8" i="16" s="1"/>
  <c r="F8" i="16" a="1"/>
  <c r="F8" i="16" s="1"/>
  <c r="C8" i="16" a="1"/>
  <c r="C8" i="16" s="1"/>
  <c r="F7" i="16" a="1"/>
  <c r="F7" i="16" s="1"/>
  <c r="D7" i="16" a="1"/>
  <c r="D7" i="16" s="1"/>
  <c r="E7" i="16" a="1"/>
  <c r="E7" i="16" s="1"/>
  <c r="C7" i="16" a="1"/>
  <c r="C7" i="16" s="1"/>
  <c r="D5" i="16" a="1"/>
  <c r="D5" i="16" s="1"/>
  <c r="E5" i="16" a="1"/>
  <c r="E5" i="16" s="1"/>
  <c r="F5" i="16" a="1"/>
  <c r="F5" i="16" s="1"/>
  <c r="D4" i="16" a="1"/>
  <c r="D4" i="16" s="1"/>
  <c r="E4" i="16" a="1"/>
  <c r="E4" i="16" s="1"/>
  <c r="F4" i="16" a="1"/>
  <c r="F4" i="16" s="1"/>
  <c r="C4" i="16" a="1"/>
  <c r="C4" i="16" s="1"/>
  <c r="D8" i="1" a="1"/>
  <c r="D8" i="1" s="1"/>
  <c r="I87" i="12"/>
  <c r="E89" i="12" a="1"/>
  <c r="E89" i="12" s="1"/>
  <c r="C90" i="12" a="1"/>
  <c r="C90" i="12" s="1"/>
  <c r="C91" i="12" a="1"/>
  <c r="C91" i="12" s="1"/>
  <c r="C92" i="12" a="1"/>
  <c r="C92" i="12" s="1"/>
  <c r="C93" i="12" a="1"/>
  <c r="C93" i="12" s="1"/>
  <c r="C94" i="12" a="1"/>
  <c r="C94" i="12" s="1"/>
  <c r="C95" i="12" a="1"/>
  <c r="C95" i="12" s="1"/>
  <c r="C96" i="12" a="1"/>
  <c r="C96" i="12" s="1"/>
  <c r="C97" i="12" a="1"/>
  <c r="C97" i="12" s="1"/>
  <c r="C98" i="12" a="1"/>
  <c r="C98" i="12" s="1"/>
  <c r="C99" i="12" a="1"/>
  <c r="C99" i="12" s="1"/>
  <c r="C100" i="12" a="1"/>
  <c r="C100" i="12" s="1"/>
  <c r="C101" i="12" a="1"/>
  <c r="C101" i="12" s="1"/>
  <c r="C102" i="12" a="1"/>
  <c r="C102" i="12" s="1"/>
  <c r="C103" i="12" a="1"/>
  <c r="C103" i="12" s="1"/>
  <c r="C104" i="12" a="1"/>
  <c r="C104" i="12" s="1"/>
  <c r="G90" i="12" a="1"/>
  <c r="G90" i="12" s="1"/>
  <c r="G91" i="12" a="1"/>
  <c r="G91" i="12" s="1"/>
  <c r="G92" i="12" a="1"/>
  <c r="G92" i="12" s="1"/>
  <c r="G93" i="12" a="1"/>
  <c r="G93" i="12" s="1"/>
  <c r="G94" i="12" a="1"/>
  <c r="G94" i="12" s="1"/>
  <c r="G95" i="12" a="1"/>
  <c r="G95" i="12" s="1"/>
  <c r="G96" i="12" a="1"/>
  <c r="G96" i="12" s="1"/>
  <c r="G97" i="12" a="1"/>
  <c r="G97" i="12" s="1"/>
  <c r="G98" i="12" a="1"/>
  <c r="G98" i="12" s="1"/>
  <c r="G99" i="12" a="1"/>
  <c r="G99" i="12" s="1"/>
  <c r="G100" i="12" a="1"/>
  <c r="G100" i="12" s="1"/>
  <c r="G101" i="12" a="1"/>
  <c r="G101" i="12" s="1"/>
  <c r="G102" i="12" a="1"/>
  <c r="G102" i="12" s="1"/>
  <c r="G103" i="12" a="1"/>
  <c r="G103" i="12" s="1"/>
  <c r="G104" i="12" a="1"/>
  <c r="G104" i="12" s="1"/>
  <c r="F89" i="12" a="1"/>
  <c r="F89" i="12" s="1"/>
  <c r="D92" i="12" a="1"/>
  <c r="D92" i="12" s="1"/>
  <c r="D90" i="12" a="1"/>
  <c r="D90" i="12" s="1"/>
  <c r="D89" i="12" a="1"/>
  <c r="D89" i="12" s="1"/>
  <c r="D91" i="12" a="1"/>
  <c r="D91" i="12" s="1"/>
  <c r="D93" i="12" a="1"/>
  <c r="D93" i="12" s="1"/>
  <c r="D94" i="12" a="1"/>
  <c r="D94" i="12" s="1"/>
  <c r="D95" i="12" a="1"/>
  <c r="D95" i="12" s="1"/>
  <c r="D96" i="12" a="1"/>
  <c r="D96" i="12" s="1"/>
  <c r="D97" i="12" a="1"/>
  <c r="D97" i="12" s="1"/>
  <c r="D98" i="12" a="1"/>
  <c r="D98" i="12" s="1"/>
  <c r="D99" i="12" a="1"/>
  <c r="D99" i="12" s="1"/>
  <c r="D100" i="12" a="1"/>
  <c r="D100" i="12" s="1"/>
  <c r="D101" i="12" a="1"/>
  <c r="D101" i="12" s="1"/>
  <c r="D102" i="12" a="1"/>
  <c r="D102" i="12" s="1"/>
  <c r="D103" i="12" a="1"/>
  <c r="D103" i="12" s="1"/>
  <c r="D104" i="12" a="1"/>
  <c r="D104" i="12" s="1"/>
  <c r="F90" i="12" a="1"/>
  <c r="F90" i="12" s="1"/>
  <c r="F91" i="12" a="1"/>
  <c r="F91" i="12" s="1"/>
  <c r="F92" i="12" a="1"/>
  <c r="F92" i="12" s="1"/>
  <c r="F93" i="12" a="1"/>
  <c r="F93" i="12" s="1"/>
  <c r="F94" i="12" a="1"/>
  <c r="F94" i="12" s="1"/>
  <c r="F95" i="12" a="1"/>
  <c r="F95" i="12" s="1"/>
  <c r="F96" i="12" a="1"/>
  <c r="F96" i="12" s="1"/>
  <c r="F97" i="12" a="1"/>
  <c r="F97" i="12" s="1"/>
  <c r="F98" i="12" a="1"/>
  <c r="F98" i="12" s="1"/>
  <c r="F99" i="12" a="1"/>
  <c r="F99" i="12" s="1"/>
  <c r="F100" i="12" a="1"/>
  <c r="F100" i="12" s="1"/>
  <c r="F101" i="12" a="1"/>
  <c r="F101" i="12" s="1"/>
  <c r="F102" i="12" a="1"/>
  <c r="F102" i="12" s="1"/>
  <c r="F103" i="12" a="1"/>
  <c r="F103" i="12" s="1"/>
  <c r="F104" i="12" a="1"/>
  <c r="F104" i="12" s="1"/>
  <c r="F87" i="12"/>
  <c r="E90" i="12" a="1"/>
  <c r="E90" i="12" s="1"/>
  <c r="E91" i="12" a="1"/>
  <c r="E91" i="12" s="1"/>
  <c r="E92" i="12" a="1"/>
  <c r="E92" i="12" s="1"/>
  <c r="E93" i="12" a="1"/>
  <c r="E93" i="12" s="1"/>
  <c r="E94" i="12" a="1"/>
  <c r="E94" i="12" s="1"/>
  <c r="E95" i="12" a="1"/>
  <c r="E95" i="12" s="1"/>
  <c r="E96" i="12" a="1"/>
  <c r="E96" i="12" s="1"/>
  <c r="E97" i="12" a="1"/>
  <c r="E97" i="12" s="1"/>
  <c r="E98" i="12" a="1"/>
  <c r="E98" i="12" s="1"/>
  <c r="E99" i="12" a="1"/>
  <c r="E99" i="12" s="1"/>
  <c r="E100" i="12" a="1"/>
  <c r="E100" i="12" s="1"/>
  <c r="E101" i="12" a="1"/>
  <c r="E101" i="12" s="1"/>
  <c r="E102" i="12" a="1"/>
  <c r="E102" i="12" s="1"/>
  <c r="E103" i="12" a="1"/>
  <c r="E103" i="12" s="1"/>
  <c r="E104" i="12" a="1"/>
  <c r="E104" i="12" s="1"/>
  <c r="E87" i="12"/>
  <c r="D87" i="12"/>
  <c r="C87" i="12"/>
  <c r="N156" i="11"/>
  <c r="N157" i="11"/>
  <c r="N158" i="11"/>
  <c r="N159" i="11"/>
  <c r="N42" i="11"/>
  <c r="N43" i="11"/>
  <c r="N44" i="11"/>
  <c r="N45" i="11"/>
  <c r="N58" i="11"/>
  <c r="N59" i="11"/>
  <c r="N60" i="11"/>
  <c r="N61" i="11"/>
  <c r="N172" i="11"/>
  <c r="N173" i="11"/>
  <c r="N70" i="11"/>
  <c r="N71" i="11"/>
  <c r="N72" i="11"/>
  <c r="N73" i="11"/>
  <c r="N144" i="11"/>
  <c r="N145" i="11"/>
  <c r="N146" i="11"/>
  <c r="N147" i="11"/>
  <c r="N130" i="11"/>
  <c r="N131" i="11"/>
  <c r="N132" i="11"/>
  <c r="N133" i="11"/>
  <c r="N134" i="11"/>
  <c r="N135" i="11"/>
  <c r="N74" i="11"/>
  <c r="N75" i="11"/>
  <c r="N76" i="11"/>
  <c r="N77" i="11"/>
  <c r="N62" i="11"/>
  <c r="N63" i="11"/>
  <c r="N64" i="11"/>
  <c r="N65" i="11"/>
  <c r="N78" i="11"/>
  <c r="N79" i="11"/>
  <c r="N80" i="11"/>
  <c r="N81" i="11"/>
  <c r="N82" i="11"/>
  <c r="N83" i="11"/>
  <c r="N84" i="11"/>
  <c r="N85" i="11"/>
  <c r="N148" i="11"/>
  <c r="N149" i="11"/>
  <c r="N150" i="11"/>
  <c r="N151" i="11"/>
  <c r="N86" i="11"/>
  <c r="N87" i="11"/>
  <c r="N88" i="11"/>
  <c r="N89" i="11"/>
  <c r="N90" i="11"/>
  <c r="N91" i="11"/>
  <c r="N92" i="11"/>
  <c r="N93" i="11"/>
  <c r="N50" i="11"/>
  <c r="N51" i="11"/>
  <c r="N52" i="11"/>
  <c r="N53" i="11"/>
  <c r="N174" i="11"/>
  <c r="N175" i="11"/>
  <c r="N176" i="11"/>
  <c r="N177" i="11"/>
  <c r="N46" i="11"/>
  <c r="N47" i="11"/>
  <c r="N48" i="11"/>
  <c r="N49" i="11"/>
  <c r="N38" i="11"/>
  <c r="N39" i="11"/>
  <c r="N40" i="11"/>
  <c r="N41" i="11"/>
  <c r="N225" i="11"/>
  <c r="N226" i="11"/>
  <c r="N227" i="11"/>
  <c r="N22" i="11"/>
  <c r="N23" i="11"/>
  <c r="N24" i="11"/>
  <c r="N25" i="11"/>
  <c r="N228" i="11"/>
  <c r="N229" i="11"/>
  <c r="N230" i="11"/>
  <c r="N231" i="11"/>
  <c r="N136" i="11"/>
  <c r="N137" i="11"/>
  <c r="N138" i="11"/>
  <c r="N139" i="11"/>
  <c r="N178" i="11"/>
  <c r="N179" i="11"/>
  <c r="N180" i="11"/>
  <c r="N181" i="11"/>
  <c r="N94" i="11"/>
  <c r="N95" i="11"/>
  <c r="N96" i="11"/>
  <c r="N97" i="11"/>
  <c r="N152" i="11"/>
  <c r="N153" i="11"/>
  <c r="N154" i="11"/>
  <c r="N155" i="11"/>
  <c r="N160" i="11"/>
  <c r="N161" i="11"/>
  <c r="N162" i="11"/>
  <c r="N163" i="11"/>
  <c r="N182" i="11"/>
  <c r="N183" i="11"/>
  <c r="N184" i="11"/>
  <c r="N185" i="11"/>
  <c r="N164" i="11"/>
  <c r="N165" i="11"/>
  <c r="N166" i="11"/>
  <c r="N167" i="11"/>
  <c r="N98" i="11"/>
  <c r="N99" i="11"/>
  <c r="N100" i="11"/>
  <c r="N101" i="11"/>
  <c r="N186" i="11"/>
  <c r="N187" i="11"/>
  <c r="N188" i="11"/>
  <c r="N189" i="11"/>
  <c r="N217" i="11"/>
  <c r="N218" i="11"/>
  <c r="N219" i="11"/>
  <c r="N220" i="11"/>
  <c r="N190" i="11"/>
  <c r="N191" i="11"/>
  <c r="N192" i="11"/>
  <c r="N193" i="11"/>
  <c r="N102" i="11"/>
  <c r="N103" i="11"/>
  <c r="N104" i="11"/>
  <c r="N105" i="11"/>
  <c r="N106" i="11"/>
  <c r="N107" i="11"/>
  <c r="N108" i="11"/>
  <c r="N109" i="11"/>
  <c r="N194" i="11"/>
  <c r="N195" i="11"/>
  <c r="N196" i="11"/>
  <c r="N197" i="11"/>
  <c r="N198" i="11"/>
  <c r="N199" i="11"/>
  <c r="N200" i="11"/>
  <c r="N201" i="11"/>
  <c r="N202" i="11"/>
  <c r="N203" i="11"/>
  <c r="N204" i="11"/>
  <c r="N221" i="11"/>
  <c r="N222" i="11"/>
  <c r="N223" i="11"/>
  <c r="N224" i="11"/>
  <c r="N26" i="11"/>
  <c r="N27" i="11"/>
  <c r="N28" i="11"/>
  <c r="N29" i="11"/>
  <c r="N205" i="11"/>
  <c r="N206" i="11"/>
  <c r="N207" i="11"/>
  <c r="N208" i="11"/>
  <c r="N10" i="11"/>
  <c r="N11" i="11"/>
  <c r="N12" i="11"/>
  <c r="N13" i="11"/>
  <c r="N14" i="11"/>
  <c r="N15" i="11"/>
  <c r="N16" i="11"/>
  <c r="N17" i="11"/>
  <c r="N54" i="11"/>
  <c r="N55" i="11"/>
  <c r="N56" i="11"/>
  <c r="N57" i="11"/>
  <c r="N110" i="11"/>
  <c r="N111" i="11"/>
  <c r="N112" i="11"/>
  <c r="N113" i="11"/>
  <c r="N209" i="11"/>
  <c r="N210" i="11"/>
  <c r="N211" i="11"/>
  <c r="N212" i="11"/>
  <c r="N114" i="11"/>
  <c r="N115" i="11"/>
  <c r="N116" i="11"/>
  <c r="N117" i="11"/>
  <c r="N118" i="11"/>
  <c r="N119" i="11"/>
  <c r="N120" i="11"/>
  <c r="N121" i="11"/>
  <c r="N30" i="11"/>
  <c r="N31" i="11"/>
  <c r="N32" i="11"/>
  <c r="N33" i="11"/>
  <c r="N122" i="11"/>
  <c r="N123" i="11"/>
  <c r="N124" i="11"/>
  <c r="N125" i="11"/>
  <c r="N213" i="11"/>
  <c r="N214" i="11"/>
  <c r="N215" i="11"/>
  <c r="N216" i="11"/>
  <c r="N140" i="11"/>
  <c r="N141" i="11"/>
  <c r="N142" i="11"/>
  <c r="N143" i="11"/>
  <c r="N126" i="11"/>
  <c r="N127" i="11"/>
  <c r="N128" i="11"/>
  <c r="N129" i="11"/>
  <c r="N20" i="11"/>
  <c r="N21" i="11"/>
  <c r="N2" i="11"/>
  <c r="N3" i="11"/>
  <c r="N4" i="11"/>
  <c r="N5" i="11"/>
  <c r="N168" i="11"/>
  <c r="N169" i="11"/>
  <c r="N170" i="11"/>
  <c r="N171" i="11"/>
  <c r="N34" i="11"/>
  <c r="N35" i="11"/>
  <c r="N36" i="11"/>
  <c r="N37" i="11"/>
  <c r="N6" i="11"/>
  <c r="N7" i="11"/>
  <c r="N8" i="11"/>
  <c r="N9" i="11"/>
  <c r="N66" i="11"/>
  <c r="N67" i="11"/>
  <c r="N68" i="11"/>
  <c r="N69" i="11"/>
  <c r="N18" i="11"/>
  <c r="N19" i="11"/>
  <c r="H19" i="4"/>
  <c r="L2" i="2"/>
  <c r="L3" i="2"/>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L293" i="2"/>
  <c r="L294" i="2"/>
  <c r="L295" i="2"/>
  <c r="L296" i="2"/>
  <c r="L297" i="2"/>
  <c r="L298" i="2"/>
  <c r="L299" i="2"/>
  <c r="L300" i="2"/>
  <c r="L301" i="2"/>
  <c r="L302" i="2"/>
  <c r="L303" i="2"/>
  <c r="L304" i="2"/>
  <c r="L305" i="2"/>
  <c r="L306" i="2"/>
  <c r="L307" i="2"/>
  <c r="L308" i="2"/>
  <c r="L309" i="2"/>
  <c r="L310" i="2"/>
  <c r="L311" i="2"/>
  <c r="L312" i="2"/>
  <c r="L313" i="2"/>
  <c r="L314" i="2"/>
  <c r="L315" i="2"/>
  <c r="L316" i="2"/>
  <c r="L317" i="2"/>
  <c r="L318" i="2"/>
  <c r="L319" i="2"/>
  <c r="L320" i="2"/>
  <c r="L321" i="2"/>
  <c r="L322" i="2"/>
  <c r="L323" i="2"/>
  <c r="L324" i="2"/>
  <c r="L325" i="2"/>
  <c r="L326" i="2"/>
  <c r="L327" i="2"/>
  <c r="L328" i="2"/>
  <c r="L329" i="2"/>
  <c r="L330" i="2"/>
  <c r="L331" i="2"/>
  <c r="L332" i="2"/>
  <c r="L333" i="2"/>
  <c r="L334" i="2"/>
  <c r="L335" i="2"/>
  <c r="L336" i="2"/>
  <c r="L337" i="2"/>
  <c r="L338" i="2"/>
  <c r="L339" i="2"/>
  <c r="L340" i="2"/>
  <c r="L341" i="2"/>
  <c r="L342" i="2"/>
  <c r="L343" i="2"/>
  <c r="L344" i="2"/>
  <c r="L345" i="2"/>
  <c r="L346" i="2"/>
  <c r="L347" i="2"/>
  <c r="L348" i="2"/>
  <c r="L349" i="2"/>
  <c r="L350" i="2"/>
  <c r="L351" i="2"/>
  <c r="L352" i="2"/>
  <c r="L353" i="2"/>
  <c r="L354" i="2"/>
  <c r="L355" i="2"/>
  <c r="L356" i="2"/>
  <c r="L357" i="2"/>
  <c r="L358" i="2"/>
  <c r="L359" i="2"/>
  <c r="L360" i="2"/>
  <c r="L361" i="2"/>
  <c r="L362" i="2"/>
  <c r="L363" i="2"/>
  <c r="L364" i="2"/>
  <c r="L365" i="2"/>
  <c r="L366" i="2"/>
  <c r="L367" i="2"/>
  <c r="L368" i="2"/>
  <c r="L369" i="2"/>
  <c r="L370" i="2"/>
  <c r="L371" i="2"/>
  <c r="L372" i="2"/>
  <c r="L373" i="2"/>
  <c r="L374" i="2"/>
  <c r="L375" i="2"/>
  <c r="L376" i="2"/>
  <c r="L377" i="2"/>
  <c r="L378" i="2"/>
  <c r="L379" i="2"/>
  <c r="L380" i="2"/>
  <c r="L381" i="2"/>
  <c r="L382" i="2"/>
  <c r="L383" i="2"/>
  <c r="L384" i="2"/>
  <c r="L385" i="2"/>
  <c r="L386" i="2"/>
  <c r="L387" i="2"/>
  <c r="L388" i="2"/>
  <c r="L389" i="2"/>
  <c r="L390" i="2"/>
  <c r="L391" i="2"/>
  <c r="L392" i="2"/>
  <c r="L393" i="2"/>
  <c r="L394" i="2"/>
  <c r="L395" i="2"/>
  <c r="L396" i="2"/>
  <c r="L397" i="2"/>
  <c r="L398" i="2"/>
  <c r="L399" i="2"/>
  <c r="L400" i="2"/>
  <c r="L401" i="2"/>
  <c r="L402" i="2"/>
  <c r="L403" i="2"/>
  <c r="L404" i="2"/>
  <c r="L405" i="2"/>
  <c r="L406" i="2"/>
  <c r="L407" i="2"/>
  <c r="L408" i="2"/>
  <c r="L409" i="2"/>
  <c r="L410" i="2"/>
  <c r="L411" i="2"/>
  <c r="L412" i="2"/>
  <c r="L413" i="2"/>
  <c r="L414" i="2"/>
  <c r="L415" i="2"/>
  <c r="L416" i="2"/>
  <c r="L417" i="2"/>
  <c r="L418" i="2"/>
  <c r="L419" i="2"/>
  <c r="L420" i="2"/>
  <c r="L421" i="2"/>
  <c r="L422" i="2"/>
  <c r="L423" i="2"/>
  <c r="L424" i="2"/>
  <c r="L425" i="2"/>
  <c r="L426" i="2"/>
  <c r="L427" i="2"/>
  <c r="L428" i="2"/>
  <c r="L429" i="2"/>
  <c r="L430" i="2"/>
  <c r="L431" i="2"/>
  <c r="L432" i="2"/>
  <c r="L433" i="2"/>
  <c r="L434" i="2"/>
  <c r="L435" i="2"/>
  <c r="L436" i="2"/>
  <c r="L437" i="2"/>
  <c r="L438" i="2"/>
  <c r="L439" i="2"/>
  <c r="L440" i="2"/>
  <c r="L441" i="2"/>
  <c r="L442" i="2"/>
  <c r="L443" i="2"/>
  <c r="L444" i="2"/>
  <c r="L445" i="2"/>
  <c r="L446" i="2"/>
  <c r="L447" i="2"/>
  <c r="L448" i="2"/>
  <c r="L449" i="2"/>
  <c r="L450" i="2"/>
  <c r="L451" i="2"/>
  <c r="L452" i="2"/>
  <c r="L453" i="2"/>
  <c r="L454" i="2"/>
  <c r="L455" i="2"/>
  <c r="L456" i="2"/>
  <c r="L457" i="2"/>
  <c r="L458" i="2"/>
  <c r="L459" i="2"/>
  <c r="L460" i="2"/>
  <c r="L461" i="2"/>
  <c r="L462" i="2"/>
  <c r="L463" i="2"/>
  <c r="L464" i="2"/>
  <c r="L465" i="2"/>
  <c r="L466" i="2"/>
  <c r="L467" i="2"/>
  <c r="L468" i="2"/>
  <c r="L469" i="2"/>
  <c r="L470" i="2"/>
  <c r="L471" i="2"/>
  <c r="L472" i="2"/>
  <c r="L473" i="2"/>
  <c r="L474" i="2"/>
  <c r="L475" i="2"/>
  <c r="L476" i="2"/>
  <c r="L477" i="2"/>
  <c r="L478" i="2"/>
  <c r="L479" i="2"/>
  <c r="L480" i="2"/>
  <c r="L481" i="2"/>
  <c r="L482" i="2"/>
  <c r="L483" i="2"/>
  <c r="L484" i="2"/>
  <c r="L485" i="2"/>
  <c r="L486" i="2"/>
  <c r="L487" i="2"/>
  <c r="L488" i="2"/>
  <c r="L489" i="2"/>
  <c r="L490" i="2"/>
  <c r="L491" i="2"/>
  <c r="L492" i="2"/>
  <c r="L493" i="2"/>
  <c r="L494" i="2"/>
  <c r="L495" i="2"/>
  <c r="L496" i="2"/>
  <c r="L497" i="2"/>
  <c r="L498" i="2"/>
  <c r="L499" i="2"/>
  <c r="L500" i="2"/>
  <c r="L501" i="2"/>
  <c r="L502" i="2"/>
  <c r="L503" i="2"/>
  <c r="L504" i="2"/>
  <c r="L505" i="2"/>
  <c r="L506" i="2"/>
  <c r="L507" i="2"/>
  <c r="L508" i="2"/>
  <c r="L509" i="2"/>
  <c r="L510" i="2"/>
  <c r="L511" i="2"/>
  <c r="L512" i="2"/>
  <c r="L513" i="2"/>
  <c r="L514" i="2"/>
  <c r="L515" i="2"/>
  <c r="L516" i="2"/>
  <c r="L517" i="2"/>
  <c r="L518" i="2"/>
  <c r="L519" i="2"/>
  <c r="L520" i="2"/>
  <c r="L521" i="2"/>
  <c r="L522" i="2"/>
  <c r="L523" i="2"/>
  <c r="L524" i="2"/>
  <c r="L525" i="2"/>
  <c r="L526" i="2"/>
  <c r="L527" i="2"/>
  <c r="L528" i="2"/>
  <c r="L529" i="2"/>
  <c r="L530" i="2"/>
  <c r="L531" i="2"/>
  <c r="L532" i="2"/>
  <c r="L533" i="2"/>
  <c r="L534" i="2"/>
  <c r="L535" i="2"/>
  <c r="L536" i="2"/>
  <c r="L537" i="2"/>
  <c r="L538" i="2"/>
  <c r="L539" i="2"/>
  <c r="L540" i="2"/>
  <c r="L541" i="2"/>
  <c r="L542" i="2"/>
  <c r="L543" i="2"/>
  <c r="L544" i="2"/>
  <c r="L545" i="2"/>
  <c r="L546" i="2"/>
  <c r="L547" i="2"/>
  <c r="L548" i="2"/>
  <c r="L549" i="2"/>
  <c r="L550" i="2"/>
  <c r="L551" i="2"/>
  <c r="L552" i="2"/>
  <c r="L553" i="2"/>
  <c r="L554" i="2"/>
  <c r="L555" i="2"/>
  <c r="L556" i="2"/>
  <c r="L557" i="2"/>
  <c r="L558" i="2"/>
  <c r="L559" i="2"/>
  <c r="L560" i="2"/>
  <c r="L561" i="2"/>
  <c r="L562" i="2"/>
  <c r="L563" i="2"/>
  <c r="L564" i="2"/>
  <c r="L565" i="2"/>
  <c r="L566" i="2"/>
  <c r="L567" i="2"/>
  <c r="L568" i="2"/>
  <c r="L569" i="2"/>
  <c r="L570" i="2"/>
  <c r="L571" i="2"/>
  <c r="L572" i="2"/>
  <c r="L573" i="2"/>
  <c r="L574" i="2"/>
  <c r="L575" i="2"/>
  <c r="L576" i="2"/>
  <c r="L577" i="2"/>
  <c r="L578" i="2"/>
  <c r="L579" i="2"/>
  <c r="L580" i="2"/>
  <c r="L581" i="2"/>
  <c r="L582" i="2"/>
  <c r="L583" i="2"/>
  <c r="L584" i="2"/>
  <c r="L585" i="2"/>
  <c r="L586" i="2"/>
  <c r="L587" i="2"/>
  <c r="L588" i="2"/>
  <c r="L589" i="2"/>
  <c r="L590" i="2"/>
  <c r="L591" i="2"/>
  <c r="L592" i="2"/>
  <c r="L593" i="2"/>
  <c r="L594" i="2"/>
  <c r="L595" i="2"/>
  <c r="L596" i="2"/>
  <c r="L597" i="2"/>
  <c r="L598" i="2"/>
  <c r="L599" i="2"/>
  <c r="L600" i="2"/>
  <c r="L601" i="2"/>
  <c r="L602" i="2"/>
  <c r="L603" i="2"/>
  <c r="L604" i="2"/>
  <c r="L605" i="2"/>
  <c r="L606" i="2"/>
  <c r="L607" i="2"/>
  <c r="L608" i="2"/>
  <c r="L609" i="2"/>
  <c r="L610" i="2"/>
  <c r="L611" i="2"/>
  <c r="L612" i="2"/>
  <c r="L613" i="2"/>
  <c r="L614" i="2"/>
  <c r="L615" i="2"/>
  <c r="L616" i="2"/>
  <c r="L617" i="2"/>
  <c r="L618" i="2"/>
  <c r="L619" i="2"/>
  <c r="L620" i="2"/>
  <c r="L621" i="2"/>
  <c r="L622" i="2"/>
  <c r="L623" i="2"/>
  <c r="L624" i="2"/>
  <c r="L625" i="2"/>
  <c r="L626" i="2"/>
  <c r="L627" i="2"/>
  <c r="L628" i="2"/>
  <c r="L629" i="2"/>
  <c r="L630" i="2"/>
  <c r="L631" i="2"/>
  <c r="L632" i="2"/>
  <c r="L633" i="2"/>
  <c r="L634" i="2"/>
  <c r="L635" i="2"/>
  <c r="L636" i="2"/>
  <c r="L637" i="2"/>
  <c r="L638" i="2"/>
  <c r="L639" i="2"/>
  <c r="L640" i="2"/>
  <c r="L641" i="2"/>
  <c r="L642" i="2"/>
  <c r="L643" i="2"/>
  <c r="L644" i="2"/>
  <c r="L645" i="2"/>
  <c r="L646" i="2"/>
  <c r="L647" i="2"/>
  <c r="L648" i="2"/>
  <c r="L649" i="2"/>
  <c r="L650" i="2"/>
  <c r="L651" i="2"/>
  <c r="L652" i="2"/>
  <c r="L653" i="2"/>
  <c r="L654" i="2"/>
  <c r="L655" i="2"/>
  <c r="L656" i="2"/>
  <c r="L657" i="2"/>
  <c r="L658" i="2"/>
  <c r="L659" i="2"/>
  <c r="L660" i="2"/>
  <c r="L661" i="2"/>
  <c r="L662" i="2"/>
  <c r="L663" i="2"/>
  <c r="L664" i="2"/>
  <c r="L665" i="2"/>
  <c r="L666" i="2"/>
  <c r="L667" i="2"/>
  <c r="L668" i="2"/>
  <c r="L669" i="2"/>
  <c r="L670" i="2"/>
  <c r="L671" i="2"/>
  <c r="L672" i="2"/>
  <c r="L673" i="2"/>
  <c r="L674" i="2"/>
  <c r="L675" i="2"/>
  <c r="L676" i="2"/>
  <c r="L677" i="2"/>
  <c r="L678" i="2"/>
  <c r="L679" i="2"/>
  <c r="L680" i="2"/>
  <c r="L681" i="2"/>
  <c r="L682" i="2"/>
  <c r="L683" i="2"/>
  <c r="L684" i="2"/>
  <c r="L685" i="2"/>
  <c r="L686" i="2"/>
  <c r="L687" i="2"/>
  <c r="L688" i="2"/>
  <c r="L689" i="2"/>
  <c r="L690" i="2"/>
  <c r="L691" i="2"/>
  <c r="L692" i="2"/>
  <c r="L693" i="2"/>
  <c r="L694" i="2"/>
  <c r="L695" i="2"/>
  <c r="L696" i="2"/>
  <c r="L697" i="2"/>
  <c r="L698" i="2"/>
  <c r="L699" i="2"/>
  <c r="L700" i="2"/>
  <c r="L701" i="2"/>
  <c r="L702" i="2"/>
  <c r="L703" i="2"/>
  <c r="L704" i="2"/>
  <c r="L705" i="2"/>
  <c r="L706" i="2"/>
  <c r="L707" i="2"/>
  <c r="L708" i="2"/>
  <c r="L709" i="2"/>
  <c r="L710" i="2"/>
  <c r="L711" i="2"/>
  <c r="L712" i="2"/>
  <c r="L713" i="2"/>
  <c r="L714" i="2"/>
  <c r="L715" i="2"/>
  <c r="L716" i="2"/>
  <c r="L717" i="2"/>
  <c r="L718" i="2"/>
  <c r="L719" i="2"/>
  <c r="L720" i="2"/>
  <c r="L721" i="2"/>
  <c r="L722" i="2"/>
  <c r="L723" i="2"/>
  <c r="L724" i="2"/>
  <c r="L725" i="2"/>
  <c r="L726" i="2"/>
  <c r="L727" i="2"/>
  <c r="L728" i="2"/>
  <c r="L729" i="2"/>
  <c r="L730" i="2"/>
  <c r="L731" i="2"/>
  <c r="L732" i="2"/>
  <c r="L733" i="2"/>
  <c r="L734" i="2"/>
  <c r="L735" i="2"/>
  <c r="L736" i="2"/>
  <c r="L737" i="2"/>
  <c r="L738" i="2"/>
  <c r="L739" i="2"/>
  <c r="L740" i="2"/>
  <c r="L741" i="2"/>
  <c r="L742" i="2"/>
  <c r="L743" i="2"/>
  <c r="L744" i="2"/>
  <c r="L745" i="2"/>
  <c r="L746" i="2"/>
  <c r="L747" i="2"/>
  <c r="L748" i="2"/>
  <c r="L749" i="2"/>
  <c r="L750" i="2"/>
  <c r="L751" i="2"/>
  <c r="L752" i="2"/>
  <c r="L753" i="2"/>
  <c r="L754" i="2"/>
  <c r="L755" i="2"/>
  <c r="L756" i="2"/>
  <c r="L757" i="2"/>
  <c r="L758" i="2"/>
  <c r="L759" i="2"/>
  <c r="L760" i="2"/>
  <c r="L761" i="2"/>
  <c r="L762" i="2"/>
  <c r="L763" i="2"/>
  <c r="L764" i="2"/>
  <c r="L765" i="2"/>
  <c r="L766" i="2"/>
  <c r="L767" i="2"/>
  <c r="L768" i="2"/>
  <c r="L769" i="2"/>
  <c r="L770" i="2"/>
  <c r="L771" i="2"/>
  <c r="L772" i="2"/>
  <c r="L773" i="2"/>
  <c r="L774" i="2"/>
  <c r="L775" i="2"/>
  <c r="L776" i="2"/>
  <c r="L777" i="2"/>
  <c r="L778" i="2"/>
  <c r="L779" i="2"/>
  <c r="L780" i="2"/>
  <c r="L781" i="2"/>
  <c r="L782" i="2"/>
  <c r="L783" i="2"/>
  <c r="L784" i="2"/>
  <c r="L785" i="2"/>
  <c r="L786" i="2"/>
  <c r="L787" i="2"/>
  <c r="L788" i="2"/>
  <c r="L789" i="2"/>
  <c r="L790" i="2"/>
  <c r="L791" i="2"/>
  <c r="L792" i="2"/>
  <c r="L793" i="2"/>
  <c r="L794" i="2"/>
  <c r="L795" i="2"/>
  <c r="L796" i="2"/>
  <c r="L797" i="2"/>
  <c r="L798" i="2"/>
  <c r="L799" i="2"/>
  <c r="L800" i="2"/>
  <c r="L801" i="2"/>
  <c r="L802" i="2"/>
  <c r="L803" i="2"/>
  <c r="L804" i="2"/>
  <c r="L805" i="2"/>
  <c r="L806" i="2"/>
  <c r="L807" i="2"/>
  <c r="L808" i="2"/>
  <c r="L809" i="2"/>
  <c r="L810" i="2"/>
  <c r="L811" i="2"/>
  <c r="L812" i="2"/>
  <c r="L813" i="2"/>
  <c r="L814" i="2"/>
  <c r="L815" i="2"/>
  <c r="L816" i="2"/>
  <c r="L817" i="2"/>
  <c r="L818" i="2"/>
  <c r="L819" i="2"/>
  <c r="L820" i="2"/>
  <c r="L821" i="2"/>
  <c r="L822" i="2"/>
  <c r="L823" i="2"/>
  <c r="L824" i="2"/>
  <c r="L825" i="2"/>
  <c r="L826" i="2"/>
  <c r="L827" i="2"/>
  <c r="L828" i="2"/>
  <c r="L829" i="2"/>
  <c r="L830" i="2"/>
  <c r="L831" i="2"/>
  <c r="L832" i="2"/>
  <c r="L833" i="2"/>
  <c r="L834" i="2"/>
  <c r="L835" i="2"/>
  <c r="L836" i="2"/>
  <c r="L837" i="2"/>
  <c r="L838" i="2"/>
  <c r="L839" i="2"/>
  <c r="L840" i="2"/>
  <c r="L841" i="2"/>
  <c r="L842" i="2"/>
  <c r="L843" i="2"/>
  <c r="L844" i="2"/>
  <c r="L845" i="2"/>
  <c r="L846" i="2"/>
  <c r="L847" i="2"/>
  <c r="L848" i="2"/>
  <c r="L849" i="2"/>
  <c r="L850" i="2"/>
  <c r="L851" i="2"/>
  <c r="L852" i="2"/>
  <c r="L853" i="2"/>
  <c r="L854" i="2"/>
  <c r="L855" i="2"/>
  <c r="L856" i="2"/>
  <c r="L857" i="2"/>
  <c r="L858" i="2"/>
  <c r="L859" i="2"/>
  <c r="L860" i="2"/>
  <c r="L861" i="2"/>
  <c r="L862" i="2"/>
  <c r="L863" i="2"/>
  <c r="L864" i="2"/>
  <c r="L865" i="2"/>
  <c r="L866" i="2"/>
  <c r="L867" i="2"/>
  <c r="L868" i="2"/>
  <c r="L869" i="2"/>
  <c r="L870" i="2"/>
  <c r="L871" i="2"/>
  <c r="L872" i="2"/>
  <c r="L873" i="2"/>
  <c r="L874" i="2"/>
  <c r="L875" i="2"/>
  <c r="L876" i="2"/>
  <c r="L877" i="2"/>
  <c r="L878" i="2"/>
  <c r="L879" i="2"/>
  <c r="L880" i="2"/>
  <c r="L881" i="2"/>
  <c r="L882" i="2"/>
  <c r="L883" i="2"/>
  <c r="L884" i="2"/>
  <c r="L885" i="2"/>
  <c r="L886" i="2"/>
  <c r="L887" i="2"/>
  <c r="L888" i="2"/>
  <c r="L889" i="2"/>
  <c r="L890" i="2"/>
  <c r="L891" i="2"/>
  <c r="L892" i="2"/>
  <c r="L893" i="2"/>
  <c r="L894" i="2"/>
  <c r="L895" i="2"/>
  <c r="L896" i="2"/>
  <c r="L897" i="2"/>
  <c r="L898" i="2"/>
  <c r="L899" i="2"/>
  <c r="L900" i="2"/>
  <c r="L901" i="2"/>
  <c r="L902" i="2"/>
  <c r="L903" i="2"/>
  <c r="L904" i="2"/>
  <c r="L905" i="2"/>
  <c r="L906" i="2"/>
  <c r="L907" i="2"/>
  <c r="L908" i="2"/>
  <c r="L909" i="2"/>
  <c r="L910" i="2"/>
  <c r="L911" i="2"/>
  <c r="L912" i="2"/>
  <c r="L913" i="2"/>
  <c r="L914" i="2"/>
  <c r="L915" i="2"/>
  <c r="L916" i="2"/>
  <c r="L917" i="2"/>
  <c r="L918" i="2"/>
  <c r="L919" i="2"/>
  <c r="L920" i="2"/>
  <c r="L921" i="2"/>
  <c r="L922" i="2"/>
  <c r="L923" i="2"/>
  <c r="L924" i="2"/>
  <c r="L925" i="2"/>
  <c r="L926" i="2"/>
  <c r="L927" i="2"/>
  <c r="L928" i="2"/>
  <c r="L929" i="2"/>
  <c r="L930" i="2"/>
  <c r="L931" i="2"/>
  <c r="L932" i="2"/>
  <c r="L933" i="2"/>
  <c r="L934" i="2"/>
  <c r="L935" i="2"/>
  <c r="L936" i="2"/>
  <c r="L937" i="2"/>
  <c r="L938" i="2"/>
  <c r="L939" i="2"/>
  <c r="L940" i="2"/>
  <c r="L941" i="2"/>
  <c r="L942" i="2"/>
  <c r="L943" i="2"/>
  <c r="L944" i="2"/>
  <c r="L945" i="2"/>
  <c r="L946" i="2"/>
  <c r="L947" i="2"/>
  <c r="L948" i="2"/>
  <c r="L949" i="2"/>
  <c r="L950" i="2"/>
  <c r="L951" i="2"/>
  <c r="L952" i="2"/>
  <c r="L953" i="2"/>
  <c r="L954" i="2"/>
  <c r="L955" i="2"/>
  <c r="L956" i="2"/>
  <c r="L957" i="2"/>
  <c r="L958" i="2"/>
  <c r="L959" i="2"/>
  <c r="L960" i="2"/>
  <c r="L961" i="2"/>
  <c r="L962" i="2"/>
  <c r="L963" i="2"/>
  <c r="L964" i="2"/>
  <c r="L965" i="2"/>
  <c r="L966" i="2"/>
  <c r="L967" i="2"/>
  <c r="L968" i="2"/>
  <c r="L969" i="2"/>
  <c r="L970" i="2"/>
  <c r="L971" i="2"/>
  <c r="L972" i="2"/>
  <c r="L973" i="2"/>
  <c r="L974" i="2"/>
  <c r="L975" i="2"/>
  <c r="L976" i="2"/>
  <c r="L977" i="2"/>
  <c r="L978" i="2"/>
  <c r="L979" i="2"/>
  <c r="L980" i="2"/>
  <c r="L981" i="2"/>
  <c r="L982" i="2"/>
  <c r="L983" i="2"/>
  <c r="L984" i="2"/>
  <c r="L985" i="2"/>
  <c r="L986" i="2"/>
  <c r="L987" i="2"/>
  <c r="L988" i="2"/>
  <c r="L989" i="2"/>
  <c r="L990" i="2"/>
  <c r="L991" i="2"/>
  <c r="L992" i="2"/>
  <c r="L993" i="2"/>
  <c r="L994" i="2"/>
  <c r="L995" i="2"/>
  <c r="L996" i="2"/>
  <c r="L997" i="2"/>
  <c r="L998" i="2"/>
  <c r="L999" i="2"/>
  <c r="L1000" i="2"/>
  <c r="L1001" i="2"/>
  <c r="L1002" i="2"/>
  <c r="L1003" i="2"/>
  <c r="L1004" i="2"/>
  <c r="L1005" i="2"/>
  <c r="L1006" i="2"/>
  <c r="L1007" i="2"/>
  <c r="L1008" i="2"/>
  <c r="L1009" i="2"/>
  <c r="L1010" i="2"/>
  <c r="L1011" i="2"/>
  <c r="L1012" i="2"/>
  <c r="L1013" i="2"/>
  <c r="L1014" i="2"/>
  <c r="L1015" i="2"/>
  <c r="L1016" i="2"/>
  <c r="L1017" i="2"/>
  <c r="L1018" i="2"/>
  <c r="L1019" i="2"/>
  <c r="L1020" i="2"/>
  <c r="L1021" i="2"/>
  <c r="L1022" i="2"/>
  <c r="L1023" i="2"/>
  <c r="L1024" i="2"/>
  <c r="L1025" i="2"/>
  <c r="L1026" i="2"/>
  <c r="L1027" i="2"/>
  <c r="L1028" i="2"/>
  <c r="L1029" i="2"/>
  <c r="L1030" i="2"/>
  <c r="L1031" i="2"/>
  <c r="L1032" i="2"/>
  <c r="L1033" i="2"/>
  <c r="L1034" i="2"/>
  <c r="L1035" i="2"/>
  <c r="L1036" i="2"/>
  <c r="L1037" i="2"/>
  <c r="L1038" i="2"/>
  <c r="L1039" i="2"/>
  <c r="L1040" i="2"/>
  <c r="L1041" i="2"/>
  <c r="L1042" i="2"/>
  <c r="L1043" i="2"/>
  <c r="L1044" i="2"/>
  <c r="L1045" i="2"/>
  <c r="L1046" i="2"/>
  <c r="L1047" i="2"/>
  <c r="L1048" i="2"/>
  <c r="L1049" i="2"/>
  <c r="L1050" i="2"/>
  <c r="L1051" i="2"/>
  <c r="L1052" i="2"/>
  <c r="L1053" i="2"/>
  <c r="L1054" i="2"/>
  <c r="L1055" i="2"/>
  <c r="L1056" i="2"/>
  <c r="L1057" i="2"/>
  <c r="L1058" i="2"/>
  <c r="L1059" i="2"/>
  <c r="L1060" i="2"/>
  <c r="L1061" i="2"/>
  <c r="L1062" i="2"/>
  <c r="L1063" i="2"/>
  <c r="L1064" i="2"/>
  <c r="L1065" i="2"/>
  <c r="L1066" i="2"/>
  <c r="L1067" i="2"/>
  <c r="L1068" i="2"/>
  <c r="L1069" i="2"/>
  <c r="L1070" i="2"/>
  <c r="L1071" i="2"/>
  <c r="L1072" i="2"/>
  <c r="L1073" i="2"/>
  <c r="L1074" i="2"/>
  <c r="L1075" i="2"/>
  <c r="L1076" i="2"/>
  <c r="L1077" i="2"/>
  <c r="L1078" i="2"/>
  <c r="L1079" i="2"/>
  <c r="L1080" i="2"/>
  <c r="L1081" i="2"/>
  <c r="L1082" i="2"/>
  <c r="L1083" i="2"/>
  <c r="L1084" i="2"/>
  <c r="L1085" i="2"/>
  <c r="L1086" i="2"/>
  <c r="L1087" i="2"/>
  <c r="L1088" i="2"/>
  <c r="L1089" i="2"/>
  <c r="L1090" i="2"/>
  <c r="L1091" i="2"/>
  <c r="L1092" i="2"/>
  <c r="L1093" i="2"/>
  <c r="L1094" i="2"/>
  <c r="L1095" i="2"/>
  <c r="L1096" i="2"/>
  <c r="L1097" i="2"/>
  <c r="L1098" i="2"/>
  <c r="L1099" i="2"/>
  <c r="L1100" i="2"/>
  <c r="L1101" i="2"/>
  <c r="L1102" i="2"/>
  <c r="L1103" i="2"/>
  <c r="L1104" i="2"/>
  <c r="L1105" i="2"/>
  <c r="L1106" i="2"/>
  <c r="L1107" i="2"/>
  <c r="L1108" i="2"/>
  <c r="L1109" i="2"/>
  <c r="L1110" i="2"/>
  <c r="L1111" i="2"/>
  <c r="L1112" i="2"/>
  <c r="L1113" i="2"/>
  <c r="L1114" i="2"/>
  <c r="L1115" i="2"/>
  <c r="L1116" i="2"/>
  <c r="L1117" i="2"/>
  <c r="L1118" i="2"/>
  <c r="L1119" i="2"/>
  <c r="L1120" i="2"/>
  <c r="L1121" i="2"/>
  <c r="L1122" i="2"/>
  <c r="L1123" i="2"/>
  <c r="L1124" i="2"/>
  <c r="L1125" i="2"/>
  <c r="L1126" i="2"/>
  <c r="L1127" i="2"/>
  <c r="L1128" i="2"/>
  <c r="L1129" i="2"/>
  <c r="L1130" i="2"/>
  <c r="L1131" i="2"/>
  <c r="L1132" i="2"/>
  <c r="L1133" i="2"/>
  <c r="L1134" i="2"/>
  <c r="L1135" i="2"/>
  <c r="L1136" i="2"/>
  <c r="L1137" i="2"/>
  <c r="L1138" i="2"/>
  <c r="L1139" i="2"/>
  <c r="L1140" i="2"/>
  <c r="L1141" i="2"/>
  <c r="L1142" i="2"/>
  <c r="L1143" i="2"/>
  <c r="L1144" i="2"/>
  <c r="L1145" i="2"/>
  <c r="L1146" i="2"/>
  <c r="L1147" i="2"/>
  <c r="L1148" i="2"/>
  <c r="L1149" i="2"/>
  <c r="L1150" i="2"/>
  <c r="L1151" i="2"/>
  <c r="L1152" i="2"/>
  <c r="L1153" i="2"/>
  <c r="L1154" i="2"/>
  <c r="L1155" i="2"/>
  <c r="L1156" i="2"/>
  <c r="L1157" i="2"/>
  <c r="L1158" i="2"/>
  <c r="L1159" i="2"/>
  <c r="L1160" i="2"/>
  <c r="L1161" i="2"/>
  <c r="L1162" i="2"/>
  <c r="L1163" i="2"/>
  <c r="L1164" i="2"/>
  <c r="L1165" i="2"/>
  <c r="L1166" i="2"/>
  <c r="L1167" i="2"/>
  <c r="L1168" i="2"/>
  <c r="L1169" i="2"/>
  <c r="L1170" i="2"/>
  <c r="L1171" i="2"/>
  <c r="L1172" i="2"/>
  <c r="L1173" i="2"/>
  <c r="L1174" i="2"/>
  <c r="L1175" i="2"/>
  <c r="L1176" i="2"/>
  <c r="L1177" i="2"/>
  <c r="L1178" i="2"/>
  <c r="L1179" i="2"/>
  <c r="L1180" i="2"/>
  <c r="L1181" i="2"/>
  <c r="L1182" i="2"/>
  <c r="L1183" i="2"/>
  <c r="L1184" i="2"/>
  <c r="L1185" i="2"/>
  <c r="L1186" i="2"/>
  <c r="L1187" i="2"/>
  <c r="L1188" i="2"/>
  <c r="L1189" i="2"/>
  <c r="L1190" i="2"/>
  <c r="L1191" i="2"/>
  <c r="L1192" i="2"/>
  <c r="L1193" i="2"/>
  <c r="L1194" i="2"/>
  <c r="L1195" i="2"/>
  <c r="L1196" i="2"/>
  <c r="L1197" i="2"/>
  <c r="L1198" i="2"/>
  <c r="L1199" i="2"/>
  <c r="L1200" i="2"/>
  <c r="L1201" i="2"/>
  <c r="L1202" i="2"/>
  <c r="L1203" i="2"/>
  <c r="L1204" i="2"/>
  <c r="L1205" i="2"/>
  <c r="L1206" i="2"/>
  <c r="L1207" i="2"/>
  <c r="L1208" i="2"/>
  <c r="L1209" i="2"/>
  <c r="L1210" i="2"/>
  <c r="L1211" i="2"/>
  <c r="L1212" i="2"/>
  <c r="L1213" i="2"/>
  <c r="L1214" i="2"/>
  <c r="L1215" i="2"/>
  <c r="L1216" i="2"/>
  <c r="L1217" i="2"/>
  <c r="L1218" i="2"/>
  <c r="L1219" i="2"/>
  <c r="L1220" i="2"/>
  <c r="L1221" i="2"/>
  <c r="L1222" i="2"/>
  <c r="L1223" i="2"/>
  <c r="L1224" i="2"/>
  <c r="L1225" i="2"/>
  <c r="L1226" i="2"/>
  <c r="L1227" i="2"/>
  <c r="L1228" i="2"/>
  <c r="L1229" i="2"/>
  <c r="L1230" i="2"/>
  <c r="L1231" i="2"/>
  <c r="L1232" i="2"/>
  <c r="L1233" i="2"/>
  <c r="L1234" i="2"/>
  <c r="L1235" i="2"/>
  <c r="L1236" i="2"/>
  <c r="L1237" i="2"/>
  <c r="L1238" i="2"/>
  <c r="L1239" i="2"/>
  <c r="L1240" i="2"/>
  <c r="L1241" i="2"/>
  <c r="L1242" i="2"/>
  <c r="L1243" i="2"/>
  <c r="L1244" i="2"/>
  <c r="L1245" i="2"/>
  <c r="L1246" i="2"/>
  <c r="L1247" i="2"/>
  <c r="L1248" i="2"/>
  <c r="L1249" i="2"/>
  <c r="L1250" i="2"/>
  <c r="L1251" i="2"/>
  <c r="L1252" i="2"/>
  <c r="L1253" i="2"/>
  <c r="L1254" i="2"/>
  <c r="L1255" i="2"/>
  <c r="L1256" i="2"/>
  <c r="L1257" i="2"/>
  <c r="L1258" i="2"/>
  <c r="L1259" i="2"/>
  <c r="L1260" i="2"/>
  <c r="L1261" i="2"/>
  <c r="L1262" i="2"/>
  <c r="L1263" i="2"/>
  <c r="L1264" i="2"/>
  <c r="L1265" i="2"/>
  <c r="L1266" i="2"/>
  <c r="L1267" i="2"/>
  <c r="L1268" i="2"/>
  <c r="L1269" i="2"/>
  <c r="L1270" i="2"/>
  <c r="L1271" i="2"/>
  <c r="L1272" i="2"/>
  <c r="L1273" i="2"/>
  <c r="L1274" i="2"/>
  <c r="L1275" i="2"/>
  <c r="L1276" i="2"/>
  <c r="L1277" i="2"/>
  <c r="L1278" i="2"/>
  <c r="L1279" i="2"/>
  <c r="L1280" i="2"/>
  <c r="L1281" i="2"/>
  <c r="L1282" i="2"/>
  <c r="L1283" i="2"/>
  <c r="L1284" i="2"/>
  <c r="L1285" i="2"/>
  <c r="L1286" i="2"/>
  <c r="L1287" i="2"/>
  <c r="L1288" i="2"/>
  <c r="L1289" i="2"/>
  <c r="L1290" i="2"/>
  <c r="L1291" i="2"/>
  <c r="L1292" i="2"/>
  <c r="L1293" i="2"/>
  <c r="L1294" i="2"/>
  <c r="L1295" i="2"/>
  <c r="L1296" i="2"/>
  <c r="L1297" i="2"/>
  <c r="L1298" i="2"/>
  <c r="L1299" i="2"/>
  <c r="L1300" i="2"/>
  <c r="L1301" i="2"/>
  <c r="L1302" i="2"/>
  <c r="L1303" i="2"/>
  <c r="L1304" i="2"/>
  <c r="L1305" i="2"/>
  <c r="L1306" i="2"/>
  <c r="L1307" i="2"/>
  <c r="L1308" i="2"/>
  <c r="L1309" i="2"/>
  <c r="L1310" i="2"/>
  <c r="L1311" i="2"/>
  <c r="L1312" i="2"/>
  <c r="L1313" i="2"/>
  <c r="L1314" i="2"/>
  <c r="L1315" i="2"/>
  <c r="L1316" i="2"/>
  <c r="L1317" i="2"/>
  <c r="L1318" i="2"/>
  <c r="L1319" i="2"/>
  <c r="L1320" i="2"/>
  <c r="L1321" i="2"/>
  <c r="L1322" i="2"/>
  <c r="L1323" i="2"/>
  <c r="L1324" i="2"/>
  <c r="L1325" i="2"/>
  <c r="L1326" i="2"/>
  <c r="L1327" i="2"/>
  <c r="L1328" i="2"/>
  <c r="L1329" i="2"/>
  <c r="L1330" i="2"/>
  <c r="L1331" i="2"/>
  <c r="L1332" i="2"/>
  <c r="L1333" i="2"/>
  <c r="L1334" i="2"/>
  <c r="L1335" i="2"/>
  <c r="L1336" i="2"/>
  <c r="L1337" i="2"/>
  <c r="L1338" i="2"/>
  <c r="L1339" i="2"/>
  <c r="L1340" i="2"/>
  <c r="L1341" i="2"/>
  <c r="L1342" i="2"/>
  <c r="L1343" i="2"/>
  <c r="L1344" i="2"/>
  <c r="L1345" i="2"/>
  <c r="L1346" i="2"/>
  <c r="L1347" i="2"/>
  <c r="L1348" i="2"/>
  <c r="L1349" i="2"/>
  <c r="L1350" i="2"/>
  <c r="L1351" i="2"/>
  <c r="L1352" i="2"/>
  <c r="L1353" i="2"/>
  <c r="L1354" i="2"/>
  <c r="L1355" i="2"/>
  <c r="L1356" i="2"/>
  <c r="L1357" i="2"/>
  <c r="L1358" i="2"/>
  <c r="L1359" i="2"/>
  <c r="L1360" i="2"/>
  <c r="L1361" i="2"/>
  <c r="L1362" i="2"/>
  <c r="L1363" i="2"/>
  <c r="L1364" i="2"/>
  <c r="L1365" i="2"/>
  <c r="L1366" i="2"/>
  <c r="L1367" i="2"/>
  <c r="L1368" i="2"/>
  <c r="L1369" i="2"/>
  <c r="L1370" i="2"/>
  <c r="L1371" i="2"/>
  <c r="L1372" i="2"/>
  <c r="L1373" i="2"/>
  <c r="L1374" i="2"/>
  <c r="L1375" i="2"/>
  <c r="L1376" i="2"/>
  <c r="L1377" i="2"/>
  <c r="L1378" i="2"/>
  <c r="L1379" i="2"/>
  <c r="L1380" i="2"/>
  <c r="L1381" i="2"/>
  <c r="L1382" i="2"/>
  <c r="L1383" i="2"/>
  <c r="L1384" i="2"/>
  <c r="L1385" i="2"/>
  <c r="L1386" i="2"/>
  <c r="L1387" i="2"/>
  <c r="L1388" i="2"/>
  <c r="L1389" i="2"/>
  <c r="L1390" i="2"/>
  <c r="L1391" i="2"/>
  <c r="L1392" i="2"/>
  <c r="L1393" i="2"/>
  <c r="L1394" i="2"/>
  <c r="L1395" i="2"/>
  <c r="L1396" i="2"/>
  <c r="L1397" i="2"/>
  <c r="L1398" i="2"/>
  <c r="L1399" i="2"/>
  <c r="L1400" i="2"/>
  <c r="L1401" i="2"/>
  <c r="L1402" i="2"/>
  <c r="L1403" i="2"/>
  <c r="L1404" i="2"/>
  <c r="L1405" i="2"/>
  <c r="L1406" i="2"/>
  <c r="L1407" i="2"/>
  <c r="L1408" i="2"/>
  <c r="L1409" i="2"/>
  <c r="L1410" i="2"/>
  <c r="L1411" i="2"/>
  <c r="L1412" i="2"/>
  <c r="L1413" i="2"/>
  <c r="L1414" i="2"/>
  <c r="L1415" i="2"/>
  <c r="L1416" i="2"/>
  <c r="L1417" i="2"/>
  <c r="L1418" i="2"/>
  <c r="L1419" i="2"/>
  <c r="L1420" i="2"/>
  <c r="L1421" i="2"/>
  <c r="L1422" i="2"/>
  <c r="L1423" i="2"/>
  <c r="L1424" i="2"/>
  <c r="L1425" i="2"/>
  <c r="L1426" i="2"/>
  <c r="L1427" i="2"/>
  <c r="L1428" i="2"/>
  <c r="L1429" i="2"/>
  <c r="L1430" i="2"/>
  <c r="L1431" i="2"/>
  <c r="L1432" i="2"/>
  <c r="L1433" i="2"/>
  <c r="L1434" i="2"/>
  <c r="L1435" i="2"/>
  <c r="L1436" i="2"/>
  <c r="L1437" i="2"/>
  <c r="L1438" i="2"/>
  <c r="L1439" i="2"/>
  <c r="L1440" i="2"/>
  <c r="L1441" i="2"/>
  <c r="L1442" i="2"/>
  <c r="L1443" i="2"/>
  <c r="L1444" i="2"/>
  <c r="L1445" i="2"/>
  <c r="L1446" i="2"/>
  <c r="L1447" i="2"/>
  <c r="L1448" i="2"/>
  <c r="L1449" i="2"/>
  <c r="L1450" i="2"/>
  <c r="L1451" i="2"/>
  <c r="L1452" i="2"/>
  <c r="L1453" i="2"/>
  <c r="L1454" i="2"/>
  <c r="L1455" i="2"/>
  <c r="L1456" i="2"/>
  <c r="L1457" i="2"/>
  <c r="L1458" i="2"/>
  <c r="L1459" i="2"/>
  <c r="L1460" i="2"/>
  <c r="L1461" i="2"/>
  <c r="L1462" i="2"/>
  <c r="L1463" i="2"/>
  <c r="L1464" i="2"/>
  <c r="L1465" i="2"/>
  <c r="L1466" i="2"/>
  <c r="L1467" i="2"/>
  <c r="L1468" i="2"/>
  <c r="L1469" i="2"/>
  <c r="L1470" i="2"/>
  <c r="L1471" i="2"/>
  <c r="L1472" i="2"/>
  <c r="L1473" i="2"/>
  <c r="L1474" i="2"/>
  <c r="L1475" i="2"/>
  <c r="L1476" i="2"/>
  <c r="L1477" i="2"/>
  <c r="L1478" i="2"/>
  <c r="L1479" i="2"/>
  <c r="L1480" i="2"/>
  <c r="L1481" i="2"/>
  <c r="L1482" i="2"/>
  <c r="L1483" i="2"/>
  <c r="L1484" i="2"/>
  <c r="L1485" i="2"/>
  <c r="L1486" i="2"/>
  <c r="L1487" i="2"/>
  <c r="L1488" i="2"/>
  <c r="L1489" i="2"/>
  <c r="L1490" i="2"/>
  <c r="L1491" i="2"/>
  <c r="L1492" i="2"/>
  <c r="L1493" i="2"/>
  <c r="L1494" i="2"/>
  <c r="L1495" i="2"/>
  <c r="L1496" i="2"/>
  <c r="L1497" i="2"/>
  <c r="L1498" i="2"/>
  <c r="L1499" i="2"/>
  <c r="L1500" i="2"/>
  <c r="L1501" i="2"/>
  <c r="L1502" i="2"/>
  <c r="L1503" i="2"/>
  <c r="L1504" i="2"/>
  <c r="L1505" i="2"/>
  <c r="L1506" i="2"/>
  <c r="L1507" i="2"/>
  <c r="L1508" i="2"/>
  <c r="L1509" i="2"/>
  <c r="L1510" i="2"/>
  <c r="L1511" i="2"/>
  <c r="L1512" i="2"/>
  <c r="L1513" i="2"/>
  <c r="L1514" i="2"/>
  <c r="L1515" i="2"/>
  <c r="L1516" i="2"/>
  <c r="L1517" i="2"/>
  <c r="L1518" i="2"/>
  <c r="L1519" i="2"/>
  <c r="L1520" i="2"/>
  <c r="L1521" i="2"/>
  <c r="L1522" i="2"/>
  <c r="L1523" i="2"/>
  <c r="L1524" i="2"/>
  <c r="L1525" i="2"/>
  <c r="L1526" i="2"/>
  <c r="L1527" i="2"/>
  <c r="L1528" i="2"/>
  <c r="L1529" i="2"/>
  <c r="L1530" i="2"/>
  <c r="L1531" i="2"/>
  <c r="L1532" i="2"/>
  <c r="L1533" i="2"/>
  <c r="L1534" i="2"/>
  <c r="L1535" i="2"/>
  <c r="L1536" i="2"/>
  <c r="L1537" i="2"/>
  <c r="L1538" i="2"/>
  <c r="L1539" i="2"/>
  <c r="L1540" i="2"/>
  <c r="L1541" i="2"/>
  <c r="L1542" i="2"/>
  <c r="L1543" i="2"/>
  <c r="L1544" i="2"/>
  <c r="L1545" i="2"/>
  <c r="L1546" i="2"/>
  <c r="L1547" i="2"/>
  <c r="L1548" i="2"/>
  <c r="L1549" i="2"/>
  <c r="L1550" i="2"/>
  <c r="L1551" i="2"/>
  <c r="L1552" i="2"/>
  <c r="L1553" i="2"/>
  <c r="L1554" i="2"/>
  <c r="L1555" i="2"/>
  <c r="L1556" i="2"/>
  <c r="L1557" i="2"/>
  <c r="L1558" i="2"/>
  <c r="L1559" i="2"/>
  <c r="L1560" i="2"/>
  <c r="L1561" i="2"/>
  <c r="L1562" i="2"/>
  <c r="L1563" i="2"/>
  <c r="L1564" i="2"/>
  <c r="L1565" i="2"/>
  <c r="L1566" i="2"/>
  <c r="L1567" i="2"/>
  <c r="L1568" i="2"/>
  <c r="L1569" i="2"/>
  <c r="L1570" i="2"/>
  <c r="L1571" i="2"/>
  <c r="L1572" i="2"/>
  <c r="L1573" i="2"/>
  <c r="L1574" i="2"/>
  <c r="L1575" i="2"/>
  <c r="L1576" i="2"/>
  <c r="L1577" i="2"/>
  <c r="L1578" i="2"/>
  <c r="L1579" i="2"/>
  <c r="L1580" i="2"/>
  <c r="L1581" i="2"/>
  <c r="L1582" i="2"/>
  <c r="L1583" i="2"/>
  <c r="L1584" i="2"/>
  <c r="L1585" i="2"/>
  <c r="L1586" i="2"/>
  <c r="L1587" i="2"/>
  <c r="L1588" i="2"/>
  <c r="L1589" i="2"/>
  <c r="L1590" i="2"/>
  <c r="L1591" i="2"/>
  <c r="L1592" i="2"/>
  <c r="L1593" i="2"/>
  <c r="L1594" i="2"/>
  <c r="L1595" i="2"/>
  <c r="L1596" i="2"/>
  <c r="L1597" i="2"/>
  <c r="L1598" i="2"/>
  <c r="L1599" i="2"/>
  <c r="L1600" i="2"/>
  <c r="L1601" i="2"/>
  <c r="L1602" i="2"/>
  <c r="L1603" i="2"/>
  <c r="L1604" i="2"/>
  <c r="L1605" i="2"/>
  <c r="L1606" i="2"/>
  <c r="L1607" i="2"/>
  <c r="L1608" i="2"/>
  <c r="L1609" i="2"/>
  <c r="L1610" i="2"/>
  <c r="L1611" i="2"/>
  <c r="L1612" i="2"/>
  <c r="L1613" i="2"/>
  <c r="L1614" i="2"/>
  <c r="L1615" i="2"/>
  <c r="L1616" i="2"/>
  <c r="L1617" i="2"/>
  <c r="L1618" i="2"/>
  <c r="L1619" i="2"/>
  <c r="L1620" i="2"/>
  <c r="L1621" i="2"/>
  <c r="L1622" i="2"/>
  <c r="L1623" i="2"/>
  <c r="L1624" i="2"/>
  <c r="L1625" i="2"/>
  <c r="L1626" i="2"/>
  <c r="L1627" i="2"/>
  <c r="L1628" i="2"/>
  <c r="L1629" i="2"/>
  <c r="L1630" i="2"/>
  <c r="L1631" i="2"/>
  <c r="L1632" i="2"/>
  <c r="L1633" i="2"/>
  <c r="L1634" i="2"/>
  <c r="L1635" i="2"/>
  <c r="L1636" i="2"/>
  <c r="L1637" i="2"/>
  <c r="L1638" i="2"/>
  <c r="L1639" i="2"/>
  <c r="L1640" i="2"/>
  <c r="L1641" i="2"/>
  <c r="L1642" i="2"/>
  <c r="L1643" i="2"/>
  <c r="L1644" i="2"/>
  <c r="L1645" i="2"/>
  <c r="L1646" i="2"/>
  <c r="L1647" i="2"/>
  <c r="L1648" i="2"/>
  <c r="L1649" i="2"/>
  <c r="L1650" i="2"/>
  <c r="L1651" i="2"/>
  <c r="L1652" i="2"/>
  <c r="L1653" i="2"/>
  <c r="L1654" i="2"/>
  <c r="L1655" i="2"/>
  <c r="L1656" i="2"/>
  <c r="L1657" i="2"/>
  <c r="L1658" i="2"/>
  <c r="L1659" i="2"/>
  <c r="L1660" i="2"/>
  <c r="L1661" i="2"/>
  <c r="L1662" i="2"/>
  <c r="L1663" i="2"/>
  <c r="L1664" i="2"/>
  <c r="L1665" i="2"/>
  <c r="L1666" i="2"/>
  <c r="L1667" i="2"/>
  <c r="L1668" i="2"/>
  <c r="L1669" i="2"/>
  <c r="L1670" i="2"/>
  <c r="L1671" i="2"/>
  <c r="L1672" i="2"/>
  <c r="L1673" i="2"/>
  <c r="L1674" i="2"/>
  <c r="L1675" i="2"/>
  <c r="L1676" i="2"/>
  <c r="L1677" i="2"/>
  <c r="L1678" i="2"/>
  <c r="L1679" i="2"/>
  <c r="L1680" i="2"/>
  <c r="L1681" i="2"/>
  <c r="L1682" i="2"/>
  <c r="L1683" i="2"/>
  <c r="L1684" i="2"/>
  <c r="L1685" i="2"/>
  <c r="L1686" i="2"/>
  <c r="L1687" i="2"/>
  <c r="L1688" i="2"/>
  <c r="L1689" i="2"/>
  <c r="L1690" i="2"/>
  <c r="L1691" i="2"/>
  <c r="L1692" i="2"/>
  <c r="L1693" i="2"/>
  <c r="L1694" i="2"/>
  <c r="L1695" i="2"/>
  <c r="L1696" i="2"/>
  <c r="L1697" i="2"/>
  <c r="L1698" i="2"/>
  <c r="L1699" i="2"/>
  <c r="L1700" i="2"/>
  <c r="L1701" i="2"/>
  <c r="L1702" i="2"/>
  <c r="L1703" i="2"/>
  <c r="L1704" i="2"/>
  <c r="L1705" i="2"/>
  <c r="L1706" i="2"/>
  <c r="L1707" i="2"/>
  <c r="L1708" i="2"/>
  <c r="L1709" i="2"/>
  <c r="L1710" i="2"/>
  <c r="L1711" i="2"/>
  <c r="K3" i="2"/>
  <c r="K4" i="2"/>
  <c r="K5" i="2"/>
  <c r="K6" i="2"/>
  <c r="K7" i="2"/>
  <c r="K8" i="2"/>
  <c r="K9" i="2"/>
  <c r="K10" i="2"/>
  <c r="K11" i="2"/>
  <c r="K12" i="2"/>
  <c r="K13" i="2"/>
  <c r="K14" i="2"/>
  <c r="K15" i="2"/>
  <c r="K16" i="2"/>
  <c r="K17" i="2"/>
  <c r="K18" i="2"/>
  <c r="K19" i="2"/>
  <c r="K20" i="2"/>
  <c r="K21" i="2"/>
  <c r="K22" i="2"/>
  <c r="K23"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M715" i="2" s="1"/>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M764" i="2" s="1"/>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M800" i="2" s="1"/>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M932" i="2" s="1"/>
  <c r="K933" i="2"/>
  <c r="K934" i="2"/>
  <c r="K935" i="2"/>
  <c r="K936" i="2"/>
  <c r="K937" i="2"/>
  <c r="K938" i="2"/>
  <c r="K939" i="2"/>
  <c r="K940" i="2"/>
  <c r="K941" i="2"/>
  <c r="K942" i="2"/>
  <c r="K943" i="2"/>
  <c r="K944" i="2"/>
  <c r="K945" i="2"/>
  <c r="K946" i="2"/>
  <c r="K947" i="2"/>
  <c r="K948" i="2"/>
  <c r="K949" i="2"/>
  <c r="K950" i="2"/>
  <c r="K951" i="2"/>
  <c r="K952" i="2"/>
  <c r="K953" i="2"/>
  <c r="K954" i="2"/>
  <c r="K955" i="2"/>
  <c r="K956" i="2"/>
  <c r="M956" i="2" s="1"/>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M1004" i="2" s="1"/>
  <c r="K1005" i="2"/>
  <c r="K1006" i="2"/>
  <c r="K1007" i="2"/>
  <c r="K1008" i="2"/>
  <c r="K1009" i="2"/>
  <c r="K1010" i="2"/>
  <c r="K1011" i="2"/>
  <c r="K1012" i="2"/>
  <c r="K1013" i="2"/>
  <c r="K1014" i="2"/>
  <c r="K1015" i="2"/>
  <c r="K1016" i="2"/>
  <c r="M1016" i="2" s="1"/>
  <c r="K1017" i="2"/>
  <c r="K1018" i="2"/>
  <c r="K1019" i="2"/>
  <c r="K1020" i="2"/>
  <c r="K1021" i="2"/>
  <c r="K1022" i="2"/>
  <c r="K1023" i="2"/>
  <c r="K1024" i="2"/>
  <c r="K1025" i="2"/>
  <c r="K1026" i="2"/>
  <c r="K1027" i="2"/>
  <c r="K1028" i="2"/>
  <c r="M1028" i="2" s="1"/>
  <c r="K1029" i="2"/>
  <c r="K1030" i="2"/>
  <c r="K1031" i="2"/>
  <c r="K1032" i="2"/>
  <c r="K1033" i="2"/>
  <c r="K1034" i="2"/>
  <c r="K1035" i="2"/>
  <c r="K1036" i="2"/>
  <c r="K1037" i="2"/>
  <c r="K1038" i="2"/>
  <c r="K1039" i="2"/>
  <c r="K1040" i="2"/>
  <c r="M1040" i="2" s="1"/>
  <c r="K1041" i="2"/>
  <c r="K1042" i="2"/>
  <c r="K1043" i="2"/>
  <c r="K1044" i="2"/>
  <c r="K1045" i="2"/>
  <c r="K1046" i="2"/>
  <c r="K1047" i="2"/>
  <c r="K1048" i="2"/>
  <c r="K1049" i="2"/>
  <c r="K1050" i="2"/>
  <c r="K1051" i="2"/>
  <c r="K1052" i="2"/>
  <c r="M1052" i="2" s="1"/>
  <c r="K1053" i="2"/>
  <c r="K1054" i="2"/>
  <c r="K1055" i="2"/>
  <c r="K1056" i="2"/>
  <c r="K1057" i="2"/>
  <c r="K1058" i="2"/>
  <c r="K1059" i="2"/>
  <c r="K1060" i="2"/>
  <c r="K1061" i="2"/>
  <c r="K1062" i="2"/>
  <c r="K1063" i="2"/>
  <c r="K1064" i="2"/>
  <c r="M1064" i="2" s="1"/>
  <c r="K1065" i="2"/>
  <c r="K1066" i="2"/>
  <c r="K1067" i="2"/>
  <c r="K1068" i="2"/>
  <c r="K1069" i="2"/>
  <c r="K1070" i="2"/>
  <c r="K1071" i="2"/>
  <c r="K1072" i="2"/>
  <c r="K1073" i="2"/>
  <c r="K1074" i="2"/>
  <c r="K1075" i="2"/>
  <c r="K1076" i="2"/>
  <c r="M1076" i="2" s="1"/>
  <c r="K1077" i="2"/>
  <c r="K1078" i="2"/>
  <c r="K1079" i="2"/>
  <c r="K1080" i="2"/>
  <c r="K1081" i="2"/>
  <c r="K1082" i="2"/>
  <c r="K1083" i="2"/>
  <c r="K1084" i="2"/>
  <c r="K1085" i="2"/>
  <c r="K1086" i="2"/>
  <c r="K1087" i="2"/>
  <c r="K1088" i="2"/>
  <c r="M1088" i="2" s="1"/>
  <c r="K1089" i="2"/>
  <c r="K1090" i="2"/>
  <c r="K1091" i="2"/>
  <c r="K1092" i="2"/>
  <c r="K1093" i="2"/>
  <c r="K1094" i="2"/>
  <c r="K1095" i="2"/>
  <c r="K1096" i="2"/>
  <c r="K1097" i="2"/>
  <c r="K1098" i="2"/>
  <c r="K1099" i="2"/>
  <c r="K1100" i="2"/>
  <c r="M1100" i="2" s="1"/>
  <c r="K1101" i="2"/>
  <c r="K1102" i="2"/>
  <c r="K1103" i="2"/>
  <c r="K1104" i="2"/>
  <c r="K1105" i="2"/>
  <c r="K1106" i="2"/>
  <c r="K1107" i="2"/>
  <c r="K1108" i="2"/>
  <c r="K1109" i="2"/>
  <c r="K1110" i="2"/>
  <c r="K1111" i="2"/>
  <c r="K1112" i="2"/>
  <c r="M1112" i="2" s="1"/>
  <c r="K1113" i="2"/>
  <c r="K1114" i="2"/>
  <c r="K1115" i="2"/>
  <c r="K1116" i="2"/>
  <c r="K1117" i="2"/>
  <c r="K1118" i="2"/>
  <c r="K1119" i="2"/>
  <c r="K1120" i="2"/>
  <c r="K1121" i="2"/>
  <c r="K1122" i="2"/>
  <c r="K1123" i="2"/>
  <c r="K1124" i="2"/>
  <c r="M1124" i="2" s="1"/>
  <c r="K1125" i="2"/>
  <c r="K1126" i="2"/>
  <c r="K1127" i="2"/>
  <c r="K1128" i="2"/>
  <c r="K1129" i="2"/>
  <c r="K1130" i="2"/>
  <c r="K1131" i="2"/>
  <c r="K1132" i="2"/>
  <c r="K1133" i="2"/>
  <c r="K1134" i="2"/>
  <c r="K1135" i="2"/>
  <c r="K1136" i="2"/>
  <c r="M1136" i="2" s="1"/>
  <c r="K1137" i="2"/>
  <c r="K1138" i="2"/>
  <c r="K1139" i="2"/>
  <c r="K1140" i="2"/>
  <c r="K1141" i="2"/>
  <c r="K1142" i="2"/>
  <c r="K1143" i="2"/>
  <c r="K1144" i="2"/>
  <c r="K1145" i="2"/>
  <c r="K1146" i="2"/>
  <c r="K1147" i="2"/>
  <c r="K1148" i="2"/>
  <c r="M1148" i="2" s="1"/>
  <c r="K1149" i="2"/>
  <c r="K1150" i="2"/>
  <c r="K1151" i="2"/>
  <c r="K1152" i="2"/>
  <c r="K1153" i="2"/>
  <c r="K1154" i="2"/>
  <c r="K1155" i="2"/>
  <c r="K1156" i="2"/>
  <c r="K1157" i="2"/>
  <c r="K1158" i="2"/>
  <c r="K1159" i="2"/>
  <c r="K1160" i="2"/>
  <c r="M1160" i="2" s="1"/>
  <c r="K1161" i="2"/>
  <c r="K1162" i="2"/>
  <c r="K1163" i="2"/>
  <c r="K1164" i="2"/>
  <c r="K1165" i="2"/>
  <c r="K1166" i="2"/>
  <c r="K1167" i="2"/>
  <c r="K1168" i="2"/>
  <c r="K1169" i="2"/>
  <c r="K1170" i="2"/>
  <c r="K1171" i="2"/>
  <c r="K1172" i="2"/>
  <c r="M1172" i="2" s="1"/>
  <c r="K1173" i="2"/>
  <c r="K1174" i="2"/>
  <c r="K1175" i="2"/>
  <c r="K1176" i="2"/>
  <c r="K1177" i="2"/>
  <c r="K1178" i="2"/>
  <c r="K1179" i="2"/>
  <c r="K1180" i="2"/>
  <c r="K1181" i="2"/>
  <c r="K1182" i="2"/>
  <c r="K1183" i="2"/>
  <c r="M1183" i="2" s="1"/>
  <c r="K1184" i="2"/>
  <c r="M1184" i="2" s="1"/>
  <c r="K1185" i="2"/>
  <c r="K1186" i="2"/>
  <c r="K1187" i="2"/>
  <c r="K1188" i="2"/>
  <c r="K1189" i="2"/>
  <c r="K1190" i="2"/>
  <c r="K1191" i="2"/>
  <c r="K1192" i="2"/>
  <c r="K1193" i="2"/>
  <c r="K1194" i="2"/>
  <c r="K1195" i="2"/>
  <c r="K1196" i="2"/>
  <c r="M1196" i="2" s="1"/>
  <c r="K1197" i="2"/>
  <c r="K1198" i="2"/>
  <c r="K1199" i="2"/>
  <c r="K1200" i="2"/>
  <c r="K1201" i="2"/>
  <c r="K1202" i="2"/>
  <c r="K1203" i="2"/>
  <c r="K1204" i="2"/>
  <c r="K1205" i="2"/>
  <c r="K1206" i="2"/>
  <c r="K1207" i="2"/>
  <c r="K1208" i="2"/>
  <c r="M1208" i="2" s="1"/>
  <c r="K1209" i="2"/>
  <c r="K1210" i="2"/>
  <c r="K1211" i="2"/>
  <c r="K1212" i="2"/>
  <c r="K1213" i="2"/>
  <c r="K1214" i="2"/>
  <c r="K1215" i="2"/>
  <c r="K1216" i="2"/>
  <c r="K1217" i="2"/>
  <c r="K1218" i="2"/>
  <c r="K1219" i="2"/>
  <c r="K1220" i="2"/>
  <c r="M1220" i="2" s="1"/>
  <c r="K1221" i="2"/>
  <c r="K1222" i="2"/>
  <c r="K1223" i="2"/>
  <c r="K1224" i="2"/>
  <c r="K1225" i="2"/>
  <c r="K1226" i="2"/>
  <c r="K1227" i="2"/>
  <c r="K1228" i="2"/>
  <c r="K1229" i="2"/>
  <c r="K1230" i="2"/>
  <c r="K1231" i="2"/>
  <c r="K1232" i="2"/>
  <c r="M1232" i="2" s="1"/>
  <c r="K1233" i="2"/>
  <c r="K1234" i="2"/>
  <c r="K1235" i="2"/>
  <c r="K1236" i="2"/>
  <c r="K1237" i="2"/>
  <c r="K1238" i="2"/>
  <c r="K1239" i="2"/>
  <c r="K1240" i="2"/>
  <c r="K1241" i="2"/>
  <c r="K1242" i="2"/>
  <c r="K1243" i="2"/>
  <c r="K1244" i="2"/>
  <c r="M1244" i="2" s="1"/>
  <c r="K1245" i="2"/>
  <c r="K1246" i="2"/>
  <c r="K1247" i="2"/>
  <c r="K1248" i="2"/>
  <c r="K1249" i="2"/>
  <c r="K1250" i="2"/>
  <c r="K1251" i="2"/>
  <c r="K1252" i="2"/>
  <c r="K1253" i="2"/>
  <c r="K1254" i="2"/>
  <c r="K1255" i="2"/>
  <c r="K1256" i="2"/>
  <c r="M1256" i="2" s="1"/>
  <c r="K1257" i="2"/>
  <c r="K1258" i="2"/>
  <c r="K1259" i="2"/>
  <c r="K1260" i="2"/>
  <c r="K1261" i="2"/>
  <c r="K1262" i="2"/>
  <c r="M1262" i="2" s="1"/>
  <c r="K1263" i="2"/>
  <c r="K1264" i="2"/>
  <c r="K1265" i="2"/>
  <c r="K1266" i="2"/>
  <c r="K1267" i="2"/>
  <c r="K1268" i="2"/>
  <c r="M1268" i="2" s="1"/>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M1304" i="2" s="1"/>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M1328" i="2" s="1"/>
  <c r="K1329" i="2"/>
  <c r="K1330" i="2"/>
  <c r="K1331" i="2"/>
  <c r="K1332" i="2"/>
  <c r="K1333" i="2"/>
  <c r="K1334" i="2"/>
  <c r="K1335" i="2"/>
  <c r="K1336" i="2"/>
  <c r="K1337" i="2"/>
  <c r="K1338" i="2"/>
  <c r="K1339" i="2"/>
  <c r="K1340" i="2"/>
  <c r="M1340" i="2" s="1"/>
  <c r="K1341" i="2"/>
  <c r="K1342" i="2"/>
  <c r="K1343" i="2"/>
  <c r="K1344" i="2"/>
  <c r="K1345" i="2"/>
  <c r="K1346" i="2"/>
  <c r="K1347" i="2"/>
  <c r="K1348" i="2"/>
  <c r="K1349" i="2"/>
  <c r="K1350" i="2"/>
  <c r="K1351" i="2"/>
  <c r="K1352" i="2"/>
  <c r="M1352" i="2" s="1"/>
  <c r="K1353" i="2"/>
  <c r="K1354" i="2"/>
  <c r="K1355" i="2"/>
  <c r="K1356" i="2"/>
  <c r="K1357" i="2"/>
  <c r="K1358" i="2"/>
  <c r="K1359" i="2"/>
  <c r="K1360" i="2"/>
  <c r="K1361" i="2"/>
  <c r="K1362" i="2"/>
  <c r="K1363" i="2"/>
  <c r="K1364" i="2"/>
  <c r="M1364" i="2" s="1"/>
  <c r="K1365" i="2"/>
  <c r="K1366" i="2"/>
  <c r="K1367" i="2"/>
  <c r="K1368" i="2"/>
  <c r="K1369" i="2"/>
  <c r="K1370" i="2"/>
  <c r="K1371" i="2"/>
  <c r="K1372" i="2"/>
  <c r="K1373" i="2"/>
  <c r="K1374" i="2"/>
  <c r="K1375" i="2"/>
  <c r="K1376" i="2"/>
  <c r="K1377" i="2"/>
  <c r="K1378" i="2"/>
  <c r="K1379" i="2"/>
  <c r="K1380" i="2"/>
  <c r="K1381" i="2"/>
  <c r="K1382" i="2"/>
  <c r="M1382" i="2" s="1"/>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M1442" i="2" s="1"/>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M1490" i="2" s="1"/>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M1514" i="2" s="1"/>
  <c r="K1515" i="2"/>
  <c r="K1516" i="2"/>
  <c r="K1517" i="2"/>
  <c r="K1518" i="2"/>
  <c r="K1519" i="2"/>
  <c r="K1520" i="2"/>
  <c r="K1521" i="2"/>
  <c r="K1522" i="2"/>
  <c r="K1523" i="2"/>
  <c r="K1524" i="2"/>
  <c r="K1525" i="2"/>
  <c r="K1526" i="2"/>
  <c r="M1526" i="2" s="1"/>
  <c r="K1527" i="2"/>
  <c r="K1528" i="2"/>
  <c r="K1529" i="2"/>
  <c r="K1530" i="2"/>
  <c r="K1531" i="2"/>
  <c r="K1532" i="2"/>
  <c r="K1533" i="2"/>
  <c r="K1534" i="2"/>
  <c r="K1535" i="2"/>
  <c r="K1536" i="2"/>
  <c r="K1537" i="2"/>
  <c r="K1538" i="2"/>
  <c r="M1538" i="2" s="1"/>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M1586" i="2" s="1"/>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2" i="2"/>
  <c r="M2" i="2" s="1"/>
  <c r="C5" i="6" l="1"/>
  <c r="G5" i="6" s="1"/>
  <c r="B6" i="6"/>
  <c r="E6" i="6" s="1"/>
  <c r="E5" i="6"/>
  <c r="P5" i="18"/>
  <c r="O7" i="18"/>
  <c r="U5" i="18"/>
  <c r="T8" i="18"/>
  <c r="U6" i="18"/>
  <c r="D10" i="16"/>
  <c r="F10" i="16"/>
  <c r="C6" i="16"/>
  <c r="C16" i="16" s="1"/>
  <c r="C10" i="16"/>
  <c r="E10" i="16"/>
  <c r="C14" i="16"/>
  <c r="M1668" i="2"/>
  <c r="M683" i="2"/>
  <c r="M671" i="2"/>
  <c r="M659" i="2"/>
  <c r="M647" i="2"/>
  <c r="M635" i="2"/>
  <c r="M623" i="2"/>
  <c r="M611" i="2"/>
  <c r="M599" i="2"/>
  <c r="M587" i="2"/>
  <c r="M575" i="2"/>
  <c r="M563" i="2"/>
  <c r="M551" i="2"/>
  <c r="M539" i="2"/>
  <c r="M527" i="2"/>
  <c r="M515" i="2"/>
  <c r="M503" i="2"/>
  <c r="M491" i="2"/>
  <c r="M479" i="2"/>
  <c r="M467" i="2"/>
  <c r="M455" i="2"/>
  <c r="M443" i="2"/>
  <c r="M431" i="2"/>
  <c r="M419" i="2"/>
  <c r="M407" i="2"/>
  <c r="M395" i="2"/>
  <c r="M383" i="2"/>
  <c r="M371" i="2"/>
  <c r="M359" i="2"/>
  <c r="M347" i="2"/>
  <c r="M335" i="2"/>
  <c r="M323" i="2"/>
  <c r="M311" i="2"/>
  <c r="M299" i="2"/>
  <c r="M287" i="2"/>
  <c r="M275" i="2"/>
  <c r="M263" i="2"/>
  <c r="M251" i="2"/>
  <c r="M239" i="2"/>
  <c r="M227" i="2"/>
  <c r="M215" i="2"/>
  <c r="M203" i="2"/>
  <c r="M191" i="2"/>
  <c r="M179" i="2"/>
  <c r="M1633" i="2"/>
  <c r="M1201" i="2"/>
  <c r="M1153" i="2"/>
  <c r="M1117" i="2"/>
  <c r="M1069" i="2"/>
  <c r="M1021" i="2"/>
  <c r="M973" i="2"/>
  <c r="M913" i="2"/>
  <c r="M865" i="2"/>
  <c r="M793" i="2"/>
  <c r="M769" i="2"/>
  <c r="M721" i="2"/>
  <c r="M673" i="2"/>
  <c r="M637" i="2"/>
  <c r="M601" i="2"/>
  <c r="M565" i="2"/>
  <c r="M553" i="2"/>
  <c r="M541" i="2"/>
  <c r="M529" i="2"/>
  <c r="M517" i="2"/>
  <c r="M505" i="2"/>
  <c r="M493" i="2"/>
  <c r="M481" i="2"/>
  <c r="M469" i="2"/>
  <c r="M457" i="2"/>
  <c r="M445" i="2"/>
  <c r="M433" i="2"/>
  <c r="M421" i="2"/>
  <c r="M409" i="2"/>
  <c r="M397" i="2"/>
  <c r="M385" i="2"/>
  <c r="M373" i="2"/>
  <c r="M361" i="2"/>
  <c r="M349" i="2"/>
  <c r="M337" i="2"/>
  <c r="M325" i="2"/>
  <c r="M313" i="2"/>
  <c r="M265" i="2"/>
  <c r="M253" i="2"/>
  <c r="M241" i="2"/>
  <c r="M229" i="2"/>
  <c r="M217" i="2"/>
  <c r="M205" i="2"/>
  <c r="M193" i="2"/>
  <c r="M181" i="2"/>
  <c r="M169" i="2"/>
  <c r="M157" i="2"/>
  <c r="M145" i="2"/>
  <c r="M1705" i="2"/>
  <c r="M1669" i="2"/>
  <c r="M1621" i="2"/>
  <c r="M1573" i="2"/>
  <c r="M1537" i="2"/>
  <c r="M1513" i="2"/>
  <c r="M1477" i="2"/>
  <c r="M1429" i="2"/>
  <c r="M1393" i="2"/>
  <c r="M1357" i="2"/>
  <c r="M1345" i="2"/>
  <c r="M1297" i="2"/>
  <c r="M1249" i="2"/>
  <c r="M1213" i="2"/>
  <c r="M1165" i="2"/>
  <c r="M1105" i="2"/>
  <c r="M1045" i="2"/>
  <c r="M985" i="2"/>
  <c r="M937" i="2"/>
  <c r="M889" i="2"/>
  <c r="M853" i="2"/>
  <c r="M817" i="2"/>
  <c r="M757" i="2"/>
  <c r="M709" i="2"/>
  <c r="M649" i="2"/>
  <c r="M625" i="2"/>
  <c r="M589" i="2"/>
  <c r="M277" i="2"/>
  <c r="M1703" i="2"/>
  <c r="M1607" i="2"/>
  <c r="M1367" i="2"/>
  <c r="M1091" i="2"/>
  <c r="M1693" i="2"/>
  <c r="M1657" i="2"/>
  <c r="M1609" i="2"/>
  <c r="M1585" i="2"/>
  <c r="M1549" i="2"/>
  <c r="M1501" i="2"/>
  <c r="M1465" i="2"/>
  <c r="M1441" i="2"/>
  <c r="M1405" i="2"/>
  <c r="M1369" i="2"/>
  <c r="M1321" i="2"/>
  <c r="M1309" i="2"/>
  <c r="M1285" i="2"/>
  <c r="M1261" i="2"/>
  <c r="M1225" i="2"/>
  <c r="M1189" i="2"/>
  <c r="M1129" i="2"/>
  <c r="M1081" i="2"/>
  <c r="M1033" i="2"/>
  <c r="M1009" i="2"/>
  <c r="M961" i="2"/>
  <c r="M925" i="2"/>
  <c r="M829" i="2"/>
  <c r="M805" i="2"/>
  <c r="M733" i="2"/>
  <c r="M697" i="2"/>
  <c r="M661" i="2"/>
  <c r="M613" i="2"/>
  <c r="M577" i="2"/>
  <c r="M301" i="2"/>
  <c r="M1704" i="2"/>
  <c r="M1680" i="2"/>
  <c r="M1691" i="2"/>
  <c r="M1667" i="2"/>
  <c r="M1643" i="2"/>
  <c r="M1619" i="2"/>
  <c r="M1583" i="2"/>
  <c r="M1559" i="2"/>
  <c r="M1547" i="2"/>
  <c r="M1523" i="2"/>
  <c r="M1499" i="2"/>
  <c r="M1463" i="2"/>
  <c r="M1439" i="2"/>
  <c r="M1403" i="2"/>
  <c r="M1379" i="2"/>
  <c r="M1343" i="2"/>
  <c r="M1319" i="2"/>
  <c r="M1295" i="2"/>
  <c r="M1271" i="2"/>
  <c r="M1259" i="2"/>
  <c r="M1247" i="2"/>
  <c r="M1235" i="2"/>
  <c r="M1223" i="2"/>
  <c r="M1211" i="2"/>
  <c r="M1199" i="2"/>
  <c r="M1175" i="2"/>
  <c r="M1163" i="2"/>
  <c r="M1151" i="2"/>
  <c r="M1139" i="2"/>
  <c r="M1127" i="2"/>
  <c r="M1115" i="2"/>
  <c r="M1103" i="2"/>
  <c r="M1681" i="2"/>
  <c r="M1645" i="2"/>
  <c r="M1597" i="2"/>
  <c r="M1561" i="2"/>
  <c r="M1525" i="2"/>
  <c r="M1489" i="2"/>
  <c r="M1453" i="2"/>
  <c r="M1417" i="2"/>
  <c r="M1381" i="2"/>
  <c r="M1333" i="2"/>
  <c r="M1273" i="2"/>
  <c r="M1237" i="2"/>
  <c r="M1177" i="2"/>
  <c r="M1141" i="2"/>
  <c r="M1093" i="2"/>
  <c r="M1057" i="2"/>
  <c r="M997" i="2"/>
  <c r="M949" i="2"/>
  <c r="M901" i="2"/>
  <c r="M841" i="2"/>
  <c r="M781" i="2"/>
  <c r="M745" i="2"/>
  <c r="M685" i="2"/>
  <c r="M289" i="2"/>
  <c r="M1692" i="2"/>
  <c r="M1679" i="2"/>
  <c r="M1655" i="2"/>
  <c r="M1631" i="2"/>
  <c r="M1595" i="2"/>
  <c r="M1571" i="2"/>
  <c r="M1535" i="2"/>
  <c r="M1511" i="2"/>
  <c r="M1487" i="2"/>
  <c r="M1475" i="2"/>
  <c r="M1451" i="2"/>
  <c r="M1427" i="2"/>
  <c r="M1415" i="2"/>
  <c r="M1391" i="2"/>
  <c r="M1355" i="2"/>
  <c r="M1331" i="2"/>
  <c r="M1283" i="2"/>
  <c r="M1187" i="2"/>
  <c r="M1701" i="2"/>
  <c r="M1689" i="2"/>
  <c r="M1677" i="2"/>
  <c r="M1665" i="2"/>
  <c r="M1653" i="2"/>
  <c r="M1641" i="2"/>
  <c r="M1629" i="2"/>
  <c r="M1617" i="2"/>
  <c r="M1605" i="2"/>
  <c r="M1593" i="2"/>
  <c r="M1581" i="2"/>
  <c r="M1569" i="2"/>
  <c r="M1557" i="2"/>
  <c r="M1545" i="2"/>
  <c r="M1533" i="2"/>
  <c r="M1521" i="2"/>
  <c r="M1509" i="2"/>
  <c r="M1497" i="2"/>
  <c r="M1485" i="2"/>
  <c r="M1473" i="2"/>
  <c r="M1461" i="2"/>
  <c r="M1449" i="2"/>
  <c r="M1437" i="2"/>
  <c r="M1425" i="2"/>
  <c r="M1413" i="2"/>
  <c r="M1401" i="2"/>
  <c r="M1389" i="2"/>
  <c r="M1377" i="2"/>
  <c r="M1365" i="2"/>
  <c r="M1353" i="2"/>
  <c r="M133" i="2"/>
  <c r="M121" i="2"/>
  <c r="M109" i="2"/>
  <c r="M97" i="2"/>
  <c r="M85" i="2"/>
  <c r="M73" i="2"/>
  <c r="M61" i="2"/>
  <c r="M49" i="2"/>
  <c r="M37" i="2"/>
  <c r="M25" i="2"/>
  <c r="M13" i="2"/>
  <c r="M1656" i="2"/>
  <c r="M1644" i="2"/>
  <c r="M1632" i="2"/>
  <c r="M1620" i="2"/>
  <c r="M1608" i="2"/>
  <c r="M1596" i="2"/>
  <c r="M1584" i="2"/>
  <c r="M1572" i="2"/>
  <c r="M1560" i="2"/>
  <c r="M1548" i="2"/>
  <c r="M1536" i="2"/>
  <c r="M1524" i="2"/>
  <c r="M1512" i="2"/>
  <c r="M1500" i="2"/>
  <c r="M1488" i="2"/>
  <c r="M1476" i="2"/>
  <c r="M1464" i="2"/>
  <c r="M1452" i="2"/>
  <c r="M1440" i="2"/>
  <c r="M1428" i="2"/>
  <c r="M1416" i="2"/>
  <c r="M1404" i="2"/>
  <c r="M1392" i="2"/>
  <c r="M1380" i="2"/>
  <c r="M1368" i="2"/>
  <c r="M1356" i="2"/>
  <c r="M1344" i="2"/>
  <c r="M1332" i="2"/>
  <c r="M1320" i="2"/>
  <c r="M1308" i="2"/>
  <c r="M1296" i="2"/>
  <c r="M1284" i="2"/>
  <c r="M1272" i="2"/>
  <c r="M1260" i="2"/>
  <c r="M1248" i="2"/>
  <c r="M1236" i="2"/>
  <c r="M1224" i="2"/>
  <c r="M1212" i="2"/>
  <c r="M1200" i="2"/>
  <c r="M1188" i="2"/>
  <c r="M1176" i="2"/>
  <c r="M1164" i="2"/>
  <c r="M1152" i="2"/>
  <c r="M1140" i="2"/>
  <c r="M1116" i="2"/>
  <c r="M1104" i="2"/>
  <c r="M1092" i="2"/>
  <c r="M1080" i="2"/>
  <c r="M1068" i="2"/>
  <c r="M1056" i="2"/>
  <c r="M1044" i="2"/>
  <c r="M1032" i="2"/>
  <c r="M1020" i="2"/>
  <c r="M1079" i="2"/>
  <c r="M1067" i="2"/>
  <c r="M1055" i="2"/>
  <c r="M1043" i="2"/>
  <c r="M1031" i="2"/>
  <c r="M1019" i="2"/>
  <c r="M1007" i="2"/>
  <c r="M995" i="2"/>
  <c r="M983" i="2"/>
  <c r="M971" i="2"/>
  <c r="M959" i="2"/>
  <c r="M947" i="2"/>
  <c r="M935" i="2"/>
  <c r="M923" i="2"/>
  <c r="M911" i="2"/>
  <c r="M899" i="2"/>
  <c r="M887" i="2"/>
  <c r="M875" i="2"/>
  <c r="M863" i="2"/>
  <c r="M851" i="2"/>
  <c r="M839" i="2"/>
  <c r="M827" i="2"/>
  <c r="M815" i="2"/>
  <c r="M803" i="2"/>
  <c r="M791" i="2"/>
  <c r="M779" i="2"/>
  <c r="M767" i="2"/>
  <c r="M755" i="2"/>
  <c r="M743" i="2"/>
  <c r="M731" i="2"/>
  <c r="M719" i="2"/>
  <c r="M707" i="2"/>
  <c r="M695" i="2"/>
  <c r="M167" i="2"/>
  <c r="M155" i="2"/>
  <c r="M143" i="2"/>
  <c r="M131" i="2"/>
  <c r="M119" i="2"/>
  <c r="M107" i="2"/>
  <c r="M95" i="2"/>
  <c r="M83" i="2"/>
  <c r="M71" i="2"/>
  <c r="M59" i="2"/>
  <c r="M47" i="2"/>
  <c r="M35" i="2"/>
  <c r="M23" i="2"/>
  <c r="M11" i="2"/>
  <c r="M1528" i="2"/>
  <c r="M1180" i="2"/>
  <c r="M1048" i="2"/>
  <c r="M628" i="2"/>
  <c r="M316" i="2"/>
  <c r="M1599" i="2"/>
  <c r="M1527" i="2"/>
  <c r="M1515" i="2"/>
  <c r="M1455" i="2"/>
  <c r="M1395" i="2"/>
  <c r="M1335" i="2"/>
  <c r="M1323" i="2"/>
  <c r="M1311" i="2"/>
  <c r="M1287" i="2"/>
  <c r="M1251" i="2"/>
  <c r="M1215" i="2"/>
  <c r="M1155" i="2"/>
  <c r="M1071" i="2"/>
  <c r="M1011" i="2"/>
  <c r="M927" i="2"/>
  <c r="M543" i="2"/>
  <c r="M495" i="2"/>
  <c r="M351" i="2"/>
  <c r="M1341" i="2"/>
  <c r="M1329" i="2"/>
  <c r="M1317" i="2"/>
  <c r="M1305" i="2"/>
  <c r="M1293" i="2"/>
  <c r="M1281" i="2"/>
  <c r="M1269" i="2"/>
  <c r="M1257" i="2"/>
  <c r="M1245" i="2"/>
  <c r="M1233" i="2"/>
  <c r="M1221" i="2"/>
  <c r="M1209" i="2"/>
  <c r="M1197" i="2"/>
  <c r="M1185" i="2"/>
  <c r="M1173" i="2"/>
  <c r="M1161" i="2"/>
  <c r="M1149" i="2"/>
  <c r="M1137" i="2"/>
  <c r="M1125" i="2"/>
  <c r="M1113" i="2"/>
  <c r="M1101" i="2"/>
  <c r="M1089" i="2"/>
  <c r="M1077" i="2"/>
  <c r="M1065" i="2"/>
  <c r="M1053" i="2"/>
  <c r="M1041" i="2"/>
  <c r="M1029" i="2"/>
  <c r="M1017" i="2"/>
  <c r="M1005" i="2"/>
  <c r="M993" i="2"/>
  <c r="M981" i="2"/>
  <c r="M969" i="2"/>
  <c r="M957" i="2"/>
  <c r="M933" i="2"/>
  <c r="M921" i="2"/>
  <c r="M909" i="2"/>
  <c r="M897" i="2"/>
  <c r="M885" i="2"/>
  <c r="M873" i="2"/>
  <c r="M861" i="2"/>
  <c r="M849" i="2"/>
  <c r="M837" i="2"/>
  <c r="M825" i="2"/>
  <c r="M813" i="2"/>
  <c r="M801" i="2"/>
  <c r="M789" i="2"/>
  <c r="M777" i="2"/>
  <c r="M765" i="2"/>
  <c r="M753" i="2"/>
  <c r="M741" i="2"/>
  <c r="M729" i="2"/>
  <c r="M717" i="2"/>
  <c r="M705" i="2"/>
  <c r="M693" i="2"/>
  <c r="M681" i="2"/>
  <c r="M669" i="2"/>
  <c r="M657" i="2"/>
  <c r="M645" i="2"/>
  <c r="M633" i="2"/>
  <c r="M621" i="2"/>
  <c r="M609" i="2"/>
  <c r="M597" i="2"/>
  <c r="M585" i="2"/>
  <c r="M573" i="2"/>
  <c r="M561" i="2"/>
  <c r="M549" i="2"/>
  <c r="M537" i="2"/>
  <c r="M525" i="2"/>
  <c r="M513" i="2"/>
  <c r="M501" i="2"/>
  <c r="M489" i="2"/>
  <c r="M477" i="2"/>
  <c r="M465" i="2"/>
  <c r="M453" i="2"/>
  <c r="M441" i="2"/>
  <c r="M429" i="2"/>
  <c r="M417" i="2"/>
  <c r="M405" i="2"/>
  <c r="M393" i="2"/>
  <c r="M381" i="2"/>
  <c r="M369" i="2"/>
  <c r="M357" i="2"/>
  <c r="M345" i="2"/>
  <c r="M333" i="2"/>
  <c r="M321" i="2"/>
  <c r="M877" i="2"/>
  <c r="M244" i="2"/>
  <c r="M315" i="2"/>
  <c r="M1179" i="2"/>
  <c r="M735" i="2"/>
  <c r="M1556" i="2"/>
  <c r="M1460" i="2"/>
  <c r="M1316" i="2"/>
  <c r="M1292" i="2"/>
  <c r="M1280" i="2"/>
  <c r="M836" i="2"/>
  <c r="M620" i="2"/>
  <c r="M596" i="2"/>
  <c r="M1407" i="2"/>
  <c r="M1063" i="2"/>
  <c r="M403" i="2"/>
  <c r="M391" i="2"/>
  <c r="M259" i="2"/>
  <c r="M246" i="2"/>
  <c r="M1128" i="2"/>
  <c r="M1307" i="2"/>
  <c r="M1396" i="2"/>
  <c r="M1474" i="2"/>
  <c r="M1702" i="2"/>
  <c r="M1630" i="2"/>
  <c r="M1582" i="2"/>
  <c r="M1438" i="2"/>
  <c r="M1246" i="2"/>
  <c r="M1186" i="2"/>
  <c r="M622" i="2"/>
  <c r="M1654" i="2"/>
  <c r="M1594" i="2"/>
  <c r="M1534" i="2"/>
  <c r="M1174" i="2"/>
  <c r="M1090" i="2"/>
  <c r="M1030" i="2"/>
  <c r="M610" i="2"/>
  <c r="M1688" i="2"/>
  <c r="M1664" i="2"/>
  <c r="M1640" i="2"/>
  <c r="M1616" i="2"/>
  <c r="M1592" i="2"/>
  <c r="M1568" i="2"/>
  <c r="M1532" i="2"/>
  <c r="M1520" i="2"/>
  <c r="M1496" i="2"/>
  <c r="M1484" i="2"/>
  <c r="M1472" i="2"/>
  <c r="M1448" i="2"/>
  <c r="M1436" i="2"/>
  <c r="M1424" i="2"/>
  <c r="M1412" i="2"/>
  <c r="M1400" i="2"/>
  <c r="M1388" i="2"/>
  <c r="M1376" i="2"/>
  <c r="M1678" i="2"/>
  <c r="M1462" i="2"/>
  <c r="M1162" i="2"/>
  <c r="M1114" i="2"/>
  <c r="M898" i="2"/>
  <c r="M694" i="2"/>
  <c r="M226" i="2"/>
  <c r="M1700" i="2"/>
  <c r="M1676" i="2"/>
  <c r="M1652" i="2"/>
  <c r="M1628" i="2"/>
  <c r="M1604" i="2"/>
  <c r="M1580" i="2"/>
  <c r="M1544" i="2"/>
  <c r="M1508" i="2"/>
  <c r="M1423" i="2"/>
  <c r="M1008" i="2"/>
  <c r="M996" i="2"/>
  <c r="M984" i="2"/>
  <c r="M972" i="2"/>
  <c r="M960" i="2"/>
  <c r="M948" i="2"/>
  <c r="M936" i="2"/>
  <c r="M924" i="2"/>
  <c r="M912" i="2"/>
  <c r="M900" i="2"/>
  <c r="M888" i="2"/>
  <c r="M876" i="2"/>
  <c r="M864" i="2"/>
  <c r="M852" i="2"/>
  <c r="M840" i="2"/>
  <c r="M828" i="2"/>
  <c r="M816" i="2"/>
  <c r="M804" i="2"/>
  <c r="M792" i="2"/>
  <c r="M780" i="2"/>
  <c r="M768" i="2"/>
  <c r="M756" i="2"/>
  <c r="M744" i="2"/>
  <c r="M732" i="2"/>
  <c r="M720" i="2"/>
  <c r="M708" i="2"/>
  <c r="M696" i="2"/>
  <c r="M684" i="2"/>
  <c r="M672" i="2"/>
  <c r="M660" i="2"/>
  <c r="M648" i="2"/>
  <c r="M636" i="2"/>
  <c r="M624" i="2"/>
  <c r="M612" i="2"/>
  <c r="M600" i="2"/>
  <c r="M588" i="2"/>
  <c r="M576" i="2"/>
  <c r="M564" i="2"/>
  <c r="M552" i="2"/>
  <c r="M540" i="2"/>
  <c r="M528" i="2"/>
  <c r="M516" i="2"/>
  <c r="M504" i="2"/>
  <c r="M492" i="2"/>
  <c r="M480" i="2"/>
  <c r="M468" i="2"/>
  <c r="M456" i="2"/>
  <c r="M444" i="2"/>
  <c r="M432" i="2"/>
  <c r="M420" i="2"/>
  <c r="M408" i="2"/>
  <c r="M396" i="2"/>
  <c r="M384" i="2"/>
  <c r="M372" i="2"/>
  <c r="M360" i="2"/>
  <c r="M348" i="2"/>
  <c r="M336" i="2"/>
  <c r="M324" i="2"/>
  <c r="M312" i="2"/>
  <c r="M300" i="2"/>
  <c r="M288" i="2"/>
  <c r="M276" i="2"/>
  <c r="M264" i="2"/>
  <c r="M252" i="2"/>
  <c r="M240" i="2"/>
  <c r="M228" i="2"/>
  <c r="M216" i="2"/>
  <c r="M204" i="2"/>
  <c r="M192" i="2"/>
  <c r="M180" i="2"/>
  <c r="M168" i="2"/>
  <c r="M156" i="2"/>
  <c r="M144" i="2"/>
  <c r="M132" i="2"/>
  <c r="M120" i="2"/>
  <c r="M108" i="2"/>
  <c r="M96" i="2"/>
  <c r="M84" i="2"/>
  <c r="M72" i="2"/>
  <c r="M60" i="2"/>
  <c r="M48" i="2"/>
  <c r="M36" i="2"/>
  <c r="M24" i="2"/>
  <c r="M12" i="2"/>
  <c r="M1699" i="2"/>
  <c r="M1627" i="2"/>
  <c r="M1555" i="2"/>
  <c r="M1459" i="2"/>
  <c r="M1315" i="2"/>
  <c r="M1123" i="2"/>
  <c r="M907" i="2"/>
  <c r="M643" i="2"/>
  <c r="M211" i="2"/>
  <c r="M1710" i="2"/>
  <c r="M1662" i="2"/>
  <c r="M1578" i="2"/>
  <c r="M1506" i="2"/>
  <c r="M1374" i="2"/>
  <c r="M1711" i="2"/>
  <c r="M1687" i="2"/>
  <c r="M1651" i="2"/>
  <c r="M1639" i="2"/>
  <c r="M1615" i="2"/>
  <c r="M1579" i="2"/>
  <c r="M1567" i="2"/>
  <c r="M1519" i="2"/>
  <c r="M1507" i="2"/>
  <c r="M1471" i="2"/>
  <c r="M1435" i="2"/>
  <c r="M1411" i="2"/>
  <c r="M1387" i="2"/>
  <c r="M1363" i="2"/>
  <c r="M1327" i="2"/>
  <c r="M1303" i="2"/>
  <c r="M1279" i="2"/>
  <c r="M1255" i="2"/>
  <c r="M1243" i="2"/>
  <c r="M1219" i="2"/>
  <c r="M1195" i="2"/>
  <c r="M1147" i="2"/>
  <c r="M1135" i="2"/>
  <c r="M1099" i="2"/>
  <c r="M1087" i="2"/>
  <c r="M1051" i="2"/>
  <c r="M1027" i="2"/>
  <c r="M1003" i="2"/>
  <c r="M979" i="2"/>
  <c r="M955" i="2"/>
  <c r="M931" i="2"/>
  <c r="M895" i="2"/>
  <c r="M871" i="2"/>
  <c r="M859" i="2"/>
  <c r="M823" i="2"/>
  <c r="M811" i="2"/>
  <c r="M787" i="2"/>
  <c r="M775" i="2"/>
  <c r="M751" i="2"/>
  <c r="M727" i="2"/>
  <c r="M703" i="2"/>
  <c r="M691" i="2"/>
  <c r="M679" i="2"/>
  <c r="M667" i="2"/>
  <c r="M655" i="2"/>
  <c r="M619" i="2"/>
  <c r="M607" i="2"/>
  <c r="M595" i="2"/>
  <c r="M583" i="2"/>
  <c r="M571" i="2"/>
  <c r="M559" i="2"/>
  <c r="M547" i="2"/>
  <c r="M535" i="2"/>
  <c r="M523" i="2"/>
  <c r="M499" i="2"/>
  <c r="M475" i="2"/>
  <c r="M463" i="2"/>
  <c r="M451" i="2"/>
  <c r="M439" i="2"/>
  <c r="M427" i="2"/>
  <c r="M415" i="2"/>
  <c r="M379" i="2"/>
  <c r="M367" i="2"/>
  <c r="M355" i="2"/>
  <c r="M343" i="2"/>
  <c r="M331" i="2"/>
  <c r="M319" i="2"/>
  <c r="M307" i="2"/>
  <c r="M295" i="2"/>
  <c r="M271" i="2"/>
  <c r="M247" i="2"/>
  <c r="M235" i="2"/>
  <c r="M223" i="2"/>
  <c r="M199" i="2"/>
  <c r="M187" i="2"/>
  <c r="M175" i="2"/>
  <c r="M163" i="2"/>
  <c r="M151" i="2"/>
  <c r="M139" i="2"/>
  <c r="M127" i="2"/>
  <c r="M115" i="2"/>
  <c r="M103" i="2"/>
  <c r="M91" i="2"/>
  <c r="M79" i="2"/>
  <c r="M67" i="2"/>
  <c r="M55" i="2"/>
  <c r="M31" i="2"/>
  <c r="M19" i="2"/>
  <c r="M7" i="2"/>
  <c r="M1698" i="2"/>
  <c r="M1686" i="2"/>
  <c r="M1674" i="2"/>
  <c r="M1650" i="2"/>
  <c r="M1638" i="2"/>
  <c r="M1626" i="2"/>
  <c r="M1614" i="2"/>
  <c r="M1602" i="2"/>
  <c r="M1590" i="2"/>
  <c r="M1566" i="2"/>
  <c r="M1554" i="2"/>
  <c r="M1542" i="2"/>
  <c r="M1530" i="2"/>
  <c r="M1518" i="2"/>
  <c r="M1494" i="2"/>
  <c r="M1482" i="2"/>
  <c r="M1470" i="2"/>
  <c r="M1458" i="2"/>
  <c r="M1446" i="2"/>
  <c r="M1434" i="2"/>
  <c r="M1422" i="2"/>
  <c r="M1410" i="2"/>
  <c r="M1398" i="2"/>
  <c r="M1386" i="2"/>
  <c r="M1362" i="2"/>
  <c r="M1350" i="2"/>
  <c r="M1338" i="2"/>
  <c r="M1326" i="2"/>
  <c r="M1314" i="2"/>
  <c r="M1302" i="2"/>
  <c r="M1290" i="2"/>
  <c r="M1278" i="2"/>
  <c r="M1266" i="2"/>
  <c r="M1254" i="2"/>
  <c r="M1709" i="2"/>
  <c r="M1697" i="2"/>
  <c r="M1685" i="2"/>
  <c r="M1673" i="2"/>
  <c r="M1661" i="2"/>
  <c r="M1649" i="2"/>
  <c r="M1637" i="2"/>
  <c r="M1675" i="2"/>
  <c r="M1603" i="2"/>
  <c r="M1543" i="2"/>
  <c r="M1495" i="2"/>
  <c r="M1447" i="2"/>
  <c r="M1399" i="2"/>
  <c r="M1351" i="2"/>
  <c r="M1291" i="2"/>
  <c r="M1231" i="2"/>
  <c r="M1159" i="2"/>
  <c r="M1075" i="2"/>
  <c r="M1015" i="2"/>
  <c r="M967" i="2"/>
  <c r="M919" i="2"/>
  <c r="M847" i="2"/>
  <c r="M739" i="2"/>
  <c r="M511" i="2"/>
  <c r="M43" i="2"/>
  <c r="M1708" i="2"/>
  <c r="M1696" i="2"/>
  <c r="M1684" i="2"/>
  <c r="M1672" i="2"/>
  <c r="M1660" i="2"/>
  <c r="M1648" i="2"/>
  <c r="M1636" i="2"/>
  <c r="M1624" i="2"/>
  <c r="M1612" i="2"/>
  <c r="M1600" i="2"/>
  <c r="M1588" i="2"/>
  <c r="M1576" i="2"/>
  <c r="M1564" i="2"/>
  <c r="M1552" i="2"/>
  <c r="M1540" i="2"/>
  <c r="M1516" i="2"/>
  <c r="M1504" i="2"/>
  <c r="M1492" i="2"/>
  <c r="M1480" i="2"/>
  <c r="M1468" i="2"/>
  <c r="M1456" i="2"/>
  <c r="M1444" i="2"/>
  <c r="M1432" i="2"/>
  <c r="M1420" i="2"/>
  <c r="M1408" i="2"/>
  <c r="M1384" i="2"/>
  <c r="M1372" i="2"/>
  <c r="M1360" i="2"/>
  <c r="M1348" i="2"/>
  <c r="M1336" i="2"/>
  <c r="M1324" i="2"/>
  <c r="M1312" i="2"/>
  <c r="M1300" i="2"/>
  <c r="M1288" i="2"/>
  <c r="M1276" i="2"/>
  <c r="M1264" i="2"/>
  <c r="M1252" i="2"/>
  <c r="M1663" i="2"/>
  <c r="M1591" i="2"/>
  <c r="M1531" i="2"/>
  <c r="M1483" i="2"/>
  <c r="M1375" i="2"/>
  <c r="M1339" i="2"/>
  <c r="M1267" i="2"/>
  <c r="M1207" i="2"/>
  <c r="M1171" i="2"/>
  <c r="M1111" i="2"/>
  <c r="M1039" i="2"/>
  <c r="M991" i="2"/>
  <c r="M943" i="2"/>
  <c r="M883" i="2"/>
  <c r="M835" i="2"/>
  <c r="M799" i="2"/>
  <c r="M763" i="2"/>
  <c r="M631" i="2"/>
  <c r="M487" i="2"/>
  <c r="M283" i="2"/>
  <c r="M1707" i="2"/>
  <c r="M1695" i="2"/>
  <c r="M1683" i="2"/>
  <c r="M1671" i="2"/>
  <c r="M1659" i="2"/>
  <c r="M1647" i="2"/>
  <c r="M1635" i="2"/>
  <c r="M1623" i="2"/>
  <c r="M1611" i="2"/>
  <c r="M1587" i="2"/>
  <c r="M1575" i="2"/>
  <c r="M1563" i="2"/>
  <c r="M1551" i="2"/>
  <c r="M1539" i="2"/>
  <c r="M1503" i="2"/>
  <c r="M1491" i="2"/>
  <c r="M1479" i="2"/>
  <c r="M1467" i="2"/>
  <c r="M1443" i="2"/>
  <c r="M1431" i="2"/>
  <c r="M1419" i="2"/>
  <c r="M1383" i="2"/>
  <c r="M1371" i="2"/>
  <c r="M1359" i="2"/>
  <c r="M1347" i="2"/>
  <c r="M1299" i="2"/>
  <c r="M1275" i="2"/>
  <c r="M1239" i="2"/>
  <c r="M1227" i="2"/>
  <c r="M1191" i="2"/>
  <c r="M1167" i="2"/>
  <c r="M1143" i="2"/>
  <c r="M1107" i="2"/>
  <c r="M1095" i="2"/>
  <c r="M1059" i="2"/>
  <c r="M1047" i="2"/>
  <c r="M975" i="2"/>
  <c r="M951" i="2"/>
  <c r="M915" i="2"/>
  <c r="M903" i="2"/>
  <c r="M879" i="2"/>
  <c r="M855" i="2"/>
  <c r="M783" i="2"/>
  <c r="M759" i="2"/>
  <c r="M699" i="2"/>
  <c r="M663" i="2"/>
  <c r="M639" i="2"/>
  <c r="M615" i="2"/>
  <c r="M591" i="2"/>
  <c r="M567" i="2"/>
  <c r="M1625" i="2"/>
  <c r="M1613" i="2"/>
  <c r="M1601" i="2"/>
  <c r="M1589" i="2"/>
  <c r="M1577" i="2"/>
  <c r="M1565" i="2"/>
  <c r="M1553" i="2"/>
  <c r="M1541" i="2"/>
  <c r="M1529" i="2"/>
  <c r="M1517" i="2"/>
  <c r="M1505" i="2"/>
  <c r="M1493" i="2"/>
  <c r="M1481" i="2"/>
  <c r="M1469" i="2"/>
  <c r="M1457" i="2"/>
  <c r="M1445" i="2"/>
  <c r="M1433" i="2"/>
  <c r="M1421" i="2"/>
  <c r="M1409" i="2"/>
  <c r="M1397" i="2"/>
  <c r="M1385" i="2"/>
  <c r="M1373" i="2"/>
  <c r="M1361" i="2"/>
  <c r="M1349" i="2"/>
  <c r="M1337" i="2"/>
  <c r="M1325" i="2"/>
  <c r="M1313" i="2"/>
  <c r="M1301" i="2"/>
  <c r="M1289" i="2"/>
  <c r="M1277" i="2"/>
  <c r="M1265" i="2"/>
  <c r="M1253" i="2"/>
  <c r="M1241" i="2"/>
  <c r="M1229" i="2"/>
  <c r="M1217" i="2"/>
  <c r="M1205" i="2"/>
  <c r="M1193" i="2"/>
  <c r="M1181" i="2"/>
  <c r="M1169" i="2"/>
  <c r="M1157" i="2"/>
  <c r="M1145" i="2"/>
  <c r="M1133" i="2"/>
  <c r="M1121" i="2"/>
  <c r="M1109" i="2"/>
  <c r="M1097" i="2"/>
  <c r="M1085" i="2"/>
  <c r="M1073" i="2"/>
  <c r="M1061" i="2"/>
  <c r="M1049" i="2"/>
  <c r="M1037" i="2"/>
  <c r="M1025" i="2"/>
  <c r="M1013" i="2"/>
  <c r="M1001" i="2"/>
  <c r="M989" i="2"/>
  <c r="M977" i="2"/>
  <c r="M965" i="2"/>
  <c r="M953" i="2"/>
  <c r="M941" i="2"/>
  <c r="M929" i="2"/>
  <c r="M917" i="2"/>
  <c r="M905" i="2"/>
  <c r="M893" i="2"/>
  <c r="M881" i="2"/>
  <c r="M869" i="2"/>
  <c r="M857" i="2"/>
  <c r="M845" i="2"/>
  <c r="M833" i="2"/>
  <c r="M821" i="2"/>
  <c r="M809" i="2"/>
  <c r="M797" i="2"/>
  <c r="M785" i="2"/>
  <c r="M773" i="2"/>
  <c r="M761" i="2"/>
  <c r="M749" i="2"/>
  <c r="M737" i="2"/>
  <c r="M725" i="2"/>
  <c r="M713" i="2"/>
  <c r="M701" i="2"/>
  <c r="M689" i="2"/>
  <c r="M1242" i="2"/>
  <c r="M1230" i="2"/>
  <c r="M1218" i="2"/>
  <c r="M1206" i="2"/>
  <c r="M1194" i="2"/>
  <c r="M1182" i="2"/>
  <c r="M1170" i="2"/>
  <c r="M1158" i="2"/>
  <c r="M1146" i="2"/>
  <c r="M1134" i="2"/>
  <c r="M1122" i="2"/>
  <c r="M1110" i="2"/>
  <c r="M1098" i="2"/>
  <c r="M1086" i="2"/>
  <c r="M1074" i="2"/>
  <c r="M1062" i="2"/>
  <c r="M1050" i="2"/>
  <c r="M1038" i="2"/>
  <c r="M1026" i="2"/>
  <c r="M1014" i="2"/>
  <c r="M1002" i="2"/>
  <c r="M990" i="2"/>
  <c r="M978" i="2"/>
  <c r="M966" i="2"/>
  <c r="M954" i="2"/>
  <c r="M942" i="2"/>
  <c r="M930" i="2"/>
  <c r="M918" i="2"/>
  <c r="M906" i="2"/>
  <c r="M894" i="2"/>
  <c r="M882" i="2"/>
  <c r="M870" i="2"/>
  <c r="M858" i="2"/>
  <c r="M846" i="2"/>
  <c r="M834" i="2"/>
  <c r="M822" i="2"/>
  <c r="M810" i="2"/>
  <c r="M798" i="2"/>
  <c r="M786" i="2"/>
  <c r="M774" i="2"/>
  <c r="M762" i="2"/>
  <c r="M750" i="2"/>
  <c r="M738" i="2"/>
  <c r="M726" i="2"/>
  <c r="M714" i="2"/>
  <c r="M702" i="2"/>
  <c r="M690" i="2"/>
  <c r="M678" i="2"/>
  <c r="M666" i="2"/>
  <c r="M654" i="2"/>
  <c r="M642" i="2"/>
  <c r="M630" i="2"/>
  <c r="M618" i="2"/>
  <c r="M606" i="2"/>
  <c r="M594" i="2"/>
  <c r="M582" i="2"/>
  <c r="M570" i="2"/>
  <c r="M558" i="2"/>
  <c r="M546" i="2"/>
  <c r="M534" i="2"/>
  <c r="M522" i="2"/>
  <c r="M510" i="2"/>
  <c r="M498" i="2"/>
  <c r="M486" i="2"/>
  <c r="M474" i="2"/>
  <c r="M462" i="2"/>
  <c r="M450" i="2"/>
  <c r="M438" i="2"/>
  <c r="M426" i="2"/>
  <c r="M414" i="2"/>
  <c r="M402" i="2"/>
  <c r="M390" i="2"/>
  <c r="M378" i="2"/>
  <c r="M366" i="2"/>
  <c r="M354" i="2"/>
  <c r="M342" i="2"/>
  <c r="M330" i="2"/>
  <c r="M677" i="2"/>
  <c r="M665" i="2"/>
  <c r="M653" i="2"/>
  <c r="M641" i="2"/>
  <c r="M629" i="2"/>
  <c r="M617" i="2"/>
  <c r="M605" i="2"/>
  <c r="M593" i="2"/>
  <c r="M581" i="2"/>
  <c r="M569" i="2"/>
  <c r="M557" i="2"/>
  <c r="M545" i="2"/>
  <c r="M533" i="2"/>
  <c r="M521" i="2"/>
  <c r="M509" i="2"/>
  <c r="M497" i="2"/>
  <c r="M485" i="2"/>
  <c r="M473" i="2"/>
  <c r="M461" i="2"/>
  <c r="M449" i="2"/>
  <c r="M437" i="2"/>
  <c r="M425" i="2"/>
  <c r="M413" i="2"/>
  <c r="M401" i="2"/>
  <c r="M389" i="2"/>
  <c r="M377" i="2"/>
  <c r="M365" i="2"/>
  <c r="M353" i="2"/>
  <c r="M341" i="2"/>
  <c r="M329" i="2"/>
  <c r="M317" i="2"/>
  <c r="M305" i="2"/>
  <c r="M293" i="2"/>
  <c r="M281" i="2"/>
  <c r="M269" i="2"/>
  <c r="M257" i="2"/>
  <c r="M245" i="2"/>
  <c r="M233" i="2"/>
  <c r="M221" i="2"/>
  <c r="M209" i="2"/>
  <c r="M197" i="2"/>
  <c r="M185" i="2"/>
  <c r="M173" i="2"/>
  <c r="M161" i="2"/>
  <c r="M149" i="2"/>
  <c r="M137" i="2"/>
  <c r="M125" i="2"/>
  <c r="M113" i="2"/>
  <c r="M101" i="2"/>
  <c r="M89" i="2"/>
  <c r="M77" i="2"/>
  <c r="M65" i="2"/>
  <c r="M53" i="2"/>
  <c r="M41" i="2"/>
  <c r="M29" i="2"/>
  <c r="M17" i="2"/>
  <c r="M5" i="2"/>
  <c r="M1690" i="2"/>
  <c r="M1666" i="2"/>
  <c r="M1642" i="2"/>
  <c r="M1618" i="2"/>
  <c r="M1606" i="2"/>
  <c r="M1486" i="2"/>
  <c r="M1450" i="2"/>
  <c r="M1234" i="2"/>
  <c r="M1150" i="2"/>
  <c r="M658" i="2"/>
  <c r="M586" i="2"/>
  <c r="M550" i="2"/>
  <c r="M526" i="2"/>
  <c r="M1240" i="2"/>
  <c r="M1228" i="2"/>
  <c r="M1216" i="2"/>
  <c r="M1204" i="2"/>
  <c r="M1192" i="2"/>
  <c r="M1168" i="2"/>
  <c r="M1156" i="2"/>
  <c r="M1144" i="2"/>
  <c r="M1132" i="2"/>
  <c r="M1120" i="2"/>
  <c r="M1108" i="2"/>
  <c r="M1096" i="2"/>
  <c r="M1084" i="2"/>
  <c r="M1072" i="2"/>
  <c r="M1060" i="2"/>
  <c r="M1036" i="2"/>
  <c r="M1024" i="2"/>
  <c r="M1012" i="2"/>
  <c r="M1000" i="2"/>
  <c r="M988" i="2"/>
  <c r="M976" i="2"/>
  <c r="M964" i="2"/>
  <c r="M952" i="2"/>
  <c r="M940" i="2"/>
  <c r="M928" i="2"/>
  <c r="M916" i="2"/>
  <c r="M904" i="2"/>
  <c r="M892" i="2"/>
  <c r="M880" i="2"/>
  <c r="M868" i="2"/>
  <c r="M856" i="2"/>
  <c r="M844" i="2"/>
  <c r="M832" i="2"/>
  <c r="M820" i="2"/>
  <c r="M808" i="2"/>
  <c r="M796" i="2"/>
  <c r="M784" i="2"/>
  <c r="M772" i="2"/>
  <c r="M760" i="2"/>
  <c r="M748" i="2"/>
  <c r="M736" i="2"/>
  <c r="M724" i="2"/>
  <c r="M712" i="2"/>
  <c r="M700" i="2"/>
  <c r="M688" i="2"/>
  <c r="M676" i="2"/>
  <c r="M664" i="2"/>
  <c r="M652" i="2"/>
  <c r="M640" i="2"/>
  <c r="M616" i="2"/>
  <c r="M604" i="2"/>
  <c r="M592" i="2"/>
  <c r="M580" i="2"/>
  <c r="M568" i="2"/>
  <c r="M556" i="2"/>
  <c r="M544" i="2"/>
  <c r="M532" i="2"/>
  <c r="M520" i="2"/>
  <c r="M508" i="2"/>
  <c r="M496" i="2"/>
  <c r="M484" i="2"/>
  <c r="M472" i="2"/>
  <c r="M460" i="2"/>
  <c r="M424" i="2"/>
  <c r="M388" i="2"/>
  <c r="M352" i="2"/>
  <c r="M28" i="2"/>
  <c r="M309" i="2"/>
  <c r="M297" i="2"/>
  <c r="M285" i="2"/>
  <c r="M273" i="2"/>
  <c r="M261" i="2"/>
  <c r="M249" i="2"/>
  <c r="M237" i="2"/>
  <c r="M225" i="2"/>
  <c r="M213" i="2"/>
  <c r="M201" i="2"/>
  <c r="M189" i="2"/>
  <c r="M177" i="2"/>
  <c r="M165" i="2"/>
  <c r="M153" i="2"/>
  <c r="M141" i="2"/>
  <c r="M129" i="2"/>
  <c r="M117" i="2"/>
  <c r="M105" i="2"/>
  <c r="M93" i="2"/>
  <c r="M81" i="2"/>
  <c r="M69" i="2"/>
  <c r="M57" i="2"/>
  <c r="M45" i="2"/>
  <c r="M33" i="2"/>
  <c r="M21" i="2"/>
  <c r="M9" i="2"/>
  <c r="M1502" i="2"/>
  <c r="M1394" i="2"/>
  <c r="M1322" i="2"/>
  <c r="M1310" i="2"/>
  <c r="M1214" i="2"/>
  <c r="M1202" i="2"/>
  <c r="M1166" i="2"/>
  <c r="M1130" i="2"/>
  <c r="M878" i="2"/>
  <c r="M866" i="2"/>
  <c r="M770" i="2"/>
  <c r="M758" i="2"/>
  <c r="M578" i="2"/>
  <c r="M458" i="2"/>
  <c r="M386" i="2"/>
  <c r="M242" i="2"/>
  <c r="M170" i="2"/>
  <c r="M992" i="2"/>
  <c r="M980" i="2"/>
  <c r="M968" i="2"/>
  <c r="M944" i="2"/>
  <c r="M920" i="2"/>
  <c r="M908" i="2"/>
  <c r="M896" i="2"/>
  <c r="M884" i="2"/>
  <c r="M872" i="2"/>
  <c r="M860" i="2"/>
  <c r="M848" i="2"/>
  <c r="M824" i="2"/>
  <c r="M812" i="2"/>
  <c r="M788" i="2"/>
  <c r="M776" i="2"/>
  <c r="M752" i="2"/>
  <c r="M740" i="2"/>
  <c r="M728" i="2"/>
  <c r="M716" i="2"/>
  <c r="M704" i="2"/>
  <c r="M692" i="2"/>
  <c r="M680" i="2"/>
  <c r="M668" i="2"/>
  <c r="M656" i="2"/>
  <c r="M644" i="2"/>
  <c r="M632" i="2"/>
  <c r="M608" i="2"/>
  <c r="M584" i="2"/>
  <c r="M572" i="2"/>
  <c r="M560" i="2"/>
  <c r="M548" i="2"/>
  <c r="M536" i="2"/>
  <c r="M524" i="2"/>
  <c r="M512" i="2"/>
  <c r="M500" i="2"/>
  <c r="M488" i="2"/>
  <c r="M476" i="2"/>
  <c r="M464" i="2"/>
  <c r="M452" i="2"/>
  <c r="M440" i="2"/>
  <c r="M428" i="2"/>
  <c r="M416" i="2"/>
  <c r="M404" i="2"/>
  <c r="M392" i="2"/>
  <c r="M380" i="2"/>
  <c r="M368" i="2"/>
  <c r="M356" i="2"/>
  <c r="M344" i="2"/>
  <c r="M332" i="2"/>
  <c r="M320" i="2"/>
  <c r="M308" i="2"/>
  <c r="M296" i="2"/>
  <c r="M284" i="2"/>
  <c r="M272" i="2"/>
  <c r="M260" i="2"/>
  <c r="M248" i="2"/>
  <c r="M236" i="2"/>
  <c r="M224" i="2"/>
  <c r="M212" i="2"/>
  <c r="M200" i="2"/>
  <c r="M188" i="2"/>
  <c r="M176" i="2"/>
  <c r="M164" i="2"/>
  <c r="M152" i="2"/>
  <c r="M140" i="2"/>
  <c r="M128" i="2"/>
  <c r="M116" i="2"/>
  <c r="M104" i="2"/>
  <c r="M92" i="2"/>
  <c r="M80" i="2"/>
  <c r="M68" i="2"/>
  <c r="M56" i="2"/>
  <c r="M44" i="2"/>
  <c r="M32" i="2"/>
  <c r="M20" i="2"/>
  <c r="M8" i="2"/>
  <c r="M1706" i="2"/>
  <c r="M1682" i="2"/>
  <c r="M1646" i="2"/>
  <c r="M1610" i="2"/>
  <c r="M1574" i="2"/>
  <c r="M1454" i="2"/>
  <c r="M1418" i="2"/>
  <c r="M1346" i="2"/>
  <c r="M1286" i="2"/>
  <c r="M1154" i="2"/>
  <c r="M1082" i="2"/>
  <c r="M986" i="2"/>
  <c r="M914" i="2"/>
  <c r="M830" i="2"/>
  <c r="M638" i="2"/>
  <c r="M434" i="2"/>
  <c r="M350" i="2"/>
  <c r="M314" i="2"/>
  <c r="M206" i="2"/>
  <c r="M134" i="2"/>
  <c r="M98" i="2"/>
  <c r="M26" i="2"/>
  <c r="M1670" i="2"/>
  <c r="M1634" i="2"/>
  <c r="M1562" i="2"/>
  <c r="M1478" i="2"/>
  <c r="M1430" i="2"/>
  <c r="M1358" i="2"/>
  <c r="M1238" i="2"/>
  <c r="M1094" i="2"/>
  <c r="M974" i="2"/>
  <c r="M1694" i="2"/>
  <c r="M1658" i="2"/>
  <c r="M1622" i="2"/>
  <c r="M1598" i="2"/>
  <c r="M1550" i="2"/>
  <c r="M1466" i="2"/>
  <c r="M1406" i="2"/>
  <c r="M1370" i="2"/>
  <c r="M1334" i="2"/>
  <c r="M1298" i="2"/>
  <c r="M1274" i="2"/>
  <c r="M1226" i="2"/>
  <c r="M1178" i="2"/>
  <c r="M1142" i="2"/>
  <c r="M1010" i="2"/>
  <c r="M962" i="2"/>
  <c r="M854" i="2"/>
  <c r="M782" i="2"/>
  <c r="M722" i="2"/>
  <c r="M686" i="2"/>
  <c r="M614" i="2"/>
  <c r="M554" i="2"/>
  <c r="M494" i="2"/>
  <c r="M470" i="2"/>
  <c r="M422" i="2"/>
  <c r="M278" i="2"/>
  <c r="M1570" i="2"/>
  <c r="M1558" i="2"/>
  <c r="M1546" i="2"/>
  <c r="M1522" i="2"/>
  <c r="M1510" i="2"/>
  <c r="M1498" i="2"/>
  <c r="M1426" i="2"/>
  <c r="M1414" i="2"/>
  <c r="M1402" i="2"/>
  <c r="M1390" i="2"/>
  <c r="M1378" i="2"/>
  <c r="M1366" i="2"/>
  <c r="M1354" i="2"/>
  <c r="M1342" i="2"/>
  <c r="M1330" i="2"/>
  <c r="M1318" i="2"/>
  <c r="M1306" i="2"/>
  <c r="M1294" i="2"/>
  <c r="M1282" i="2"/>
  <c r="M1270" i="2"/>
  <c r="M1258" i="2"/>
  <c r="M1222" i="2"/>
  <c r="M1210" i="2"/>
  <c r="M1198" i="2"/>
  <c r="M1138" i="2"/>
  <c r="M1126" i="2"/>
  <c r="M1102" i="2"/>
  <c r="M1078" i="2"/>
  <c r="M1066" i="2"/>
  <c r="M1054" i="2"/>
  <c r="M1042" i="2"/>
  <c r="M1018" i="2"/>
  <c r="M1006" i="2"/>
  <c r="M994" i="2"/>
  <c r="M982" i="2"/>
  <c r="M970" i="2"/>
  <c r="M958" i="2"/>
  <c r="M946" i="2"/>
  <c r="M934" i="2"/>
  <c r="M922" i="2"/>
  <c r="M910" i="2"/>
  <c r="M886" i="2"/>
  <c r="M874" i="2"/>
  <c r="M862" i="2"/>
  <c r="M850" i="2"/>
  <c r="M838" i="2"/>
  <c r="M826" i="2"/>
  <c r="M814" i="2"/>
  <c r="M802" i="2"/>
  <c r="M790" i="2"/>
  <c r="M778" i="2"/>
  <c r="M766" i="2"/>
  <c r="M754" i="2"/>
  <c r="M742" i="2"/>
  <c r="M730" i="2"/>
  <c r="M718" i="2"/>
  <c r="M706" i="2"/>
  <c r="M682" i="2"/>
  <c r="M670" i="2"/>
  <c r="M646" i="2"/>
  <c r="M634" i="2"/>
  <c r="M598" i="2"/>
  <c r="M574" i="2"/>
  <c r="M562" i="2"/>
  <c r="M538" i="2"/>
  <c r="M514" i="2"/>
  <c r="M502" i="2"/>
  <c r="M490" i="2"/>
  <c r="M478" i="2"/>
  <c r="M466" i="2"/>
  <c r="M454" i="2"/>
  <c r="M442" i="2"/>
  <c r="M430" i="2"/>
  <c r="M418" i="2"/>
  <c r="M406" i="2"/>
  <c r="M394" i="2"/>
  <c r="M382" i="2"/>
  <c r="M370" i="2"/>
  <c r="M358" i="2"/>
  <c r="M346" i="2"/>
  <c r="M334" i="2"/>
  <c r="M322" i="2"/>
  <c r="M310" i="2"/>
  <c r="M298" i="2"/>
  <c r="M286" i="2"/>
  <c r="M274" i="2"/>
  <c r="M262" i="2"/>
  <c r="M250" i="2"/>
  <c r="M238" i="2"/>
  <c r="M214" i="2"/>
  <c r="M202" i="2"/>
  <c r="M190" i="2"/>
  <c r="M178" i="2"/>
  <c r="M166" i="2"/>
  <c r="M154" i="2"/>
  <c r="M142" i="2"/>
  <c r="M130" i="2"/>
  <c r="M118" i="2"/>
  <c r="M106" i="2"/>
  <c r="M94" i="2"/>
  <c r="M82" i="2"/>
  <c r="M70" i="2"/>
  <c r="M58" i="2"/>
  <c r="M46" i="2"/>
  <c r="M34" i="2"/>
  <c r="M22" i="2"/>
  <c r="M10" i="2"/>
  <c r="M318" i="2"/>
  <c r="M306" i="2"/>
  <c r="M294" i="2"/>
  <c r="M282" i="2"/>
  <c r="M270" i="2"/>
  <c r="M258" i="2"/>
  <c r="M234" i="2"/>
  <c r="M222" i="2"/>
  <c r="M210" i="2"/>
  <c r="M198" i="2"/>
  <c r="M186" i="2"/>
  <c r="M174" i="2"/>
  <c r="M162" i="2"/>
  <c r="M150" i="2"/>
  <c r="M138" i="2"/>
  <c r="M126" i="2"/>
  <c r="M114" i="2"/>
  <c r="M102" i="2"/>
  <c r="M90" i="2"/>
  <c r="M78" i="2"/>
  <c r="M66" i="2"/>
  <c r="M54" i="2"/>
  <c r="M42" i="2"/>
  <c r="M30" i="2"/>
  <c r="M18" i="2"/>
  <c r="M6" i="2"/>
  <c r="M16" i="2"/>
  <c r="M4" i="2"/>
  <c r="M945" i="2"/>
  <c r="M448" i="2"/>
  <c r="M436" i="2"/>
  <c r="M412" i="2"/>
  <c r="M400" i="2"/>
  <c r="M376" i="2"/>
  <c r="M364" i="2"/>
  <c r="M340" i="2"/>
  <c r="M328" i="2"/>
  <c r="M304" i="2"/>
  <c r="M292" i="2"/>
  <c r="M280" i="2"/>
  <c r="M268" i="2"/>
  <c r="M256" i="2"/>
  <c r="M232" i="2"/>
  <c r="M220" i="2"/>
  <c r="M208" i="2"/>
  <c r="M196" i="2"/>
  <c r="M184" i="2"/>
  <c r="M172" i="2"/>
  <c r="M160" i="2"/>
  <c r="M148" i="2"/>
  <c r="M136" i="2"/>
  <c r="M124" i="2"/>
  <c r="M112" i="2"/>
  <c r="M100" i="2"/>
  <c r="M88" i="2"/>
  <c r="M76" i="2"/>
  <c r="M64" i="2"/>
  <c r="M52" i="2"/>
  <c r="M40" i="2"/>
  <c r="M1263" i="2"/>
  <c r="M1203" i="2"/>
  <c r="M1131" i="2"/>
  <c r="M1119" i="2"/>
  <c r="M1083" i="2"/>
  <c r="M1035" i="2"/>
  <c r="M1023" i="2"/>
  <c r="M999" i="2"/>
  <c r="M987" i="2"/>
  <c r="M963" i="2"/>
  <c r="M939" i="2"/>
  <c r="M891" i="2"/>
  <c r="M867" i="2"/>
  <c r="M843" i="2"/>
  <c r="M831" i="2"/>
  <c r="M819" i="2"/>
  <c r="M807" i="2"/>
  <c r="M795" i="2"/>
  <c r="M771" i="2"/>
  <c r="M747" i="2"/>
  <c r="M723" i="2"/>
  <c r="M711" i="2"/>
  <c r="M687" i="2"/>
  <c r="M675" i="2"/>
  <c r="M651" i="2"/>
  <c r="M627" i="2"/>
  <c r="M603" i="2"/>
  <c r="M579" i="2"/>
  <c r="M555" i="2"/>
  <c r="M531" i="2"/>
  <c r="M519" i="2"/>
  <c r="M507" i="2"/>
  <c r="M483" i="2"/>
  <c r="M471" i="2"/>
  <c r="M459" i="2"/>
  <c r="M447" i="2"/>
  <c r="M435" i="2"/>
  <c r="M423" i="2"/>
  <c r="M411" i="2"/>
  <c r="M399" i="2"/>
  <c r="M387" i="2"/>
  <c r="M375" i="2"/>
  <c r="M363" i="2"/>
  <c r="M339" i="2"/>
  <c r="M327" i="2"/>
  <c r="M303" i="2"/>
  <c r="M291" i="2"/>
  <c r="M279" i="2"/>
  <c r="M267" i="2"/>
  <c r="M255" i="2"/>
  <c r="M243" i="2"/>
  <c r="M231" i="2"/>
  <c r="M219" i="2"/>
  <c r="M207" i="2"/>
  <c r="M195" i="2"/>
  <c r="M183" i="2"/>
  <c r="M171" i="2"/>
  <c r="M159" i="2"/>
  <c r="M147" i="2"/>
  <c r="M135" i="2"/>
  <c r="M123" i="2"/>
  <c r="M111" i="2"/>
  <c r="M99" i="2"/>
  <c r="M87" i="2"/>
  <c r="M75" i="2"/>
  <c r="M63" i="2"/>
  <c r="M51" i="2"/>
  <c r="M39" i="2"/>
  <c r="M27" i="2"/>
  <c r="M15" i="2"/>
  <c r="M3" i="2"/>
  <c r="M1250" i="2"/>
  <c r="M1190" i="2"/>
  <c r="M1118" i="2"/>
  <c r="M1106" i="2"/>
  <c r="M1070" i="2"/>
  <c r="M1058" i="2"/>
  <c r="M1046" i="2"/>
  <c r="M1034" i="2"/>
  <c r="M1022" i="2"/>
  <c r="M998" i="2"/>
  <c r="M950" i="2"/>
  <c r="M938" i="2"/>
  <c r="M926" i="2"/>
  <c r="M902" i="2"/>
  <c r="M890" i="2"/>
  <c r="M842" i="2"/>
  <c r="M818" i="2"/>
  <c r="M806" i="2"/>
  <c r="M794" i="2"/>
  <c r="M746" i="2"/>
  <c r="M734" i="2"/>
  <c r="M710" i="2"/>
  <c r="M698" i="2"/>
  <c r="M674" i="2"/>
  <c r="M662" i="2"/>
  <c r="M650" i="2"/>
  <c r="M626" i="2"/>
  <c r="M602" i="2"/>
  <c r="M590" i="2"/>
  <c r="M566" i="2"/>
  <c r="M542" i="2"/>
  <c r="M530" i="2"/>
  <c r="M518" i="2"/>
  <c r="M506" i="2"/>
  <c r="M482" i="2"/>
  <c r="M446" i="2"/>
  <c r="M410" i="2"/>
  <c r="M398" i="2"/>
  <c r="M374" i="2"/>
  <c r="M362" i="2"/>
  <c r="M338" i="2"/>
  <c r="M326" i="2"/>
  <c r="M302" i="2"/>
  <c r="M290" i="2"/>
  <c r="M266" i="2"/>
  <c r="M254" i="2"/>
  <c r="M230" i="2"/>
  <c r="M218" i="2"/>
  <c r="M194" i="2"/>
  <c r="M182" i="2"/>
  <c r="M158" i="2"/>
  <c r="M146" i="2"/>
  <c r="M122" i="2"/>
  <c r="M110" i="2"/>
  <c r="M86" i="2"/>
  <c r="M74" i="2"/>
  <c r="M62" i="2"/>
  <c r="M50" i="2"/>
  <c r="M38" i="2"/>
  <c r="M14" i="2"/>
  <c r="D5" i="6" l="1"/>
  <c r="F5" i="6"/>
  <c r="B7" i="6"/>
  <c r="C6" i="6"/>
  <c r="F6" i="6" s="1"/>
  <c r="W5" i="18"/>
  <c r="W6" i="18"/>
  <c r="O8" i="18"/>
  <c r="P6" i="18"/>
  <c r="U7" i="18"/>
  <c r="T9" i="18"/>
  <c r="C11" i="16"/>
  <c r="C18" i="16" s="1"/>
  <c r="E13" i="1" a="1"/>
  <c r="E13" i="1" s="1"/>
  <c r="F13" i="1" a="1"/>
  <c r="F13" i="1" s="1"/>
  <c r="G13" i="1" a="1"/>
  <c r="G13" i="1" s="1"/>
  <c r="E12" i="1" a="1"/>
  <c r="E12" i="1" s="1"/>
  <c r="F12" i="1" a="1"/>
  <c r="F12" i="1" s="1"/>
  <c r="G12" i="1" a="1"/>
  <c r="G12" i="1" s="1"/>
  <c r="D13" i="1" a="1"/>
  <c r="D13" i="1" s="1"/>
  <c r="D12" i="1" a="1"/>
  <c r="D12" i="1" s="1"/>
  <c r="E11" i="1" a="1"/>
  <c r="E11" i="1" s="1"/>
  <c r="F11" i="1" a="1"/>
  <c r="F11" i="1" s="1"/>
  <c r="G11" i="1" a="1"/>
  <c r="G11" i="1" s="1"/>
  <c r="D11" i="1" a="1"/>
  <c r="D11" i="1" s="1"/>
  <c r="E9" i="1" a="1"/>
  <c r="E9" i="1" s="1"/>
  <c r="F9" i="1" a="1"/>
  <c r="F9" i="1" s="1"/>
  <c r="G9" i="1" a="1"/>
  <c r="G9" i="1" s="1"/>
  <c r="D9" i="1" a="1"/>
  <c r="D9" i="1" s="1"/>
  <c r="J19" i="4"/>
  <c r="J20" i="4"/>
  <c r="J21" i="4"/>
  <c r="J22" i="4"/>
  <c r="J23" i="4"/>
  <c r="J24" i="4"/>
  <c r="J25" i="4"/>
  <c r="J26" i="4"/>
  <c r="J27" i="4"/>
  <c r="J28" i="4"/>
  <c r="J29" i="4"/>
  <c r="J5" i="4"/>
  <c r="J6" i="4"/>
  <c r="J7" i="4"/>
  <c r="J8" i="4"/>
  <c r="J9" i="4"/>
  <c r="J10" i="4"/>
  <c r="J11" i="4"/>
  <c r="J12" i="4"/>
  <c r="J13" i="4"/>
  <c r="J14" i="4"/>
  <c r="J15" i="4"/>
  <c r="J4" i="4"/>
  <c r="K20" i="4"/>
  <c r="K21" i="4"/>
  <c r="K22" i="4"/>
  <c r="K23" i="4"/>
  <c r="K24" i="4"/>
  <c r="K25" i="4"/>
  <c r="K29" i="4"/>
  <c r="K19" i="4"/>
  <c r="I23" i="4"/>
  <c r="L23" i="4" s="1"/>
  <c r="I25" i="4"/>
  <c r="L25" i="4" s="1"/>
  <c r="I19" i="4"/>
  <c r="L19" i="4" s="1"/>
  <c r="H20" i="4"/>
  <c r="I20" i="4" s="1"/>
  <c r="L20" i="4" s="1"/>
  <c r="H21" i="4"/>
  <c r="I21" i="4" s="1"/>
  <c r="L21" i="4" s="1"/>
  <c r="H22" i="4"/>
  <c r="I22" i="4" s="1"/>
  <c r="L22" i="4" s="1"/>
  <c r="H23" i="4"/>
  <c r="H24" i="4"/>
  <c r="I24" i="4" s="1"/>
  <c r="L24" i="4" s="1"/>
  <c r="H25" i="4"/>
  <c r="H26" i="4"/>
  <c r="K26" i="4" s="1"/>
  <c r="H27" i="4"/>
  <c r="I27" i="4" s="1"/>
  <c r="L27" i="4" s="1"/>
  <c r="H28" i="4"/>
  <c r="I28" i="4" s="1"/>
  <c r="L28" i="4" s="1"/>
  <c r="H29" i="4"/>
  <c r="I29" i="4" s="1"/>
  <c r="L29" i="4" s="1"/>
  <c r="H5" i="4"/>
  <c r="K5" i="4" s="1"/>
  <c r="H6" i="4"/>
  <c r="K6" i="4" s="1"/>
  <c r="H7" i="4"/>
  <c r="K7" i="4" s="1"/>
  <c r="H8" i="4"/>
  <c r="I8" i="4" s="1"/>
  <c r="L8" i="4" s="1"/>
  <c r="H9" i="4"/>
  <c r="I9" i="4" s="1"/>
  <c r="L9" i="4" s="1"/>
  <c r="H10" i="4"/>
  <c r="K10" i="4" s="1"/>
  <c r="H11" i="4"/>
  <c r="I11" i="4" s="1"/>
  <c r="L11" i="4" s="1"/>
  <c r="H12" i="4"/>
  <c r="K12" i="4" s="1"/>
  <c r="H13" i="4"/>
  <c r="I13" i="4" s="1"/>
  <c r="L13" i="4" s="1"/>
  <c r="H14" i="4"/>
  <c r="I14" i="4" s="1"/>
  <c r="L14" i="4" s="1"/>
  <c r="H15" i="4"/>
  <c r="K15" i="4" s="1"/>
  <c r="H4" i="4"/>
  <c r="I4" i="4" s="1"/>
  <c r="E8" i="1" a="1"/>
  <c r="E8" i="1" s="1"/>
  <c r="F8" i="1" a="1"/>
  <c r="F8" i="1" s="1"/>
  <c r="G8" i="1" a="1"/>
  <c r="G8" i="1" s="1"/>
  <c r="G21" i="1" l="1"/>
  <c r="D6" i="6"/>
  <c r="G6" i="6"/>
  <c r="B8" i="6"/>
  <c r="C7" i="6"/>
  <c r="F7" i="6" s="1"/>
  <c r="E7" i="6"/>
  <c r="W7" i="18"/>
  <c r="R6" i="18"/>
  <c r="O9" i="18"/>
  <c r="P7" i="18"/>
  <c r="U8" i="18"/>
  <c r="T10" i="18"/>
  <c r="F21" i="1"/>
  <c r="E21" i="1"/>
  <c r="F10" i="1"/>
  <c r="F22" i="1" s="1"/>
  <c r="E10" i="1"/>
  <c r="E22" i="1" s="1"/>
  <c r="D10" i="1"/>
  <c r="D22" i="1" s="1"/>
  <c r="G14" i="1"/>
  <c r="G23" i="1" s="1"/>
  <c r="G10" i="1"/>
  <c r="G22" i="1" s="1"/>
  <c r="F14" i="1"/>
  <c r="D14" i="1"/>
  <c r="D23" i="1" s="1"/>
  <c r="E14" i="1"/>
  <c r="E23" i="1" s="1"/>
  <c r="I26" i="4"/>
  <c r="L26" i="4" s="1"/>
  <c r="K28" i="4"/>
  <c r="K27" i="4"/>
  <c r="K14" i="4"/>
  <c r="I7" i="4"/>
  <c r="L7" i="4" s="1"/>
  <c r="K8" i="4"/>
  <c r="K9" i="4"/>
  <c r="I12" i="4"/>
  <c r="L12" i="4" s="1"/>
  <c r="K13" i="4"/>
  <c r="I6" i="4"/>
  <c r="L6" i="4" s="1"/>
  <c r="I5" i="4"/>
  <c r="L5" i="4" s="1"/>
  <c r="I10" i="4"/>
  <c r="L10" i="4" s="1"/>
  <c r="K11" i="4"/>
  <c r="L4" i="4"/>
  <c r="K4" i="4"/>
  <c r="H29" i="1" l="1"/>
  <c r="H30" i="1" s="1"/>
  <c r="H33" i="1"/>
  <c r="I33" i="1" s="1"/>
  <c r="D7" i="6"/>
  <c r="G7" i="6"/>
  <c r="B9" i="6"/>
  <c r="C8" i="6"/>
  <c r="G8" i="6" s="1"/>
  <c r="W8" i="18"/>
  <c r="R7" i="18"/>
  <c r="O10" i="18"/>
  <c r="P8" i="18"/>
  <c r="T11" i="18"/>
  <c r="U9" i="18"/>
  <c r="F23" i="1"/>
  <c r="F15" i="1"/>
  <c r="E15" i="1"/>
  <c r="G15" i="1"/>
  <c r="D15" i="1"/>
  <c r="I15" i="4"/>
  <c r="L15" i="4" s="1"/>
  <c r="I29" i="1" l="1"/>
  <c r="H21" i="1"/>
  <c r="H8" i="1" s="1"/>
  <c r="H28" i="1"/>
  <c r="H34" i="1"/>
  <c r="H32" i="1"/>
  <c r="H22" i="1" s="1"/>
  <c r="H37" i="1"/>
  <c r="I37" i="1" s="1"/>
  <c r="F8" i="6"/>
  <c r="D8" i="6"/>
  <c r="E8" i="6"/>
  <c r="C9" i="6"/>
  <c r="D9" i="6" s="1"/>
  <c r="E9" i="6"/>
  <c r="B10" i="6"/>
  <c r="W9" i="18"/>
  <c r="R8" i="18"/>
  <c r="O11" i="18"/>
  <c r="P9" i="18"/>
  <c r="T12" i="18"/>
  <c r="U10" i="18"/>
  <c r="I30" i="1" l="1"/>
  <c r="I28" i="1"/>
  <c r="H38" i="1"/>
  <c r="H36" i="1"/>
  <c r="H23" i="1"/>
  <c r="H14" i="1" s="1"/>
  <c r="I34" i="1"/>
  <c r="H10" i="1"/>
  <c r="I32" i="1"/>
  <c r="G9" i="6"/>
  <c r="F9" i="6"/>
  <c r="C10" i="6"/>
  <c r="D10" i="6" s="1"/>
  <c r="F10" i="6"/>
  <c r="G10" i="6"/>
  <c r="B11" i="6"/>
  <c r="W10" i="18"/>
  <c r="R9" i="18"/>
  <c r="O12" i="18"/>
  <c r="P10" i="18"/>
  <c r="T13" i="18"/>
  <c r="U11" i="18"/>
  <c r="I21" i="1" l="1"/>
  <c r="I8" i="1" s="1"/>
  <c r="I22" i="1"/>
  <c r="I36" i="1"/>
  <c r="I38" i="1"/>
  <c r="E10" i="6"/>
  <c r="C11" i="6"/>
  <c r="D11" i="6" s="1"/>
  <c r="B12" i="6"/>
  <c r="W11" i="18"/>
  <c r="R10" i="18"/>
  <c r="O13" i="18"/>
  <c r="P11" i="18"/>
  <c r="T14" i="18"/>
  <c r="U12" i="18"/>
  <c r="I10" i="1" l="1"/>
  <c r="I23" i="1"/>
  <c r="E11" i="6"/>
  <c r="G11" i="6"/>
  <c r="F11" i="6"/>
  <c r="C12" i="6"/>
  <c r="E12" i="6" s="1"/>
  <c r="B13" i="6"/>
  <c r="W12" i="18"/>
  <c r="R11" i="18"/>
  <c r="O14" i="18"/>
  <c r="P12" i="18"/>
  <c r="U14" i="18"/>
  <c r="W14" i="18" s="1"/>
  <c r="U13" i="18"/>
  <c r="H15" i="1"/>
  <c r="I14" i="1" l="1"/>
  <c r="I15" i="1" s="1"/>
  <c r="F12" i="6"/>
  <c r="D12" i="6"/>
  <c r="G12" i="6"/>
  <c r="C13" i="6"/>
  <c r="D13" i="6" s="1"/>
  <c r="F13" i="6"/>
  <c r="B14" i="6"/>
  <c r="G13" i="6"/>
  <c r="E13" i="6"/>
  <c r="W13" i="18"/>
  <c r="R12" i="18"/>
  <c r="P13" i="18"/>
  <c r="P14" i="18"/>
  <c r="R14" i="18" s="1"/>
  <c r="D6" i="16"/>
  <c r="D11" i="16" s="1"/>
  <c r="E6" i="16"/>
  <c r="E11" i="16" s="1"/>
  <c r="F6" i="16"/>
  <c r="F11" i="16" s="1"/>
  <c r="C14" i="6" l="1"/>
  <c r="D14" i="6" s="1"/>
  <c r="B15" i="6"/>
  <c r="R13" i="18"/>
  <c r="E14" i="6" l="1"/>
  <c r="G14" i="6"/>
  <c r="F14" i="6"/>
  <c r="C15" i="6"/>
  <c r="E15" i="6" s="1"/>
  <c r="B16" i="6"/>
  <c r="G15" i="6"/>
  <c r="F15" i="6" l="1"/>
  <c r="D15" i="6"/>
  <c r="C16" i="6"/>
  <c r="D16" i="6" s="1"/>
  <c r="B17" i="6"/>
  <c r="F16" i="6"/>
  <c r="E16" i="6"/>
  <c r="G16" i="6" l="1"/>
  <c r="C17" i="6"/>
  <c r="D17" i="6" s="1"/>
  <c r="F17" i="6"/>
  <c r="B18" i="6"/>
  <c r="G17" i="6" l="1"/>
  <c r="E17" i="6"/>
  <c r="C18" i="6"/>
  <c r="D18" i="6" s="1"/>
  <c r="B19" i="6"/>
  <c r="E18" i="6" l="1"/>
  <c r="F18" i="6"/>
  <c r="B20" i="6"/>
  <c r="C19" i="6"/>
  <c r="D19" i="6" s="1"/>
  <c r="G19" i="6"/>
  <c r="E19" i="6"/>
  <c r="F19" i="6"/>
  <c r="G18" i="6"/>
  <c r="C20" i="6" l="1"/>
  <c r="F20" i="6" s="1"/>
  <c r="B21" i="6"/>
  <c r="D20" i="6" l="1"/>
  <c r="G20" i="6"/>
  <c r="C21" i="6"/>
  <c r="F21" i="6" s="1"/>
  <c r="E21" i="6"/>
  <c r="B22" i="6"/>
  <c r="E20" i="6"/>
  <c r="D21" i="6" l="1"/>
  <c r="C22" i="6"/>
  <c r="E22" i="6" s="1"/>
  <c r="B23" i="6"/>
  <c r="G21" i="6"/>
  <c r="G22" i="6" l="1"/>
  <c r="D22" i="6"/>
  <c r="C23" i="6"/>
  <c r="F23" i="6" s="1"/>
  <c r="F22" i="6"/>
  <c r="E23" i="6" l="1"/>
  <c r="D23" i="6"/>
  <c r="G23"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2BF578-DCB2-4D84-9F18-407C3A719DDE}" keepAlive="1" name="Query - projectdata-nyse" description="Connection to the 'projectdata-nyse' query in the workbook." type="5" refreshedVersion="8" background="1" saveData="1">
    <dbPr connection="Provider=Microsoft.Mashup.OleDb.1;Data Source=$Workbook$;Location=projectdata-nyse;Extended Properties=&quot;&quot;" command="SELECT * FROM [projectdata-nys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<sst xmlns="http://schemas.openxmlformats.org/spreadsheetml/2006/main" count="9872" uniqueCount="685">
  <si>
    <t>Ticker Symbol</t>
  </si>
  <si>
    <t>Years</t>
  </si>
  <si>
    <t>Period Ending</t>
  </si>
  <si>
    <t>GICS Sector</t>
  </si>
  <si>
    <t>GICS Sub Industry</t>
  </si>
  <si>
    <t>AAL</t>
  </si>
  <si>
    <t>Year 1</t>
  </si>
  <si>
    <t>Industrials</t>
  </si>
  <si>
    <t>Airlines</t>
  </si>
  <si>
    <t>Year 2</t>
  </si>
  <si>
    <t>Year 3</t>
  </si>
  <si>
    <t>Year 4</t>
  </si>
  <si>
    <t>AAP</t>
  </si>
  <si>
    <t>Consumer Discretionary</t>
  </si>
  <si>
    <t>Automotive Retail</t>
  </si>
  <si>
    <t>AAPL</t>
  </si>
  <si>
    <t>Information Technology</t>
  </si>
  <si>
    <t>Computer Hardware</t>
  </si>
  <si>
    <t>ABBV</t>
  </si>
  <si>
    <t>Health Care</t>
  </si>
  <si>
    <t>Pharmaceuticals</t>
  </si>
  <si>
    <t>ABC</t>
  </si>
  <si>
    <t>Health Care Distributors</t>
  </si>
  <si>
    <t>ABT</t>
  </si>
  <si>
    <t>Health Care Equipment</t>
  </si>
  <si>
    <t>ADBE</t>
  </si>
  <si>
    <t>Application Software</t>
  </si>
  <si>
    <t>ADI</t>
  </si>
  <si>
    <t>Semiconductors</t>
  </si>
  <si>
    <t>ADM</t>
  </si>
  <si>
    <t>Consumer Staples</t>
  </si>
  <si>
    <t>Agricultural Products</t>
  </si>
  <si>
    <t>ADS</t>
  </si>
  <si>
    <t>Data Processing &amp; Outsourced Services</t>
  </si>
  <si>
    <t>ADSK</t>
  </si>
  <si>
    <t>AEE</t>
  </si>
  <si>
    <t>Utilities</t>
  </si>
  <si>
    <t>MultiUtilities</t>
  </si>
  <si>
    <t>AEP</t>
  </si>
  <si>
    <t>Electric Utilities</t>
  </si>
  <si>
    <t>AFL</t>
  </si>
  <si>
    <t>Financials</t>
  </si>
  <si>
    <t>Life &amp; Health Insurance</t>
  </si>
  <si>
    <t>AIG</t>
  </si>
  <si>
    <t>Property &amp; Casualty Insurance</t>
  </si>
  <si>
    <t>AIV</t>
  </si>
  <si>
    <t>Real Estate</t>
  </si>
  <si>
    <t>REITs</t>
  </si>
  <si>
    <t>AIZ</t>
  </si>
  <si>
    <t>Multi-line Insurance</t>
  </si>
  <si>
    <t>AKAM</t>
  </si>
  <si>
    <t>Internet Software &amp; Services</t>
  </si>
  <si>
    <t>ALB</t>
  </si>
  <si>
    <t>Materials</t>
  </si>
  <si>
    <t>Specialty Chemicals</t>
  </si>
  <si>
    <t>ALK</t>
  </si>
  <si>
    <t>ALL</t>
  </si>
  <si>
    <t>ALLE</t>
  </si>
  <si>
    <t>Building Products</t>
  </si>
  <si>
    <t>ALXN</t>
  </si>
  <si>
    <t>Biotechnology</t>
  </si>
  <si>
    <t>AMAT</t>
  </si>
  <si>
    <t>Semiconductor Equipment</t>
  </si>
  <si>
    <t>AME</t>
  </si>
  <si>
    <t>Electrical Components &amp; Equipment</t>
  </si>
  <si>
    <t>AMGN</t>
  </si>
  <si>
    <t>AMP</t>
  </si>
  <si>
    <t>Asset Management &amp; Custody Banks</t>
  </si>
  <si>
    <t>AMT</t>
  </si>
  <si>
    <t>Specialized REITs</t>
  </si>
  <si>
    <t>AMZN</t>
  </si>
  <si>
    <t>Internet &amp; Direct Marketing Retail</t>
  </si>
  <si>
    <t>AN</t>
  </si>
  <si>
    <t>Specialty Stores</t>
  </si>
  <si>
    <t>ANTM</t>
  </si>
  <si>
    <t>Managed Health Care</t>
  </si>
  <si>
    <t>APA</t>
  </si>
  <si>
    <t>Energy</t>
  </si>
  <si>
    <t>Oil &amp; Gas Exploration &amp; Production</t>
  </si>
  <si>
    <t>APC</t>
  </si>
  <si>
    <t>APD</t>
  </si>
  <si>
    <t>Industrial Gases</t>
  </si>
  <si>
    <t>APH</t>
  </si>
  <si>
    <t>Electronic Components</t>
  </si>
  <si>
    <t>ARNC</t>
  </si>
  <si>
    <t>Aerospace &amp; Defense</t>
  </si>
  <si>
    <t>ATVI</t>
  </si>
  <si>
    <t>Home Entertainment Software</t>
  </si>
  <si>
    <t>AVGO</t>
  </si>
  <si>
    <t>AVY</t>
  </si>
  <si>
    <t>Paper Packaging</t>
  </si>
  <si>
    <t>AWK</t>
  </si>
  <si>
    <t>Water Utilities</t>
  </si>
  <si>
    <t>AXP</t>
  </si>
  <si>
    <t>Consumer Finance</t>
  </si>
  <si>
    <t>AYI</t>
  </si>
  <si>
    <t>AZO</t>
  </si>
  <si>
    <t>BA</t>
  </si>
  <si>
    <t>BAC</t>
  </si>
  <si>
    <t>Banks</t>
  </si>
  <si>
    <t>BAX</t>
  </si>
  <si>
    <t>BBBY</t>
  </si>
  <si>
    <t>BBT</t>
  </si>
  <si>
    <t>BBY</t>
  </si>
  <si>
    <t>Computer &amp; Electronics Retail</t>
  </si>
  <si>
    <t>BCR</t>
  </si>
  <si>
    <t>BDX</t>
  </si>
  <si>
    <t>BHI</t>
  </si>
  <si>
    <t>Oil &amp; Gas Equipment &amp; Services</t>
  </si>
  <si>
    <t>BIIB</t>
  </si>
  <si>
    <t>BLL</t>
  </si>
  <si>
    <t>Metal &amp; Glass Containers</t>
  </si>
  <si>
    <t>BMY</t>
  </si>
  <si>
    <t>BSX</t>
  </si>
  <si>
    <t>BWA</t>
  </si>
  <si>
    <t>Auto Parts &amp; Equipment</t>
  </si>
  <si>
    <t>BXP</t>
  </si>
  <si>
    <t>CAG</t>
  </si>
  <si>
    <t>Packaged Foods &amp; Meats</t>
  </si>
  <si>
    <t>CAH</t>
  </si>
  <si>
    <t>CAT</t>
  </si>
  <si>
    <t>Construction &amp; Farm Machinery &amp; Heavy Trucks</t>
  </si>
  <si>
    <t>CB</t>
  </si>
  <si>
    <t>CBG</t>
  </si>
  <si>
    <t>Real Estate Services</t>
  </si>
  <si>
    <t>CCI</t>
  </si>
  <si>
    <t>CCL</t>
  </si>
  <si>
    <t>Hotels, Resorts &amp; Cruise Lines</t>
  </si>
  <si>
    <t>CELG</t>
  </si>
  <si>
    <t>CERN</t>
  </si>
  <si>
    <t>Health Care Technology</t>
  </si>
  <si>
    <t>CF</t>
  </si>
  <si>
    <t>Fertilizers &amp; Agricultural Chemicals</t>
  </si>
  <si>
    <t>CFG</t>
  </si>
  <si>
    <t>Regional Banks</t>
  </si>
  <si>
    <t>CHD</t>
  </si>
  <si>
    <t>Household Products</t>
  </si>
  <si>
    <t>CHK</t>
  </si>
  <si>
    <t>Integrated Oil &amp; Gas</t>
  </si>
  <si>
    <t>CHRW</t>
  </si>
  <si>
    <t>Air Freight &amp; Logistics</t>
  </si>
  <si>
    <t>CHTR</t>
  </si>
  <si>
    <t>Cable &amp; Satellite</t>
  </si>
  <si>
    <t>CI</t>
  </si>
  <si>
    <t>CINF</t>
  </si>
  <si>
    <t>CL</t>
  </si>
  <si>
    <t>CLX</t>
  </si>
  <si>
    <t>CMA</t>
  </si>
  <si>
    <t>CMG</t>
  </si>
  <si>
    <t>Restaurants</t>
  </si>
  <si>
    <t>CMI</t>
  </si>
  <si>
    <t>Industrial Machinery</t>
  </si>
  <si>
    <t>CMS</t>
  </si>
  <si>
    <t>CNC</t>
  </si>
  <si>
    <t>CNP</t>
  </si>
  <si>
    <t>COF</t>
  </si>
  <si>
    <t>COG</t>
  </si>
  <si>
    <t>COL</t>
  </si>
  <si>
    <t>Industrial Conglomerates</t>
  </si>
  <si>
    <t>COO</t>
  </si>
  <si>
    <t>Health Care Supplies</t>
  </si>
  <si>
    <t>COST</t>
  </si>
  <si>
    <t>Hypermarkets &amp; Super Centers</t>
  </si>
  <si>
    <t>COTY</t>
  </si>
  <si>
    <t>Personal Products</t>
  </si>
  <si>
    <t>CPB</t>
  </si>
  <si>
    <t>CRM</t>
  </si>
  <si>
    <t>CSCO</t>
  </si>
  <si>
    <t>Networking Equipment</t>
  </si>
  <si>
    <t>CSRA</t>
  </si>
  <si>
    <t>IT Consulting &amp; Other Services</t>
  </si>
  <si>
    <t>CSX</t>
  </si>
  <si>
    <t>Railroads</t>
  </si>
  <si>
    <t>CTAS</t>
  </si>
  <si>
    <t>Diversified Support Services</t>
  </si>
  <si>
    <t>CTL</t>
  </si>
  <si>
    <t>Telecommunications Services</t>
  </si>
  <si>
    <t>Integrated Telecommunications Services</t>
  </si>
  <si>
    <t>CTSH</t>
  </si>
  <si>
    <t>CTXS</t>
  </si>
  <si>
    <t>CVS</t>
  </si>
  <si>
    <t>Drug Retail</t>
  </si>
  <si>
    <t>CVX</t>
  </si>
  <si>
    <t>CXO</t>
  </si>
  <si>
    <t>D</t>
  </si>
  <si>
    <t>DAL</t>
  </si>
  <si>
    <t>DD</t>
  </si>
  <si>
    <t>Diversified Chemicals</t>
  </si>
  <si>
    <t>DE</t>
  </si>
  <si>
    <t>DFS</t>
  </si>
  <si>
    <t>DG</t>
  </si>
  <si>
    <t>General Merchandise Stores</t>
  </si>
  <si>
    <t>DGX</t>
  </si>
  <si>
    <t>Health Care Facilities</t>
  </si>
  <si>
    <t>DHI</t>
  </si>
  <si>
    <t>Homebuilding</t>
  </si>
  <si>
    <t>DHR</t>
  </si>
  <si>
    <t>DIS</t>
  </si>
  <si>
    <t>Broadcasting &amp; Cable TV</t>
  </si>
  <si>
    <t>DISCA</t>
  </si>
  <si>
    <t>DISCK</t>
  </si>
  <si>
    <t>DLPH</t>
  </si>
  <si>
    <t>DLR</t>
  </si>
  <si>
    <t>DLTR</t>
  </si>
  <si>
    <t>DNB</t>
  </si>
  <si>
    <t>Research &amp; Consulting Services</t>
  </si>
  <si>
    <t>DOV</t>
  </si>
  <si>
    <t>DPS</t>
  </si>
  <si>
    <t>Soft Drinks</t>
  </si>
  <si>
    <t>DRI</t>
  </si>
  <si>
    <t>DUK</t>
  </si>
  <si>
    <t>DVA</t>
  </si>
  <si>
    <t>DVN</t>
  </si>
  <si>
    <t>EA</t>
  </si>
  <si>
    <t>EBAY</t>
  </si>
  <si>
    <t>ECL</t>
  </si>
  <si>
    <t>ED</t>
  </si>
  <si>
    <t>EFX</t>
  </si>
  <si>
    <t>EIX</t>
  </si>
  <si>
    <t>EL</t>
  </si>
  <si>
    <t>EMN</t>
  </si>
  <si>
    <t>EMR</t>
  </si>
  <si>
    <t>EOG</t>
  </si>
  <si>
    <t>EQIX</t>
  </si>
  <si>
    <t>EQR</t>
  </si>
  <si>
    <t>EQT</t>
  </si>
  <si>
    <t>ES</t>
  </si>
  <si>
    <t>ESS</t>
  </si>
  <si>
    <t>Residential REITs</t>
  </si>
  <si>
    <t>ETFC</t>
  </si>
  <si>
    <t>Investment Banking &amp; Brokerage</t>
  </si>
  <si>
    <t>ETN</t>
  </si>
  <si>
    <t>ETR</t>
  </si>
  <si>
    <t>EW</t>
  </si>
  <si>
    <t>EXC</t>
  </si>
  <si>
    <t>EXPD</t>
  </si>
  <si>
    <t>EXPE</t>
  </si>
  <si>
    <t>EXR</t>
  </si>
  <si>
    <t>F</t>
  </si>
  <si>
    <t>Automobile Manufacturers</t>
  </si>
  <si>
    <t>FAST</t>
  </si>
  <si>
    <t>FB</t>
  </si>
  <si>
    <t>FBHS</t>
  </si>
  <si>
    <t>FCX</t>
  </si>
  <si>
    <t>Copper</t>
  </si>
  <si>
    <t>FDX</t>
  </si>
  <si>
    <t>FE</t>
  </si>
  <si>
    <t>FFIV</t>
  </si>
  <si>
    <t>FIS</t>
  </si>
  <si>
    <t>FISV</t>
  </si>
  <si>
    <t>FL</t>
  </si>
  <si>
    <t>Apparel Retail</t>
  </si>
  <si>
    <t>FLIR</t>
  </si>
  <si>
    <t>Electronic Equipment &amp; Instruments</t>
  </si>
  <si>
    <t>FLR</t>
  </si>
  <si>
    <t>Diversified Commercial Services</t>
  </si>
  <si>
    <t>FLS</t>
  </si>
  <si>
    <t>FMC</t>
  </si>
  <si>
    <t>FRT</t>
  </si>
  <si>
    <t>Retail REITs</t>
  </si>
  <si>
    <t>FSLR</t>
  </si>
  <si>
    <t>FTR</t>
  </si>
  <si>
    <t>GD</t>
  </si>
  <si>
    <t>GGP</t>
  </si>
  <si>
    <t>GILD</t>
  </si>
  <si>
    <t>GIS</t>
  </si>
  <si>
    <t>GLW</t>
  </si>
  <si>
    <t>GM</t>
  </si>
  <si>
    <t>GPC</t>
  </si>
  <si>
    <t>GPN</t>
  </si>
  <si>
    <t>GPS</t>
  </si>
  <si>
    <t>GRMN</t>
  </si>
  <si>
    <t>Consumer Electronics</t>
  </si>
  <si>
    <t>GT</t>
  </si>
  <si>
    <t>Tires &amp; Rubber</t>
  </si>
  <si>
    <t>GWW</t>
  </si>
  <si>
    <t>Industrial Materials</t>
  </si>
  <si>
    <t>HAL</t>
  </si>
  <si>
    <t>HAR</t>
  </si>
  <si>
    <t>HAS</t>
  </si>
  <si>
    <t>Leisure Products</t>
  </si>
  <si>
    <t>HBAN</t>
  </si>
  <si>
    <t>HBI</t>
  </si>
  <si>
    <t>Apparel, Accessories &amp; Luxury Goods</t>
  </si>
  <si>
    <t>HCA</t>
  </si>
  <si>
    <t>HCN</t>
  </si>
  <si>
    <t>HCP</t>
  </si>
  <si>
    <t>HD</t>
  </si>
  <si>
    <t>Home Improvement Retail</t>
  </si>
  <si>
    <t>HES</t>
  </si>
  <si>
    <t>HIG</t>
  </si>
  <si>
    <t>HOG</t>
  </si>
  <si>
    <t>Motorcycle Manufacturers</t>
  </si>
  <si>
    <t>HOLX</t>
  </si>
  <si>
    <t>HON</t>
  </si>
  <si>
    <t>HP</t>
  </si>
  <si>
    <t>Oil &amp; Gas Drilling</t>
  </si>
  <si>
    <t>HPE</t>
  </si>
  <si>
    <t>Technology Hardware, Storage &amp; Peripherals</t>
  </si>
  <si>
    <t>HPQ</t>
  </si>
  <si>
    <t>HRB</t>
  </si>
  <si>
    <t>HRL</t>
  </si>
  <si>
    <t>HRS</t>
  </si>
  <si>
    <t>Telecommunications Equipment</t>
  </si>
  <si>
    <t>HSIC</t>
  </si>
  <si>
    <t>HST</t>
  </si>
  <si>
    <t>HSY</t>
  </si>
  <si>
    <t>HUM</t>
  </si>
  <si>
    <t>IBM</t>
  </si>
  <si>
    <t>IDXX</t>
  </si>
  <si>
    <t>IFF</t>
  </si>
  <si>
    <t>ILMN</t>
  </si>
  <si>
    <t>Life Sciences Tools &amp; Services</t>
  </si>
  <si>
    <t>INTC</t>
  </si>
  <si>
    <t>INTU</t>
  </si>
  <si>
    <t>IP</t>
  </si>
  <si>
    <t>IPG</t>
  </si>
  <si>
    <t>Advertising</t>
  </si>
  <si>
    <t>IRM</t>
  </si>
  <si>
    <t>ISRG</t>
  </si>
  <si>
    <t>ITW</t>
  </si>
  <si>
    <t>IVZ</t>
  </si>
  <si>
    <t>JBHT</t>
  </si>
  <si>
    <t>Trucking</t>
  </si>
  <si>
    <t>JEC</t>
  </si>
  <si>
    <t>JNPR</t>
  </si>
  <si>
    <t>JPM</t>
  </si>
  <si>
    <t>JWN</t>
  </si>
  <si>
    <t>Department Stores</t>
  </si>
  <si>
    <t>K</t>
  </si>
  <si>
    <t>KEY</t>
  </si>
  <si>
    <t>KIM</t>
  </si>
  <si>
    <t>KLAC</t>
  </si>
  <si>
    <t>KMB</t>
  </si>
  <si>
    <t>KMI</t>
  </si>
  <si>
    <t>Oil &amp; Gas Refining &amp; Marketing &amp; Transportation</t>
  </si>
  <si>
    <t>KMX</t>
  </si>
  <si>
    <t>KO</t>
  </si>
  <si>
    <t>KORS</t>
  </si>
  <si>
    <t>KR</t>
  </si>
  <si>
    <t>Food Retail</t>
  </si>
  <si>
    <t>KSS</t>
  </si>
  <si>
    <t>KSU</t>
  </si>
  <si>
    <t>LB</t>
  </si>
  <si>
    <t>LEG</t>
  </si>
  <si>
    <t>LEN</t>
  </si>
  <si>
    <t>LH</t>
  </si>
  <si>
    <t>LKQ</t>
  </si>
  <si>
    <t>Distributors</t>
  </si>
  <si>
    <t>LLL</t>
  </si>
  <si>
    <t>LLTC</t>
  </si>
  <si>
    <t>LLY</t>
  </si>
  <si>
    <t>LMT</t>
  </si>
  <si>
    <t>LNT</t>
  </si>
  <si>
    <t>LOW</t>
  </si>
  <si>
    <t>LRCX</t>
  </si>
  <si>
    <t>LUK</t>
  </si>
  <si>
    <t>Multi-Sector Holdings</t>
  </si>
  <si>
    <t>LUV</t>
  </si>
  <si>
    <t>LVLT</t>
  </si>
  <si>
    <t>Alternative Carriers</t>
  </si>
  <si>
    <t>LYB</t>
  </si>
  <si>
    <t>M</t>
  </si>
  <si>
    <t>MA</t>
  </si>
  <si>
    <t>MAA</t>
  </si>
  <si>
    <t>MAC</t>
  </si>
  <si>
    <t>MAR</t>
  </si>
  <si>
    <t>MAS</t>
  </si>
  <si>
    <t>MAT</t>
  </si>
  <si>
    <t>MCD</t>
  </si>
  <si>
    <t>MCHP</t>
  </si>
  <si>
    <t>MCK</t>
  </si>
  <si>
    <t>MCO</t>
  </si>
  <si>
    <t>Diversified Financial Services</t>
  </si>
  <si>
    <t>MDLZ</t>
  </si>
  <si>
    <t>MET</t>
  </si>
  <si>
    <t>MHK</t>
  </si>
  <si>
    <t>Home Furnishings</t>
  </si>
  <si>
    <t>MJN</t>
  </si>
  <si>
    <t>MKC</t>
  </si>
  <si>
    <t>MLM</t>
  </si>
  <si>
    <t>Construction Materials</t>
  </si>
  <si>
    <t>MMC</t>
  </si>
  <si>
    <t>Insurance Brokers</t>
  </si>
  <si>
    <t>MMM</t>
  </si>
  <si>
    <t>MNST</t>
  </si>
  <si>
    <t>MO</t>
  </si>
  <si>
    <t>Tobacco</t>
  </si>
  <si>
    <t>MON</t>
  </si>
  <si>
    <t>MOS</t>
  </si>
  <si>
    <t>MPC</t>
  </si>
  <si>
    <t>MRK</t>
  </si>
  <si>
    <t>MRO</t>
  </si>
  <si>
    <t>MSFT</t>
  </si>
  <si>
    <t>Systems Software</t>
  </si>
  <si>
    <t>MTB</t>
  </si>
  <si>
    <t>MTD</t>
  </si>
  <si>
    <t>MU</t>
  </si>
  <si>
    <t>MUR</t>
  </si>
  <si>
    <t>MYL</t>
  </si>
  <si>
    <t>NBL</t>
  </si>
  <si>
    <t>NDAQ</t>
  </si>
  <si>
    <t>NEE</t>
  </si>
  <si>
    <t>NEM</t>
  </si>
  <si>
    <t>Gold</t>
  </si>
  <si>
    <t>NFLX</t>
  </si>
  <si>
    <t>NFX</t>
  </si>
  <si>
    <t>NKE</t>
  </si>
  <si>
    <t>NLSN</t>
  </si>
  <si>
    <t>NOV</t>
  </si>
  <si>
    <t>NSC</t>
  </si>
  <si>
    <t>NTAP</t>
  </si>
  <si>
    <t>NUE</t>
  </si>
  <si>
    <t>Steel</t>
  </si>
  <si>
    <t>NVDA</t>
  </si>
  <si>
    <t>NWL</t>
  </si>
  <si>
    <t>Housewares &amp; Specialties</t>
  </si>
  <si>
    <t>O</t>
  </si>
  <si>
    <t>OKE</t>
  </si>
  <si>
    <t>OMC</t>
  </si>
  <si>
    <t>ORLY</t>
  </si>
  <si>
    <t>OXY</t>
  </si>
  <si>
    <t>PBCT</t>
  </si>
  <si>
    <t>Thrifts &amp; Mortgage Finance</t>
  </si>
  <si>
    <t>PBI</t>
  </si>
  <si>
    <t>Technology, Hardware, Software and Supplies</t>
  </si>
  <si>
    <t>PCAR</t>
  </si>
  <si>
    <t>PCG</t>
  </si>
  <si>
    <t>PCLN</t>
  </si>
  <si>
    <t>PDCO</t>
  </si>
  <si>
    <t>PEG</t>
  </si>
  <si>
    <t>PEP</t>
  </si>
  <si>
    <t>PFE</t>
  </si>
  <si>
    <t>PFG</t>
  </si>
  <si>
    <t>PG</t>
  </si>
  <si>
    <t>PGR</t>
  </si>
  <si>
    <t>PH</t>
  </si>
  <si>
    <t>PHM</t>
  </si>
  <si>
    <t>PKI</t>
  </si>
  <si>
    <t>PM</t>
  </si>
  <si>
    <t>PNC</t>
  </si>
  <si>
    <t>PNR</t>
  </si>
  <si>
    <t>PNW</t>
  </si>
  <si>
    <t>PPG</t>
  </si>
  <si>
    <t>PPL</t>
  </si>
  <si>
    <t>PRU</t>
  </si>
  <si>
    <t>PSX</t>
  </si>
  <si>
    <t>PVH</t>
  </si>
  <si>
    <t>PWR</t>
  </si>
  <si>
    <t>PX</t>
  </si>
  <si>
    <t>QCOM</t>
  </si>
  <si>
    <t>QRVO</t>
  </si>
  <si>
    <t>R</t>
  </si>
  <si>
    <t>RCL</t>
  </si>
  <si>
    <t>REGN</t>
  </si>
  <si>
    <t>RHI</t>
  </si>
  <si>
    <t>Human Resource &amp; Employment Services</t>
  </si>
  <si>
    <t>RHT</t>
  </si>
  <si>
    <t>RL</t>
  </si>
  <si>
    <t>ROK</t>
  </si>
  <si>
    <t>ROP</t>
  </si>
  <si>
    <t>ROST</t>
  </si>
  <si>
    <t>RRC</t>
  </si>
  <si>
    <t>RSG</t>
  </si>
  <si>
    <t>SBUX</t>
  </si>
  <si>
    <t>SCG</t>
  </si>
  <si>
    <t>SE</t>
  </si>
  <si>
    <t>SEE</t>
  </si>
  <si>
    <t>SHW</t>
  </si>
  <si>
    <t>SIG</t>
  </si>
  <si>
    <t>SJM</t>
  </si>
  <si>
    <t>SLG</t>
  </si>
  <si>
    <t>Office REITs</t>
  </si>
  <si>
    <t>SNA</t>
  </si>
  <si>
    <t>Household Appliances</t>
  </si>
  <si>
    <t>SNI</t>
  </si>
  <si>
    <t>SO</t>
  </si>
  <si>
    <t>SPG</t>
  </si>
  <si>
    <t>SPLS</t>
  </si>
  <si>
    <t>SRCL</t>
  </si>
  <si>
    <t>SRE</t>
  </si>
  <si>
    <t>STI</t>
  </si>
  <si>
    <t>STX</t>
  </si>
  <si>
    <t>Computer Storage &amp; Peripherals</t>
  </si>
  <si>
    <t>STZ</t>
  </si>
  <si>
    <t>Distillers &amp; Vintners</t>
  </si>
  <si>
    <t>SWK</t>
  </si>
  <si>
    <t>SWKS</t>
  </si>
  <si>
    <t>SWN</t>
  </si>
  <si>
    <t>SYF</t>
  </si>
  <si>
    <t>SYK</t>
  </si>
  <si>
    <t>SYMC</t>
  </si>
  <si>
    <t>SYY</t>
  </si>
  <si>
    <t>Food Distributors</t>
  </si>
  <si>
    <t>T</t>
  </si>
  <si>
    <t>TAP</t>
  </si>
  <si>
    <t>Brewers</t>
  </si>
  <si>
    <t>TDC</t>
  </si>
  <si>
    <t>TDG</t>
  </si>
  <si>
    <t>TEL</t>
  </si>
  <si>
    <t>Electronic Manufacturing Services</t>
  </si>
  <si>
    <t>TGNA</t>
  </si>
  <si>
    <t>Publishing</t>
  </si>
  <si>
    <t>TGT</t>
  </si>
  <si>
    <t>TIF</t>
  </si>
  <si>
    <t>TJX</t>
  </si>
  <si>
    <t>TMK</t>
  </si>
  <si>
    <t>TMO</t>
  </si>
  <si>
    <t>TRIP</t>
  </si>
  <si>
    <t>TRV</t>
  </si>
  <si>
    <t>TSCO</t>
  </si>
  <si>
    <t>Specialty Retail</t>
  </si>
  <si>
    <t>TSN</t>
  </si>
  <si>
    <t>TSO</t>
  </si>
  <si>
    <t>TSS</t>
  </si>
  <si>
    <t>TXN</t>
  </si>
  <si>
    <t>TXT</t>
  </si>
  <si>
    <t>UA</t>
  </si>
  <si>
    <t>UAA</t>
  </si>
  <si>
    <t>UAL</t>
  </si>
  <si>
    <t>UDR</t>
  </si>
  <si>
    <t>ULTA</t>
  </si>
  <si>
    <t>UNH</t>
  </si>
  <si>
    <t>UNM</t>
  </si>
  <si>
    <t>UNP</t>
  </si>
  <si>
    <t>UPS</t>
  </si>
  <si>
    <t>URBN</t>
  </si>
  <si>
    <t>USB</t>
  </si>
  <si>
    <t>UTX</t>
  </si>
  <si>
    <t>V</t>
  </si>
  <si>
    <t>VAR</t>
  </si>
  <si>
    <t>VFC</t>
  </si>
  <si>
    <t>VIAB</t>
  </si>
  <si>
    <t>VLO</t>
  </si>
  <si>
    <t>VMC</t>
  </si>
  <si>
    <t>VNO</t>
  </si>
  <si>
    <t>VRSK</t>
  </si>
  <si>
    <t>VRSN</t>
  </si>
  <si>
    <t>VRTX</t>
  </si>
  <si>
    <t>VTR</t>
  </si>
  <si>
    <t>VZ</t>
  </si>
  <si>
    <t>WAT</t>
  </si>
  <si>
    <t>WDC</t>
  </si>
  <si>
    <t>WEC</t>
  </si>
  <si>
    <t>WFC</t>
  </si>
  <si>
    <t>WFM</t>
  </si>
  <si>
    <t>WHR</t>
  </si>
  <si>
    <t>WM</t>
  </si>
  <si>
    <t>Environmental Services</t>
  </si>
  <si>
    <t>WMB</t>
  </si>
  <si>
    <t>WMT</t>
  </si>
  <si>
    <t>WRK</t>
  </si>
  <si>
    <t>WU</t>
  </si>
  <si>
    <t>WY</t>
  </si>
  <si>
    <t>WYN</t>
  </si>
  <si>
    <t>WYNN</t>
  </si>
  <si>
    <t>Casinos &amp; Gaming</t>
  </si>
  <si>
    <t>XEC</t>
  </si>
  <si>
    <t>XEL</t>
  </si>
  <si>
    <t>XL</t>
  </si>
  <si>
    <t>XLNX</t>
  </si>
  <si>
    <t>XOM</t>
  </si>
  <si>
    <t>XRAY</t>
  </si>
  <si>
    <t>XRX</t>
  </si>
  <si>
    <t>XYL</t>
  </si>
  <si>
    <t>YHOO</t>
  </si>
  <si>
    <t>YUM</t>
  </si>
  <si>
    <t>ZBH</t>
  </si>
  <si>
    <t>ZION</t>
  </si>
  <si>
    <t>ZTS</t>
  </si>
  <si>
    <t>Gross Profit</t>
  </si>
  <si>
    <t>Total Revenue</t>
  </si>
  <si>
    <t>Row Labels</t>
  </si>
  <si>
    <t>Grand Total</t>
  </si>
  <si>
    <t>COGS</t>
  </si>
  <si>
    <t>SGAs</t>
  </si>
  <si>
    <t>RND</t>
  </si>
  <si>
    <t>Other Operating Items</t>
  </si>
  <si>
    <t>Cost of Goods Sold</t>
  </si>
  <si>
    <t>Sales, General and Admin.</t>
  </si>
  <si>
    <t>Research and Development</t>
  </si>
  <si>
    <t>Total Operating Expence</t>
  </si>
  <si>
    <t xml:space="preserve">Sum of  Total Revenue </t>
  </si>
  <si>
    <t xml:space="preserve">Sum of  Cost of Goods Sold </t>
  </si>
  <si>
    <t xml:space="preserve">Sum of  Research and Development </t>
  </si>
  <si>
    <t xml:space="preserve">Sum of  Sales, General and Admin. </t>
  </si>
  <si>
    <t xml:space="preserve">Sum of  Other Operating Items </t>
  </si>
  <si>
    <t>Gross Margin</t>
  </si>
  <si>
    <t>Operating Margin</t>
  </si>
  <si>
    <t>Operating Profit</t>
  </si>
  <si>
    <t xml:space="preserve">                  </t>
  </si>
  <si>
    <t xml:space="preserve">     </t>
  </si>
  <si>
    <t>Total Spending</t>
  </si>
  <si>
    <t>Operating Statistics</t>
  </si>
  <si>
    <t>Historical</t>
  </si>
  <si>
    <t>Assumptions</t>
  </si>
  <si>
    <t>Revenue Growth (%)</t>
  </si>
  <si>
    <t>Year 5</t>
  </si>
  <si>
    <t>Year 6</t>
  </si>
  <si>
    <t>Scenario</t>
  </si>
  <si>
    <t>Base Case</t>
  </si>
  <si>
    <t>Revenue Growth(%)</t>
  </si>
  <si>
    <t>Strong Case</t>
  </si>
  <si>
    <t>Weak Case</t>
  </si>
  <si>
    <t>Operating Profit / EBIT</t>
  </si>
  <si>
    <t>Average of Total Operating Expence</t>
  </si>
  <si>
    <r>
      <t>Observation:</t>
    </r>
    <r>
      <rPr>
        <sz val="11"/>
        <color theme="1"/>
        <rFont val="Aptos Narrow"/>
        <family val="2"/>
        <scheme val="minor"/>
      </rPr>
      <t xml:space="preserve"> As observed in the bar graph above, Health Care, Energy, and Consumer Staples CGIs have operating expenses between 5 and 10 billion dollars.</t>
    </r>
  </si>
  <si>
    <t>Median</t>
  </si>
  <si>
    <t>Q3</t>
  </si>
  <si>
    <t>Max</t>
  </si>
  <si>
    <t>Min</t>
  </si>
  <si>
    <t>Total Operating Expence E</t>
  </si>
  <si>
    <t>Total Operating Expence H</t>
  </si>
  <si>
    <t>Total Operating Expence CS</t>
  </si>
  <si>
    <t>Q1</t>
  </si>
  <si>
    <t>Category</t>
  </si>
  <si>
    <t>Standard Deviation</t>
  </si>
  <si>
    <t>Question: Which industries have an average operating expense between 5 and 10 billion dollars, and how do their financial profiles compare?</t>
  </si>
  <si>
    <t>Total Operating Exp(Bins)</t>
  </si>
  <si>
    <t>$0-5B</t>
  </si>
  <si>
    <t>$10-15B</t>
  </si>
  <si>
    <t>$15-20B</t>
  </si>
  <si>
    <t>$20-25B</t>
  </si>
  <si>
    <t>$25-30B</t>
  </si>
  <si>
    <t>$30-35B</t>
  </si>
  <si>
    <t>$5-10B</t>
  </si>
  <si>
    <t>Count of Total Operating Exp(Bins)</t>
  </si>
  <si>
    <t>Step 4: Creating a 100% Bar Chart to Visualize the Proportion of Companies Across Operating Expenditure Ranges</t>
  </si>
  <si>
    <t>Step 1: Filtering the dataset for IT CGIS industries. (Click to View)</t>
  </si>
  <si>
    <t>Step 2: Creating Bins of $5B to catagorise our Data. (Click to View)</t>
  </si>
  <si>
    <t>Step 3: Creating a Pivot Table to view this data in the form of a condensed manner. (Click to View)</t>
  </si>
  <si>
    <t>Observation: Several sub industries have 100% of their companies operating in the $0-5B range</t>
  </si>
  <si>
    <t>IT GICS</t>
  </si>
  <si>
    <t>Step 5 Calculating Summary Statistics to view the data in depth</t>
  </si>
  <si>
    <t>Sub-Industries</t>
  </si>
  <si>
    <t>Step 6: Using a Box Plot to visualise the summary statistics</t>
  </si>
  <si>
    <t>StDev</t>
  </si>
  <si>
    <t>1)</t>
  </si>
  <si>
    <t>2)</t>
  </si>
  <si>
    <t>3)</t>
  </si>
  <si>
    <t>4)</t>
  </si>
  <si>
    <t>5)</t>
  </si>
  <si>
    <t>Green Indicates strengt</t>
  </si>
  <si>
    <t>White indicates a weakness</t>
  </si>
  <si>
    <t>Observation: There are also certain sub-industries like Systems Software, Semiconductors, Internet Software &amp; services, IT Consulting &amp; other services and Computer Hardware that spend at least $25Billion on Operating Expences.</t>
  </si>
  <si>
    <t>Whiter shades indicate lesser spendings, while blue shades indicate higher spendings, as mentioned in the legend.</t>
  </si>
  <si>
    <t>Observations noted from Summary Statistics:</t>
  </si>
  <si>
    <r>
      <t xml:space="preserve">Next, let’s examine the maximum spending by the sub-industries. In this regard, </t>
    </r>
    <r>
      <rPr>
        <b/>
        <sz val="14"/>
        <color theme="1"/>
        <rFont val="Calibri"/>
        <family val="2"/>
      </rPr>
      <t>System Software has the highest maximum operating expence of $32.3B in a specific year.</t>
    </r>
    <r>
      <rPr>
        <sz val="14"/>
        <color theme="1"/>
        <rFont val="Calibri"/>
        <family val="2"/>
      </rPr>
      <t xml:space="preserve"> </t>
    </r>
    <r>
      <rPr>
        <b/>
        <sz val="14"/>
        <color theme="1"/>
        <rFont val="Calibri"/>
        <family val="2"/>
      </rPr>
      <t>IT Consulting &amp; Other Services</t>
    </r>
    <r>
      <rPr>
        <sz val="14"/>
        <color theme="1"/>
        <rFont val="Calibri"/>
        <family val="2"/>
      </rPr>
      <t xml:space="preserve">, </t>
    </r>
    <r>
      <rPr>
        <b/>
        <sz val="14"/>
        <color theme="1"/>
        <rFont val="Calibri"/>
        <family val="2"/>
      </rPr>
      <t>Computer Hardware</t>
    </r>
    <r>
      <rPr>
        <sz val="14"/>
        <color theme="1"/>
        <rFont val="Calibri"/>
        <family val="2"/>
      </rPr>
      <t xml:space="preserve"> make it into 2nd and 3rd position with $28B and $24B respectively. Apart from that, </t>
    </r>
    <r>
      <rPr>
        <b/>
        <sz val="14"/>
        <color theme="1"/>
        <rFont val="Calibri"/>
        <family val="2"/>
      </rPr>
      <t>Semiconductors and Networking equipment</t>
    </r>
    <r>
      <rPr>
        <sz val="14"/>
        <color theme="1"/>
        <rFont val="Calibri"/>
        <family val="2"/>
      </rPr>
      <t xml:space="preserve"> show fairly strong maximum operational expenditure with $21 and $18B respectively.</t>
    </r>
  </si>
  <si>
    <r>
      <t xml:space="preserve">Next, We consider the minimum spendings. Here, </t>
    </r>
    <r>
      <rPr>
        <b/>
        <sz val="14"/>
        <color theme="1"/>
        <rFont val="Calibri"/>
        <family val="2"/>
      </rPr>
      <t>Technology Hardware, Storage &amp; Peripherals</t>
    </r>
    <r>
      <rPr>
        <sz val="14"/>
        <color theme="1"/>
        <rFont val="Calibri"/>
        <family val="2"/>
      </rPr>
      <t xml:space="preserve"> shines with a minimum spending of $11B, followed by </t>
    </r>
    <r>
      <rPr>
        <b/>
        <sz val="14"/>
        <color theme="1"/>
        <rFont val="Calibri"/>
        <family val="2"/>
      </rPr>
      <t>Computer Hardware</t>
    </r>
    <r>
      <rPr>
        <sz val="14"/>
        <color theme="1"/>
        <rFont val="Calibri"/>
        <family val="2"/>
      </rPr>
      <t>, which has a minimum of $5B.</t>
    </r>
  </si>
  <si>
    <t>Which Sub-Industries in the IT GICS have high Operating Expences from various aspects of the summary statistics?</t>
  </si>
  <si>
    <t>Observations:</t>
  </si>
  <si>
    <t xml:space="preserve">Summary Statistics </t>
  </si>
  <si>
    <t>Year:</t>
  </si>
  <si>
    <t>Profit and Loss Statement Dashboard &amp; Forecast for Year 5 &amp; 6</t>
  </si>
  <si>
    <t>&lt;Dropdown</t>
  </si>
  <si>
    <t>Dynamic Chart displaying portions of Total Revenue</t>
  </si>
  <si>
    <t>Mean</t>
  </si>
  <si>
    <t>Number of companies</t>
  </si>
  <si>
    <t>Total Revenue Bins</t>
  </si>
  <si>
    <t>Skewness</t>
  </si>
  <si>
    <t>Kurtoisis</t>
  </si>
  <si>
    <t>Column Names</t>
  </si>
  <si>
    <t>Upper Limit</t>
  </si>
  <si>
    <t>Lower Limit</t>
  </si>
  <si>
    <t>Values</t>
  </si>
  <si>
    <t>Kurtosis</t>
  </si>
  <si>
    <t>Question: Does the Total Revenue of Consumer Staples sector differ significantly from those in the Consumer Discretionary sector in Year 4?</t>
  </si>
  <si>
    <r>
      <t xml:space="preserve">The Total Revenue of the </t>
    </r>
    <r>
      <rPr>
        <b/>
        <sz val="11"/>
        <color theme="1"/>
        <rFont val="Aptos Narrow"/>
        <family val="2"/>
        <scheme val="minor"/>
      </rPr>
      <t>Consumer Staples Sector</t>
    </r>
    <r>
      <rPr>
        <sz val="11"/>
        <color theme="1"/>
        <rFont val="Aptos Narrow"/>
        <family val="2"/>
        <scheme val="minor"/>
      </rPr>
      <t xml:space="preserve"> differs significantly from the </t>
    </r>
    <r>
      <rPr>
        <b/>
        <sz val="11"/>
        <color theme="1"/>
        <rFont val="Aptos Narrow"/>
        <family val="2"/>
        <scheme val="minor"/>
      </rPr>
      <t>Consumer Discretionary Sector</t>
    </r>
    <r>
      <rPr>
        <sz val="11"/>
        <color theme="1"/>
        <rFont val="Aptos Narrow"/>
        <family val="2"/>
        <scheme val="minor"/>
      </rPr>
      <t xml:space="preserve">. Beginning with the </t>
    </r>
    <r>
      <rPr>
        <b/>
        <sz val="11"/>
        <color theme="1"/>
        <rFont val="Aptos Narrow"/>
        <family val="2"/>
        <scheme val="minor"/>
      </rPr>
      <t>range</t>
    </r>
    <r>
      <rPr>
        <sz val="11"/>
        <color theme="1"/>
        <rFont val="Aptos Narrow"/>
        <family val="2"/>
        <scheme val="minor"/>
      </rPr>
      <t xml:space="preserve">, we see that the </t>
    </r>
    <r>
      <rPr>
        <b/>
        <sz val="11"/>
        <color theme="1"/>
        <rFont val="Aptos Narrow"/>
        <family val="2"/>
        <scheme val="minor"/>
      </rPr>
      <t>maximum total revenue</t>
    </r>
    <r>
      <rPr>
        <sz val="11"/>
        <color theme="1"/>
        <rFont val="Aptos Narrow"/>
        <family val="2"/>
        <scheme val="minor"/>
      </rPr>
      <t xml:space="preserve"> for the Consumer Staples Sector (</t>
    </r>
    <r>
      <rPr>
        <b/>
        <sz val="11"/>
        <color theme="1"/>
        <rFont val="Aptos Narrow"/>
        <family val="2"/>
        <scheme val="minor"/>
      </rPr>
      <t>$482,130,000,000</t>
    </r>
    <r>
      <rPr>
        <sz val="11"/>
        <color theme="1"/>
        <rFont val="Aptos Narrow"/>
        <family val="2"/>
        <scheme val="minor"/>
      </rPr>
      <t xml:space="preserve">) significantly exceeds the </t>
    </r>
    <r>
      <rPr>
        <b/>
        <sz val="11"/>
        <color theme="1"/>
        <rFont val="Aptos Narrow"/>
        <family val="2"/>
        <scheme val="minor"/>
      </rPr>
      <t>maximum total revenue</t>
    </r>
    <r>
      <rPr>
        <sz val="11"/>
        <color theme="1"/>
        <rFont val="Aptos Narrow"/>
        <family val="2"/>
        <scheme val="minor"/>
      </rPr>
      <t xml:space="preserve"> of the Consumer Discretionary Sector (</t>
    </r>
    <r>
      <rPr>
        <b/>
        <sz val="11"/>
        <color theme="1"/>
        <rFont val="Aptos Narrow"/>
        <family val="2"/>
        <scheme val="minor"/>
      </rPr>
      <t>$166,380,000,000</t>
    </r>
    <r>
      <rPr>
        <sz val="11"/>
        <color theme="1"/>
        <rFont val="Aptos Narrow"/>
        <family val="2"/>
        <scheme val="minor"/>
      </rPr>
      <t xml:space="preserve">). On the contrary, the </t>
    </r>
    <r>
      <rPr>
        <b/>
        <sz val="11"/>
        <color theme="1"/>
        <rFont val="Aptos Narrow"/>
        <family val="2"/>
        <scheme val="minor"/>
      </rPr>
      <t>minimum total revenue</t>
    </r>
    <r>
      <rPr>
        <sz val="11"/>
        <color theme="1"/>
        <rFont val="Aptos Narrow"/>
        <family val="2"/>
        <scheme val="minor"/>
      </rPr>
      <t xml:space="preserve"> for the Consumer Staples Sector (</t>
    </r>
    <r>
      <rPr>
        <b/>
        <sz val="11"/>
        <color theme="1"/>
        <rFont val="Aptos Narrow"/>
        <family val="2"/>
        <scheme val="minor"/>
      </rPr>
      <t>$99,642,000</t>
    </r>
    <r>
      <rPr>
        <sz val="11"/>
        <color theme="1"/>
        <rFont val="Aptos Narrow"/>
        <family val="2"/>
        <scheme val="minor"/>
      </rPr>
      <t xml:space="preserve">) is significantly lower than the </t>
    </r>
    <r>
      <rPr>
        <b/>
        <sz val="11"/>
        <color theme="1"/>
        <rFont val="Aptos Narrow"/>
        <family val="2"/>
        <scheme val="minor"/>
      </rPr>
      <t>minimum total revenue</t>
    </r>
    <r>
      <rPr>
        <sz val="11"/>
        <color theme="1"/>
        <rFont val="Aptos Narrow"/>
        <family val="2"/>
        <scheme val="minor"/>
      </rPr>
      <t xml:space="preserve"> of the Consumer Discretionary Sector (</t>
    </r>
    <r>
      <rPr>
        <b/>
        <sz val="11"/>
        <color theme="1"/>
        <rFont val="Aptos Narrow"/>
        <family val="2"/>
        <scheme val="minor"/>
      </rPr>
      <t>$1,492,000,000</t>
    </r>
    <r>
      <rPr>
        <sz val="11"/>
        <color theme="1"/>
        <rFont val="Aptos Narrow"/>
        <family val="2"/>
        <scheme val="minor"/>
      </rPr>
      <t xml:space="preserve">). Checking the </t>
    </r>
    <r>
      <rPr>
        <b/>
        <sz val="11"/>
        <color theme="1"/>
        <rFont val="Aptos Narrow"/>
        <family val="2"/>
        <scheme val="minor"/>
      </rPr>
      <t>range</t>
    </r>
    <r>
      <rPr>
        <sz val="11"/>
        <color theme="1"/>
        <rFont val="Aptos Narrow"/>
        <family val="2"/>
        <scheme val="minor"/>
      </rPr>
      <t xml:space="preserve">, the Consumer Staples sector has a </t>
    </r>
    <r>
      <rPr>
        <b/>
        <sz val="11"/>
        <color theme="1"/>
        <rFont val="Aptos Narrow"/>
        <family val="2"/>
        <scheme val="minor"/>
      </rPr>
      <t>wider range</t>
    </r>
    <r>
      <rPr>
        <sz val="11"/>
        <color theme="1"/>
        <rFont val="Aptos Narrow"/>
        <family val="2"/>
        <scheme val="minor"/>
      </rPr>
      <t xml:space="preserve"> compared to the Consumer Discretionary sector.</t>
    </r>
  </si>
  <si>
    <r>
      <t xml:space="preserve">Taking a look at the </t>
    </r>
    <r>
      <rPr>
        <b/>
        <sz val="11"/>
        <color theme="1"/>
        <rFont val="Aptos Narrow"/>
        <family val="2"/>
        <scheme val="minor"/>
      </rPr>
      <t>interquartile range (IQR)</t>
    </r>
    <r>
      <rPr>
        <sz val="11"/>
        <color theme="1"/>
        <rFont val="Aptos Narrow"/>
        <family val="2"/>
        <scheme val="minor"/>
      </rPr>
      <t xml:space="preserve">, for the Consumer Staples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$6,100,500,000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$41,229,959,500</t>
    </r>
    <r>
      <rPr>
        <sz val="11"/>
        <color theme="1"/>
        <rFont val="Aptos Narrow"/>
        <family val="2"/>
        <scheme val="minor"/>
      </rPr>
      <t xml:space="preserve">. On the other hand, for the Consumer Discretionary sector, </t>
    </r>
    <r>
      <rPr>
        <b/>
        <sz val="11"/>
        <color theme="1"/>
        <rFont val="Aptos Narrow"/>
        <family val="2"/>
        <scheme val="minor"/>
      </rPr>
      <t>Q1</t>
    </r>
    <r>
      <rPr>
        <sz val="11"/>
        <color theme="1"/>
        <rFont val="Aptos Narrow"/>
        <family val="2"/>
        <scheme val="minor"/>
      </rPr>
      <t xml:space="preserve"> lies at </t>
    </r>
    <r>
      <rPr>
        <b/>
        <sz val="11"/>
        <color theme="1"/>
        <rFont val="Aptos Narrow"/>
        <family val="2"/>
        <scheme val="minor"/>
      </rPr>
      <t>$6,077,776,000</t>
    </r>
    <r>
      <rPr>
        <sz val="11"/>
        <color theme="1"/>
        <rFont val="Aptos Narrow"/>
        <family val="2"/>
        <scheme val="minor"/>
      </rPr>
      <t xml:space="preserve">, and </t>
    </r>
    <r>
      <rPr>
        <b/>
        <sz val="11"/>
        <color theme="1"/>
        <rFont val="Aptos Narrow"/>
        <family val="2"/>
        <scheme val="minor"/>
      </rPr>
      <t>Q3</t>
    </r>
    <r>
      <rPr>
        <sz val="11"/>
        <color theme="1"/>
        <rFont val="Aptos Narrow"/>
        <family val="2"/>
        <scheme val="minor"/>
      </rPr>
      <t xml:space="preserve"> lies at </t>
    </r>
    <r>
      <rPr>
        <b/>
        <sz val="11"/>
        <color theme="1"/>
        <rFont val="Aptos Narrow"/>
        <family val="2"/>
        <scheme val="minor"/>
      </rPr>
      <t>$47,330,459,500</t>
    </r>
    <r>
      <rPr>
        <sz val="11"/>
        <color theme="1"/>
        <rFont val="Aptos Narrow"/>
        <family val="2"/>
        <scheme val="minor"/>
      </rPr>
      <t xml:space="preserve">, giving us an </t>
    </r>
    <r>
      <rPr>
        <b/>
        <sz val="11"/>
        <color theme="1"/>
        <rFont val="Aptos Narrow"/>
        <family val="2"/>
        <scheme val="minor"/>
      </rPr>
      <t>IQR</t>
    </r>
    <r>
      <rPr>
        <sz val="11"/>
        <color theme="1"/>
        <rFont val="Aptos Narrow"/>
        <family val="2"/>
        <scheme val="minor"/>
      </rPr>
      <t xml:space="preserve"> of </t>
    </r>
    <r>
      <rPr>
        <b/>
        <sz val="11"/>
        <color theme="1"/>
        <rFont val="Aptos Narrow"/>
        <family val="2"/>
        <scheme val="minor"/>
      </rPr>
      <t>$41,252,683,500</t>
    </r>
    <r>
      <rPr>
        <sz val="11"/>
        <color theme="1"/>
        <rFont val="Aptos Narrow"/>
        <family val="2"/>
        <scheme val="minor"/>
      </rPr>
      <t xml:space="preserve">. The </t>
    </r>
    <r>
      <rPr>
        <b/>
        <sz val="11"/>
        <color theme="1"/>
        <rFont val="Aptos Narrow"/>
        <family val="2"/>
        <scheme val="minor"/>
      </rPr>
      <t>wide range</t>
    </r>
    <r>
      <rPr>
        <sz val="11"/>
        <color theme="1"/>
        <rFont val="Aptos Narrow"/>
        <family val="2"/>
        <scheme val="minor"/>
      </rPr>
      <t xml:space="preserve"> and </t>
    </r>
    <r>
      <rPr>
        <b/>
        <sz val="11"/>
        <color theme="1"/>
        <rFont val="Aptos Narrow"/>
        <family val="2"/>
        <scheme val="minor"/>
      </rPr>
      <t>IQR</t>
    </r>
    <r>
      <rPr>
        <sz val="11"/>
        <color theme="1"/>
        <rFont val="Aptos Narrow"/>
        <family val="2"/>
        <scheme val="minor"/>
      </rPr>
      <t xml:space="preserve"> suggest </t>
    </r>
    <r>
      <rPr>
        <b/>
        <sz val="11"/>
        <color theme="1"/>
        <rFont val="Aptos Narrow"/>
        <family val="2"/>
        <scheme val="minor"/>
      </rPr>
      <t>high variability</t>
    </r>
    <r>
      <rPr>
        <sz val="11"/>
        <color theme="1"/>
        <rFont val="Aptos Narrow"/>
        <family val="2"/>
        <scheme val="minor"/>
      </rPr>
      <t xml:space="preserve"> in total revenues for the Consumer Staples sector. We can also confirm this visually in the </t>
    </r>
    <r>
      <rPr>
        <b/>
        <sz val="11"/>
        <color theme="1"/>
        <rFont val="Aptos Narrow"/>
        <family val="2"/>
        <scheme val="minor"/>
      </rPr>
      <t>Bar Plot/Histogram</t>
    </r>
    <r>
      <rPr>
        <sz val="11"/>
        <color theme="1"/>
        <rFont val="Aptos Narrow"/>
        <family val="2"/>
        <scheme val="minor"/>
      </rPr>
      <t xml:space="preserve">. Consumer Discretionary has </t>
    </r>
    <r>
      <rPr>
        <b/>
        <sz val="11"/>
        <color theme="1"/>
        <rFont val="Aptos Narrow"/>
        <family val="2"/>
        <scheme val="minor"/>
      </rPr>
      <t>90.07%</t>
    </r>
    <r>
      <rPr>
        <sz val="11"/>
        <color theme="1"/>
        <rFont val="Aptos Narrow"/>
        <family val="2"/>
        <scheme val="minor"/>
      </rPr>
      <t xml:space="preserve"> of its total data points concentrated in the </t>
    </r>
    <r>
      <rPr>
        <b/>
        <sz val="11"/>
        <color theme="1"/>
        <rFont val="Aptos Narrow"/>
        <family val="2"/>
        <scheme val="minor"/>
      </rPr>
      <t>first bin</t>
    </r>
    <r>
      <rPr>
        <sz val="11"/>
        <color theme="1"/>
        <rFont val="Aptos Narrow"/>
        <family val="2"/>
        <scheme val="minor"/>
      </rPr>
      <t xml:space="preserve">. Despite having a smaller total count, </t>
    </r>
    <r>
      <rPr>
        <b/>
        <sz val="11"/>
        <color theme="1"/>
        <rFont val="Aptos Narrow"/>
        <family val="2"/>
        <scheme val="minor"/>
      </rPr>
      <t>Consumer Staples has more data points outside the first bin</t>
    </r>
    <r>
      <rPr>
        <sz val="11"/>
        <color theme="1"/>
        <rFont val="Aptos Narrow"/>
        <family val="2"/>
        <scheme val="minor"/>
      </rPr>
      <t xml:space="preserve">, indicating </t>
    </r>
    <r>
      <rPr>
        <b/>
        <sz val="11"/>
        <color theme="1"/>
        <rFont val="Aptos Narrow"/>
        <family val="2"/>
        <scheme val="minor"/>
      </rPr>
      <t>variability</t>
    </r>
    <r>
      <rPr>
        <sz val="11"/>
        <color theme="1"/>
        <rFont val="Aptos Narrow"/>
        <family val="2"/>
        <scheme val="minor"/>
      </rPr>
      <t xml:space="preserve">. This variability is further confirmed by the </t>
    </r>
    <r>
      <rPr>
        <b/>
        <sz val="11"/>
        <color theme="1"/>
        <rFont val="Aptos Narrow"/>
        <family val="2"/>
        <scheme val="minor"/>
      </rPr>
      <t>higher standard deviation</t>
    </r>
    <r>
      <rPr>
        <sz val="11"/>
        <color theme="1"/>
        <rFont val="Aptos Narrow"/>
        <family val="2"/>
        <scheme val="minor"/>
      </rPr>
      <t xml:space="preserve"> of the Consumer Staples sector (</t>
    </r>
    <r>
      <rPr>
        <b/>
        <sz val="11"/>
        <color theme="1"/>
        <rFont val="Aptos Narrow"/>
        <family val="2"/>
        <scheme val="minor"/>
      </rPr>
      <t>$86,896,247,341</t>
    </r>
    <r>
      <rPr>
        <sz val="11"/>
        <color theme="1"/>
        <rFont val="Aptos Narrow"/>
        <family val="2"/>
        <scheme val="minor"/>
      </rPr>
      <t>) compared to the Consumer Discretionary Sector (</t>
    </r>
    <r>
      <rPr>
        <b/>
        <sz val="11"/>
        <color theme="1"/>
        <rFont val="Aptos Narrow"/>
        <family val="2"/>
        <scheme val="minor"/>
      </rPr>
      <t>$30,773,667,578</t>
    </r>
    <r>
      <rPr>
        <sz val="11"/>
        <color theme="1"/>
        <rFont val="Aptos Narrow"/>
        <family val="2"/>
        <scheme val="minor"/>
      </rPr>
      <t>).</t>
    </r>
  </si>
  <si>
    <r>
      <t xml:space="preserve">Taking a look at the </t>
    </r>
    <r>
      <rPr>
        <b/>
        <sz val="11"/>
        <color theme="1"/>
        <rFont val="Aptos Narrow"/>
        <family val="2"/>
        <scheme val="minor"/>
      </rPr>
      <t>mean</t>
    </r>
    <r>
      <rPr>
        <sz val="11"/>
        <color theme="1"/>
        <rFont val="Aptos Narrow"/>
        <family val="2"/>
        <scheme val="minor"/>
      </rPr>
      <t xml:space="preserve"> and </t>
    </r>
    <r>
      <rPr>
        <b/>
        <sz val="11"/>
        <color theme="1"/>
        <rFont val="Aptos Narrow"/>
        <family val="2"/>
        <scheme val="minor"/>
      </rPr>
      <t>median</t>
    </r>
    <r>
      <rPr>
        <sz val="11"/>
        <color theme="1"/>
        <rFont val="Aptos Narrow"/>
        <family val="2"/>
        <scheme val="minor"/>
      </rPr>
      <t xml:space="preserve"> of Consumer Staples, which are </t>
    </r>
    <r>
      <rPr>
        <b/>
        <sz val="11"/>
        <color theme="1"/>
        <rFont val="Aptos Narrow"/>
        <family val="2"/>
        <scheme val="minor"/>
      </rPr>
      <t>$44,215,178,848</t>
    </r>
    <r>
      <rPr>
        <sz val="11"/>
        <color theme="1"/>
        <rFont val="Aptos Narrow"/>
        <family val="2"/>
        <scheme val="minor"/>
      </rPr>
      <t xml:space="preserve"> and </t>
    </r>
    <r>
      <rPr>
        <b/>
        <sz val="11"/>
        <color theme="1"/>
        <rFont val="Aptos Narrow"/>
        <family val="2"/>
        <scheme val="minor"/>
      </rPr>
      <t>$13,525,000,000</t>
    </r>
    <r>
      <rPr>
        <sz val="11"/>
        <color theme="1"/>
        <rFont val="Aptos Narrow"/>
        <family val="2"/>
        <scheme val="minor"/>
      </rPr>
      <t xml:space="preserve"> respectively, we can confirm it is </t>
    </r>
    <r>
      <rPr>
        <b/>
        <sz val="11"/>
        <color theme="1"/>
        <rFont val="Aptos Narrow"/>
        <family val="2"/>
        <scheme val="minor"/>
      </rPr>
      <t>positively or right-skewed</t>
    </r>
    <r>
      <rPr>
        <sz val="11"/>
        <color theme="1"/>
        <rFont val="Aptos Narrow"/>
        <family val="2"/>
        <scheme val="minor"/>
      </rPr>
      <t xml:space="preserve"> since the </t>
    </r>
    <r>
      <rPr>
        <b/>
        <sz val="11"/>
        <color theme="1"/>
        <rFont val="Aptos Narrow"/>
        <family val="2"/>
        <scheme val="minor"/>
      </rPr>
      <t>mean</t>
    </r>
    <r>
      <rPr>
        <sz val="11"/>
        <color theme="1"/>
        <rFont val="Aptos Narrow"/>
        <family val="2"/>
        <scheme val="minor"/>
      </rPr>
      <t xml:space="preserve"> is higher than the </t>
    </r>
    <r>
      <rPr>
        <b/>
        <sz val="11"/>
        <color theme="1"/>
        <rFont val="Aptos Narrow"/>
        <family val="2"/>
        <scheme val="minor"/>
      </rPr>
      <t>median</t>
    </r>
    <r>
      <rPr>
        <sz val="11"/>
        <color theme="1"/>
        <rFont val="Aptos Narrow"/>
        <family val="2"/>
        <scheme val="minor"/>
      </rPr>
      <t xml:space="preserve">. The total revenue of Consumer Discretionary is also </t>
    </r>
    <r>
      <rPr>
        <b/>
        <sz val="11"/>
        <color theme="1"/>
        <rFont val="Aptos Narrow"/>
        <family val="2"/>
        <scheme val="minor"/>
      </rPr>
      <t>positively skewed</t>
    </r>
    <r>
      <rPr>
        <sz val="11"/>
        <color theme="1"/>
        <rFont val="Aptos Narrow"/>
        <family val="2"/>
        <scheme val="minor"/>
      </rPr>
      <t xml:space="preserve">, with a </t>
    </r>
    <r>
      <rPr>
        <b/>
        <sz val="11"/>
        <color theme="1"/>
        <rFont val="Aptos Narrow"/>
        <family val="2"/>
        <scheme val="minor"/>
      </rPr>
      <t>mean</t>
    </r>
    <r>
      <rPr>
        <sz val="11"/>
        <color theme="1"/>
        <rFont val="Aptos Narrow"/>
        <family val="2"/>
        <scheme val="minor"/>
      </rPr>
      <t xml:space="preserve"> of </t>
    </r>
    <r>
      <rPr>
        <b/>
        <sz val="11"/>
        <color theme="1"/>
        <rFont val="Aptos Narrow"/>
        <family val="2"/>
        <scheme val="minor"/>
      </rPr>
      <t>$20,050,682,947</t>
    </r>
    <r>
      <rPr>
        <sz val="11"/>
        <color theme="1"/>
        <rFont val="Aptos Narrow"/>
        <family val="2"/>
        <scheme val="minor"/>
      </rPr>
      <t xml:space="preserve"> and a </t>
    </r>
    <r>
      <rPr>
        <b/>
        <sz val="11"/>
        <color theme="1"/>
        <rFont val="Aptos Narrow"/>
        <family val="2"/>
        <scheme val="minor"/>
      </rPr>
      <t>median</t>
    </r>
    <r>
      <rPr>
        <sz val="11"/>
        <color theme="1"/>
        <rFont val="Aptos Narrow"/>
        <family val="2"/>
        <scheme val="minor"/>
      </rPr>
      <t xml:space="preserve"> of </t>
    </r>
    <r>
      <rPr>
        <b/>
        <sz val="11"/>
        <color theme="1"/>
        <rFont val="Aptos Narrow"/>
        <family val="2"/>
        <scheme val="minor"/>
      </rPr>
      <t>$10,186,347,000</t>
    </r>
    <r>
      <rPr>
        <sz val="11"/>
        <color theme="1"/>
        <rFont val="Aptos Narrow"/>
        <family val="2"/>
        <scheme val="minor"/>
      </rPr>
      <t xml:space="preserve">. From the visual of our </t>
    </r>
    <r>
      <rPr>
        <b/>
        <sz val="11"/>
        <color theme="1"/>
        <rFont val="Aptos Narrow"/>
        <family val="2"/>
        <scheme val="minor"/>
      </rPr>
      <t>box plot</t>
    </r>
    <r>
      <rPr>
        <sz val="11"/>
        <color theme="1"/>
        <rFont val="Aptos Narrow"/>
        <family val="2"/>
        <scheme val="minor"/>
      </rPr>
      <t xml:space="preserve">, given we have a </t>
    </r>
    <r>
      <rPr>
        <b/>
        <sz val="11"/>
        <color theme="1"/>
        <rFont val="Aptos Narrow"/>
        <family val="2"/>
        <scheme val="minor"/>
      </rPr>
      <t>wider range</t>
    </r>
    <r>
      <rPr>
        <sz val="11"/>
        <color theme="1"/>
        <rFont val="Aptos Narrow"/>
        <family val="2"/>
        <scheme val="minor"/>
      </rPr>
      <t xml:space="preserve"> and </t>
    </r>
    <r>
      <rPr>
        <b/>
        <sz val="11"/>
        <color theme="1"/>
        <rFont val="Aptos Narrow"/>
        <family val="2"/>
        <scheme val="minor"/>
      </rPr>
      <t>higher standard deviation</t>
    </r>
    <r>
      <rPr>
        <sz val="11"/>
        <color theme="1"/>
        <rFont val="Aptos Narrow"/>
        <family val="2"/>
        <scheme val="minor"/>
      </rPr>
      <t xml:space="preserve"> for Consumer Staples, we can hypothesize that it has a </t>
    </r>
    <r>
      <rPr>
        <b/>
        <sz val="11"/>
        <color theme="1"/>
        <rFont val="Aptos Narrow"/>
        <family val="2"/>
        <scheme val="minor"/>
      </rPr>
      <t>more positive skewness</t>
    </r>
    <r>
      <rPr>
        <sz val="11"/>
        <color theme="1"/>
        <rFont val="Aptos Narrow"/>
        <family val="2"/>
        <scheme val="minor"/>
      </rPr>
      <t xml:space="preserve"> than Consumer Discretionary. This is confirmed by calculating the </t>
    </r>
    <r>
      <rPr>
        <b/>
        <sz val="11"/>
        <color theme="1"/>
        <rFont val="Aptos Narrow"/>
        <family val="2"/>
        <scheme val="minor"/>
      </rPr>
      <t>skewness</t>
    </r>
    <r>
      <rPr>
        <sz val="11"/>
        <color theme="1"/>
        <rFont val="Aptos Narrow"/>
        <family val="2"/>
        <scheme val="minor"/>
      </rPr>
      <t xml:space="preserve">, which is </t>
    </r>
    <r>
      <rPr>
        <b/>
        <sz val="11"/>
        <color theme="1"/>
        <rFont val="Aptos Narrow"/>
        <family val="2"/>
        <scheme val="minor"/>
      </rPr>
      <t>4.17</t>
    </r>
    <r>
      <rPr>
        <sz val="11"/>
        <color theme="1"/>
        <rFont val="Aptos Narrow"/>
        <family val="2"/>
        <scheme val="minor"/>
      </rPr>
      <t xml:space="preserve"> for Consumer Staples and </t>
    </r>
    <r>
      <rPr>
        <b/>
        <sz val="11"/>
        <color theme="1"/>
        <rFont val="Aptos Narrow"/>
        <family val="2"/>
        <scheme val="minor"/>
      </rPr>
      <t>3.43</t>
    </r>
    <r>
      <rPr>
        <sz val="11"/>
        <color theme="1"/>
        <rFont val="Aptos Narrow"/>
        <family val="2"/>
        <scheme val="minor"/>
      </rPr>
      <t xml:space="preserve"> for Consumer Discretionary.</t>
    </r>
  </si>
  <si>
    <r>
      <t xml:space="preserve">Given these details, we can also hypothesize that Consumer Staples has a </t>
    </r>
    <r>
      <rPr>
        <b/>
        <sz val="11"/>
        <color theme="1"/>
        <rFont val="Aptos Narrow"/>
        <family val="2"/>
        <scheme val="minor"/>
      </rPr>
      <t>higher kurtosis index</t>
    </r>
    <r>
      <rPr>
        <sz val="11"/>
        <color theme="1"/>
        <rFont val="Aptos Narrow"/>
        <family val="2"/>
        <scheme val="minor"/>
      </rPr>
      <t xml:space="preserve"> compared to Consumer Discretionary. We can confirm this as well, as </t>
    </r>
    <r>
      <rPr>
        <b/>
        <sz val="11"/>
        <color theme="1"/>
        <rFont val="Aptos Narrow"/>
        <family val="2"/>
        <scheme val="minor"/>
      </rPr>
      <t>Consumer Staples</t>
    </r>
    <r>
      <rPr>
        <sz val="11"/>
        <color theme="1"/>
        <rFont val="Aptos Narrow"/>
        <family val="2"/>
        <scheme val="minor"/>
      </rPr>
      <t xml:space="preserve"> has a </t>
    </r>
    <r>
      <rPr>
        <b/>
        <sz val="11"/>
        <color theme="1"/>
        <rFont val="Aptos Narrow"/>
        <family val="2"/>
        <scheme val="minor"/>
      </rPr>
      <t>higher kurtosis index</t>
    </r>
    <r>
      <rPr>
        <sz val="11"/>
        <color theme="1"/>
        <rFont val="Aptos Narrow"/>
        <family val="2"/>
        <scheme val="minor"/>
      </rPr>
      <t xml:space="preserve"> of </t>
    </r>
    <r>
      <rPr>
        <b/>
        <sz val="11"/>
        <color theme="1"/>
        <rFont val="Aptos Narrow"/>
        <family val="2"/>
        <scheme val="minor"/>
      </rPr>
      <t>19.81</t>
    </r>
    <r>
      <rPr>
        <sz val="11"/>
        <color theme="1"/>
        <rFont val="Aptos Narrow"/>
        <family val="2"/>
        <scheme val="minor"/>
      </rPr>
      <t xml:space="preserve"> compared to </t>
    </r>
    <r>
      <rPr>
        <b/>
        <sz val="11"/>
        <color theme="1"/>
        <rFont val="Aptos Narrow"/>
        <family val="2"/>
        <scheme val="minor"/>
      </rPr>
      <t>12.19</t>
    </r>
    <r>
      <rPr>
        <sz val="11"/>
        <color theme="1"/>
        <rFont val="Aptos Narrow"/>
        <family val="2"/>
        <scheme val="minor"/>
      </rPr>
      <t xml:space="preserve"> for Consumer Discretionary. After examining the </t>
    </r>
    <r>
      <rPr>
        <b/>
        <sz val="11"/>
        <color theme="1"/>
        <rFont val="Aptos Narrow"/>
        <family val="2"/>
        <scheme val="minor"/>
      </rPr>
      <t>mean</t>
    </r>
    <r>
      <rPr>
        <sz val="11"/>
        <color theme="1"/>
        <rFont val="Aptos Narrow"/>
        <family val="2"/>
        <scheme val="minor"/>
      </rPr>
      <t xml:space="preserve">, </t>
    </r>
    <r>
      <rPr>
        <b/>
        <sz val="11"/>
        <color theme="1"/>
        <rFont val="Aptos Narrow"/>
        <family val="2"/>
        <scheme val="minor"/>
      </rPr>
      <t>5-number summary</t>
    </r>
    <r>
      <rPr>
        <sz val="11"/>
        <color theme="1"/>
        <rFont val="Aptos Narrow"/>
        <family val="2"/>
        <scheme val="minor"/>
      </rPr>
      <t xml:space="preserve">, </t>
    </r>
    <r>
      <rPr>
        <b/>
        <sz val="11"/>
        <color theme="1"/>
        <rFont val="Aptos Narrow"/>
        <family val="2"/>
        <scheme val="minor"/>
      </rPr>
      <t>measures of spread</t>
    </r>
    <r>
      <rPr>
        <sz val="11"/>
        <color theme="1"/>
        <rFont val="Aptos Narrow"/>
        <family val="2"/>
        <scheme val="minor"/>
      </rPr>
      <t xml:space="preserve">, and </t>
    </r>
    <r>
      <rPr>
        <b/>
        <sz val="11"/>
        <color theme="1"/>
        <rFont val="Aptos Narrow"/>
        <family val="2"/>
        <scheme val="minor"/>
      </rPr>
      <t>distribution shape</t>
    </r>
    <r>
      <rPr>
        <sz val="11"/>
        <color theme="1"/>
        <rFont val="Aptos Narrow"/>
        <family val="2"/>
        <scheme val="minor"/>
      </rPr>
      <t xml:space="preserve">, the </t>
    </r>
    <r>
      <rPr>
        <b/>
        <sz val="11"/>
        <color theme="1"/>
        <rFont val="Aptos Narrow"/>
        <family val="2"/>
        <scheme val="minor"/>
      </rPr>
      <t>Total Revenue of Consumer Staples differs significantly</t>
    </r>
    <r>
      <rPr>
        <sz val="11"/>
        <color theme="1"/>
        <rFont val="Aptos Narrow"/>
        <family val="2"/>
        <scheme val="minor"/>
      </rPr>
      <t xml:space="preserve"> from Consumer Discretionary.</t>
    </r>
  </si>
  <si>
    <t>HealthCare</t>
  </si>
  <si>
    <t>Bins</t>
  </si>
  <si>
    <t>How does the summary statistics of Total Operating Expence in the Health Care, Energy and Consumer Staples Sectors compare? What are the simmilarities and differences?</t>
  </si>
  <si>
    <t>Summary Statistics</t>
  </si>
  <si>
    <t>&lt;DropDown</t>
  </si>
  <si>
    <t>Consumer Staple</t>
  </si>
  <si>
    <r>
      <rPr>
        <b/>
        <sz val="11"/>
        <color theme="1"/>
        <rFont val="Aptos"/>
        <family val="2"/>
      </rPr>
      <t>How do the summary statistics for Total Operating Expenses in Year 4 compare across the Health Care, Energy, and Consumer Staples sectors, and what do they reveal about variability, central tendencies, and the presence of outliers in each sector.</t>
    </r>
    <r>
      <rPr>
        <sz val="11"/>
        <color theme="1"/>
        <rFont val="Aptos"/>
        <family val="2"/>
      </rPr>
      <t xml:space="preserve">
</t>
    </r>
    <r>
      <rPr>
        <b/>
        <sz val="11"/>
        <color theme="1"/>
        <rFont val="Aptos"/>
        <family val="2"/>
      </rPr>
      <t>Range and IQR Analysis:</t>
    </r>
    <r>
      <rPr>
        <sz val="11"/>
        <color theme="1"/>
        <rFont val="Aptos"/>
        <family val="2"/>
      </rPr>
      <t xml:space="preserve">
Examining the range in Year 4, we observe that the maximum values for Consumer Staples at $97,041,000,000 surpass those of Energy at $79,492,000,000, and Healthcare at $54,872,000,000. This suggests a broader spread in the potential operating expenses in the Consumer Staples sector.
The Inter Quartile Range (IQR) for Healthcare is $6,434,200,000, for Energy is $5,288,964,000, and for Consumer Staples is $5,123,400,000. Despite the largest maximum value, Consumer Staples shares a comparable IQR with the other sectors, indicating a similar concentration of data points around the median.
</t>
    </r>
    <r>
      <rPr>
        <b/>
        <sz val="11"/>
        <color theme="1"/>
        <rFont val="Aptos"/>
        <family val="2"/>
      </rPr>
      <t>Central Tendencies and Variability:</t>
    </r>
    <r>
      <rPr>
        <sz val="11"/>
        <color theme="1"/>
        <rFont val="Aptos"/>
        <family val="2"/>
      </rPr>
      <t xml:space="preserve">
Focusing on central tendencies, the mean operating expense of Energy is the highest at $8,239,515,645, followed by Consumer Staples at $7,405,715,970, and Healthcare at $6,411,356,681. The medians reflect a similar hierarchy but are generally lower than the means, which is indicative of positively skewed distributions across all sectors.
Skewness measures show Energy at 3.66, slightly lower than Healthcare's 3.554 and significantly lower than Consumer Staples' 4.76, indicating a more pronounced tail on the right side for Consumer Staples.
</t>
    </r>
    <r>
      <rPr>
        <b/>
        <sz val="11"/>
        <color theme="1"/>
        <rFont val="Aptos"/>
        <family val="2"/>
      </rPr>
      <t>Dispersion and Outliers:</t>
    </r>
    <r>
      <rPr>
        <sz val="11"/>
        <color theme="1"/>
        <rFont val="Aptos"/>
        <family val="2"/>
      </rPr>
      <t xml:space="preserve">
In terms of dispersion, the standard deviation is highest in Consumer Staples at $16,911,444,755, followed by Energy at $15,381,387,193 and Healthcare at $9,278,573,766. These figures suggest greater variability in the Consumer Staples and Energy sectors compared to Healthcare.
Kurtosis values are highest for Consumer Staples at 24.75, indicating a more peaked distribution with thicker tails, compared to Energy at 14.92 and Healthcare at 15.63. This points to a higher likelihood of outliers in the Consumer Staples sector, which could reflect extreme values in operating expenses.
</t>
    </r>
    <r>
      <rPr>
        <b/>
        <sz val="11"/>
        <color theme="1"/>
        <rFont val="Aptos"/>
        <family val="2"/>
      </rPr>
      <t>Conclusion:</t>
    </r>
    <r>
      <rPr>
        <sz val="11"/>
        <color theme="1"/>
        <rFont val="Aptos"/>
        <family val="2"/>
      </rPr>
      <t xml:space="preserve">
Reviewing the summary statistics and box plot for Year 4, we can conclude that while there is a significant overlap in the distribution characteristics of Energy and Consumer Staples, the distribution of Healthcare stands distinct, primarily in terms of its lower variability and fewer outliers.</t>
    </r>
  </si>
  <si>
    <r>
      <t xml:space="preserve">When analyzing the </t>
    </r>
    <r>
      <rPr>
        <b/>
        <sz val="14"/>
        <color theme="1"/>
        <rFont val="Calibri"/>
        <family val="2"/>
      </rPr>
      <t>MEDIAN</t>
    </r>
    <r>
      <rPr>
        <sz val="14"/>
        <color theme="1"/>
        <rFont val="Calibri"/>
        <family val="2"/>
      </rPr>
      <t xml:space="preserve"> expenses, </t>
    </r>
    <r>
      <rPr>
        <b/>
        <sz val="14"/>
        <color theme="1"/>
        <rFont val="Calibri"/>
        <family val="2"/>
      </rPr>
      <t>System Software</t>
    </r>
    <r>
      <rPr>
        <sz val="14"/>
        <color theme="1"/>
        <rFont val="Calibri"/>
        <family val="2"/>
      </rPr>
      <t xml:space="preserve">, </t>
    </r>
    <r>
      <rPr>
        <b/>
        <sz val="14"/>
        <color theme="1"/>
        <rFont val="Calibri"/>
        <family val="2"/>
      </rPr>
      <t>Computer Hardware</t>
    </r>
    <r>
      <rPr>
        <sz val="14"/>
        <color theme="1"/>
        <rFont val="Calibri"/>
        <family val="2"/>
      </rPr>
      <t xml:space="preserve">, and </t>
    </r>
    <r>
      <rPr>
        <b/>
        <sz val="14"/>
        <color theme="1"/>
        <rFont val="Calibri"/>
        <family val="2"/>
      </rPr>
      <t>Technology Hardware, Storage &amp; Peripherals</t>
    </r>
    <r>
      <rPr>
        <sz val="14"/>
        <color theme="1"/>
        <rFont val="Calibri"/>
        <family val="2"/>
      </rPr>
      <t xml:space="preserve"> stand out as the highest-spending sub-sectors.</t>
    </r>
  </si>
  <si>
    <t>The difference between the 25th and 75th percentile, also known as IQR contributes to the high standard deviation of the System Software, IT Consulting and Networking Equipment sub-industries. Notice, these are the industries with the highest standard deviations of all sub-industries in the IT Industry.</t>
  </si>
  <si>
    <r>
      <t xml:space="preserve">We now consider the </t>
    </r>
    <r>
      <rPr>
        <b/>
        <sz val="14"/>
        <color theme="1"/>
        <rFont val="Calibri"/>
        <family val="2"/>
      </rPr>
      <t>25 and 75 percentile</t>
    </r>
    <r>
      <rPr>
        <sz val="14"/>
        <color theme="1"/>
        <rFont val="Calibri"/>
        <family val="2"/>
      </rPr>
      <t xml:space="preserve"> also known as </t>
    </r>
    <r>
      <rPr>
        <b/>
        <sz val="14"/>
        <color theme="1"/>
        <rFont val="Calibri"/>
        <family val="2"/>
      </rPr>
      <t>Q1 and Q3</t>
    </r>
    <r>
      <rPr>
        <sz val="14"/>
        <color theme="1"/>
        <rFont val="Calibri"/>
        <family val="2"/>
      </rPr>
      <t xml:space="preserve">. It is notable that </t>
    </r>
    <r>
      <rPr>
        <b/>
        <sz val="14"/>
        <color theme="1"/>
        <rFont val="Calibri"/>
        <family val="2"/>
      </rPr>
      <t>System Software, IT Consulting &amp; Other Services, Networking Equipment, Computer Hardware and Technology Hardware</t>
    </r>
    <r>
      <rPr>
        <sz val="14"/>
        <color theme="1"/>
        <rFont val="Calibri"/>
        <family val="2"/>
      </rPr>
      <t xml:space="preserve"> have their </t>
    </r>
    <r>
      <rPr>
        <b/>
        <sz val="14"/>
        <color theme="1"/>
        <rFont val="Calibri"/>
        <family val="2"/>
      </rPr>
      <t>75 percentile</t>
    </r>
    <r>
      <rPr>
        <sz val="14"/>
        <color theme="1"/>
        <rFont val="Calibri"/>
        <family val="2"/>
      </rPr>
      <t xml:space="preserve"> relatively close to the maximum which is an indicator that a significant number of companies are spending closer to the maximum on poerating expences. On the flip side, we also see that the </t>
    </r>
    <r>
      <rPr>
        <b/>
        <sz val="14"/>
        <color theme="1"/>
        <rFont val="Calibri"/>
        <family val="2"/>
      </rPr>
      <t>25th percentile</t>
    </r>
    <r>
      <rPr>
        <sz val="14"/>
        <color theme="1"/>
        <rFont val="Calibri"/>
        <family val="2"/>
      </rPr>
      <t xml:space="preserve"> of</t>
    </r>
    <r>
      <rPr>
        <b/>
        <sz val="14"/>
        <color theme="1"/>
        <rFont val="Calibri"/>
        <family val="2"/>
      </rPr>
      <t xml:space="preserve"> IT Consulting &amp; Other Services, Networking Equipment, and Systems Software</t>
    </r>
    <r>
      <rPr>
        <sz val="14"/>
        <color theme="1"/>
        <rFont val="Calibri"/>
        <family val="2"/>
      </rPr>
      <t xml:space="preserve"> are below the $5B Mark.</t>
    </r>
  </si>
  <si>
    <t>Income Statement</t>
  </si>
  <si>
    <t>Operating Scenarios - Sensitivity Analysis</t>
  </si>
  <si>
    <t>Rough supporting sheets from this point &gt;</t>
  </si>
  <si>
    <t>Industry-Wise Financial Metrics Overview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</si>
</sst>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quot;$&quot;* #,##0_);_(&quot;$&quot;* \(#,##0\);_(&quot;$&quot;* &quot;-&quot;??_);_(@_)"/>
    <numFmt numFmtId="165" formatCode="0.000000"/>
    <numFmt numFmtId="166" formatCode="_(* #,##0_);_(* \(#,##0\);_(* &quot;-&quot;??_);_(@_)"/>
    <numFmt numFmtId="167" formatCode="0.00000"/>
    <numFmt numFmtId="168" formatCode="0.000000000000000%"/>
  </numFmts>
  <fonts count="26" x14ac:knownFonts="1">
    <font>
      <sz val="11"/>
      <color theme="1"/>
      <name val="Aptos Narrow"/>
      <family val="2"/>
      <scheme val="minor"/>
    </font>
    <font>
      <b/>
      <sz val="11"/>
      <color theme="1"/>
      <name val="Aptos Narrow"/>
      <family val="2"/>
      <scheme val="minor"/>
    </font>
    <font>
      <sz val="11"/>
      <color theme="1"/>
      <name val="Aptos Narrow"/>
      <family val="2"/>
      <scheme val="minor"/>
    </font>
    <font>
      <b/>
      <sz val="11"/>
      <name val="Aptos Narrow"/>
      <family val="2"/>
      <scheme val="minor"/>
    </font>
    <font>
      <b/>
      <sz val="16"/>
      <color theme="1"/>
      <name val="Aptos Narrow"/>
      <family val="2"/>
      <scheme val="minor"/>
    </font>
    <font>
      <b/>
      <sz val="14"/>
      <color theme="0"/>
      <name val="Arial"/>
      <family val="2"/>
    </font>
    <font>
      <b/>
      <sz val="20"/>
      <color theme="1"/>
      <name val="Aptos Narrow"/>
      <family val="2"/>
      <scheme val="minor"/>
    </font>
    <font>
      <u/>
      <sz val="11"/>
      <color theme="10"/>
      <name val="Aptos Narrow"/>
      <family val="2"/>
      <scheme val="minor"/>
    </font>
    <font>
      <b/>
      <sz val="26"/>
      <color theme="1"/>
      <name val="Aptos Narrow"/>
      <family val="2"/>
      <scheme val="minor"/>
    </font>
    <font>
      <b/>
      <sz val="22"/>
      <color theme="1"/>
      <name val="Aptos Narrow"/>
      <family val="2"/>
      <scheme val="minor"/>
    </font>
    <font>
      <b/>
      <u/>
      <sz val="20"/>
      <color theme="10"/>
      <name val="Aptos Narrow"/>
      <family val="2"/>
      <scheme val="minor"/>
    </font>
    <font>
      <sz val="20"/>
      <color theme="1"/>
      <name val="Aptos Narrow"/>
      <family val="2"/>
      <scheme val="minor"/>
    </font>
    <font>
      <b/>
      <sz val="11"/>
      <color theme="1" tint="4.9989318521683403E-2"/>
      <name val="Aptos Narrow"/>
      <family val="2"/>
      <scheme val="minor"/>
    </font>
    <font>
      <sz val="11"/>
      <color theme="1"/>
      <name val="Aptos"/>
      <family val="2"/>
    </font>
    <font>
      <sz val="12"/>
      <color theme="1"/>
      <name val="Calibri"/>
      <family val="2"/>
    </font>
    <font>
      <b/>
      <sz val="14"/>
      <color theme="1"/>
      <name val="Calibri"/>
      <family val="2"/>
    </font>
    <font>
      <b/>
      <sz val="20"/>
      <color theme="1"/>
      <name val="Calibri"/>
      <family val="2"/>
    </font>
    <font>
      <sz val="14"/>
      <color theme="1"/>
      <name val="Calibri"/>
      <family val="2"/>
    </font>
    <font>
      <sz val="11"/>
      <color theme="3" tint="0.249977111117893"/>
      <name val="Aptos Narrow"/>
      <family val="2"/>
      <scheme val="minor"/>
    </font>
    <font>
      <b/>
      <sz val="20"/>
      <color theme="4" tint="-0.499984740745262"/>
      <name val="Aptos Narrow"/>
      <family val="2"/>
      <scheme val="minor"/>
    </font>
    <font>
      <b/>
      <sz val="26"/>
      <color theme="4" tint="-0.499984740745262"/>
      <name val="Aptos Narrow"/>
      <family val="2"/>
      <scheme val="minor"/>
    </font>
    <font>
      <sz val="14"/>
      <color theme="1"/>
      <name val="Aptos Narrow"/>
      <family val="2"/>
      <scheme val="minor"/>
    </font>
    <font>
      <b/>
      <sz val="14"/>
      <color theme="1"/>
      <name val="Aptos Narrow"/>
      <family val="2"/>
      <scheme val="minor"/>
    </font>
    <font>
      <b/>
      <sz val="11"/>
      <color theme="0"/>
      <name val="Aptos Narrow"/>
      <family val="2"/>
      <scheme val="minor"/>
    </font>
    <font>
      <b/>
      <sz val="11"/>
      <color theme="1"/>
      <name val="Aptos"/>
      <family val="2"/>
    </font>
    <font>
      <b/>
      <sz val="18"/>
      <color theme="4" tint="-0.499984740745262"/>
      <name val="Aptos Narrow"/>
      <family val="2"/>
      <scheme val="minor"/>
    </font>
  </fonts>
  <fills count="14">
    <fill>
      <patternFill patternType="none"/>
    </fill>
    <fill>
      <patternFill patternType="gray125"/>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3"/>
        <bgColor indexed="64"/>
      </patternFill>
    </fill>
    <fill>
      <patternFill patternType="solid">
        <fgColor theme="7" tint="0.59999389629810485"/>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theme="4" tint="-0.499984740745262"/>
        <bgColor indexed="64"/>
      </patternFill>
    </fill>
    <fill>
      <patternFill patternType="solid">
        <fgColor theme="4"/>
        <bgColor theme="4"/>
      </patternFill>
    </fill>
    <fill>
      <patternFill patternType="solid">
        <fgColor theme="4" tint="-0.249977111117893"/>
        <bgColor indexed="64"/>
      </patternFill>
    </fill>
    <fill>
      <patternFill patternType="solid">
        <fgColor rgb="FFFFC000"/>
        <bgColor indexed="64"/>
      </patternFill>
    </fill>
  </fills>
  <borders count="28">
    <border>
      <left/>
      <right/>
      <top/>
      <bottom/>
      <diagonal/>
    </border>
    <border>
      <left/>
      <right/>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bottom style="double">
        <color indexed="64"/>
      </bottom>
      <diagonal/>
    </border>
    <border>
      <left style="thin">
        <color indexed="64"/>
      </left>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style="double">
        <color indexed="64"/>
      </top>
      <bottom style="double">
        <color indexed="64"/>
      </bottom>
      <diagonal/>
    </border>
    <border>
      <left/>
      <right/>
      <top style="double">
        <color indexed="64"/>
      </top>
      <bottom style="double">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style="thin">
        <color indexed="64"/>
      </top>
      <bottom style="double">
        <color indexed="64"/>
      </bottom>
      <diagonal/>
    </border>
  </borders>
  <cellStyleXfs count="5">
    <xf numFmtId="0" fontId="0" fillId="0" borderId="0"/>
    <xf numFmtId="9" fontId="2" fillId="0" borderId="0" applyFont="0" applyFill="0" applyBorder="0" applyAlignment="0" applyProtection="0"/>
    <xf numFmtId="44" fontId="2" fillId="0" borderId="0" applyFont="0" applyFill="0" applyBorder="0" applyAlignment="0" applyProtection="0"/>
    <xf numFmtId="43" fontId="2" fillId="0" borderId="0" applyFont="0" applyFill="0" applyBorder="0" applyAlignment="0" applyProtection="0"/>
    <xf numFmtId="0" fontId="7" fillId="0" borderId="0" applyNumberFormat="0" applyFill="0" applyBorder="0" applyAlignment="0" applyProtection="0"/>
  </cellStyleXfs>
  <cellXfs count="199">
    <xf numFmtId="0" fontId="0" fillId="0" borderId="0" xfId="0"/>
    <xf numFmtId="44" fontId="0" fillId="0" borderId="0" xfId="0" applyNumberFormat="1"/>
    <xf numFmtId="0" fontId="0" fillId="0" borderId="0" xfId="0" pivotButton="1"/>
    <xf numFmtId="0" fontId="0" fillId="0" borderId="0" xfId="0" applyAlignment="1">
      <alignment horizontal="left"/>
    </xf>
    <xf numFmtId="44" fontId="1" fillId="0" borderId="0" xfId="0" applyNumberFormat="1" applyFont="1"/>
    <xf numFmtId="0" fontId="0" fillId="0" borderId="6" xfId="0" applyBorder="1"/>
    <xf numFmtId="0" fontId="0" fillId="0" borderId="3" xfId="0" applyBorder="1"/>
    <xf numFmtId="10" fontId="0" fillId="0" borderId="0" xfId="1" applyNumberFormat="1" applyFont="1"/>
    <xf numFmtId="44" fontId="1" fillId="3" borderId="0" xfId="0" applyNumberFormat="1" applyFont="1" applyFill="1"/>
    <xf numFmtId="10" fontId="1" fillId="3" borderId="0" xfId="1" applyNumberFormat="1" applyFont="1" applyFill="1"/>
    <xf numFmtId="0" fontId="1" fillId="3" borderId="0" xfId="0" applyFont="1" applyFill="1"/>
    <xf numFmtId="0" fontId="3" fillId="2" borderId="1" xfId="0" applyFont="1" applyFill="1" applyBorder="1"/>
    <xf numFmtId="0" fontId="3" fillId="2" borderId="1" xfId="0" applyFont="1" applyFill="1" applyBorder="1" applyAlignment="1">
      <alignment horizontal="center"/>
    </xf>
    <xf numFmtId="0" fontId="1" fillId="0" borderId="2" xfId="0" applyFont="1" applyBorder="1" applyAlignment="1">
      <alignment horizontal="left"/>
    </xf>
    <xf numFmtId="44" fontId="1" fillId="4" borderId="0" xfId="0" applyNumberFormat="1" applyFont="1" applyFill="1"/>
    <xf numFmtId="0" fontId="3" fillId="3" borderId="0" xfId="0" applyFont="1" applyFill="1"/>
    <xf numFmtId="0" fontId="3" fillId="4" borderId="0" xfId="0" applyFont="1" applyFill="1"/>
    <xf numFmtId="0" fontId="1" fillId="0" borderId="0" xfId="0" applyFont="1" applyAlignment="1">
      <alignment horizontal="left"/>
    </xf>
    <xf numFmtId="0" fontId="1" fillId="0" borderId="3" xfId="0" applyFont="1" applyBorder="1"/>
    <xf numFmtId="44" fontId="0" fillId="0" borderId="6" xfId="0" applyNumberFormat="1" applyBorder="1"/>
    <xf numFmtId="0" fontId="1" fillId="0" borderId="0" xfId="0" applyFont="1"/>
    <xf numFmtId="0" fontId="0" fillId="0" borderId="14" xfId="0" applyBorder="1"/>
    <xf numFmtId="0" fontId="0" fillId="0" borderId="15" xfId="0" applyBorder="1"/>
    <xf numFmtId="0" fontId="0" fillId="0" borderId="16" xfId="0" applyBorder="1"/>
    <xf numFmtId="9" fontId="0" fillId="0" borderId="0" xfId="1" applyFont="1" applyBorder="1"/>
    <xf numFmtId="10" fontId="0" fillId="0" borderId="4" xfId="0" applyNumberFormat="1" applyBorder="1"/>
    <xf numFmtId="10" fontId="0" fillId="0" borderId="4" xfId="1" applyNumberFormat="1" applyFont="1" applyBorder="1"/>
    <xf numFmtId="165" fontId="0" fillId="0" borderId="0" xfId="0" applyNumberFormat="1"/>
    <xf numFmtId="0" fontId="1" fillId="0" borderId="6" xfId="0" applyFont="1" applyBorder="1"/>
    <xf numFmtId="0" fontId="1" fillId="0" borderId="10" xfId="0" applyFont="1" applyBorder="1"/>
    <xf numFmtId="0" fontId="0" fillId="0" borderId="17" xfId="0" applyBorder="1"/>
    <xf numFmtId="10" fontId="0" fillId="0" borderId="17" xfId="1" applyNumberFormat="1" applyFont="1" applyBorder="1"/>
    <xf numFmtId="0" fontId="0" fillId="0" borderId="0" xfId="0" quotePrefix="1"/>
    <xf numFmtId="0" fontId="0" fillId="0" borderId="16" xfId="0" quotePrefix="1" applyBorder="1"/>
    <xf numFmtId="2" fontId="0" fillId="0" borderId="0" xfId="0" applyNumberFormat="1"/>
    <xf numFmtId="2" fontId="0" fillId="0" borderId="4" xfId="0" applyNumberFormat="1" applyBorder="1"/>
    <xf numFmtId="2" fontId="0" fillId="0" borderId="6" xfId="0" applyNumberFormat="1" applyBorder="1"/>
    <xf numFmtId="2" fontId="0" fillId="0" borderId="10" xfId="0" applyNumberFormat="1" applyBorder="1"/>
    <xf numFmtId="2" fontId="0" fillId="0" borderId="5" xfId="0" applyNumberFormat="1" applyBorder="1"/>
    <xf numFmtId="2" fontId="0" fillId="0" borderId="16" xfId="0" applyNumberFormat="1" applyBorder="1"/>
    <xf numFmtId="164" fontId="0" fillId="0" borderId="6" xfId="0" applyNumberFormat="1" applyBorder="1"/>
    <xf numFmtId="164" fontId="0" fillId="0" borderId="4" xfId="0" applyNumberFormat="1" applyBorder="1"/>
    <xf numFmtId="0" fontId="0" fillId="0" borderId="4" xfId="0" applyBorder="1"/>
    <xf numFmtId="164" fontId="0" fillId="0" borderId="0" xfId="0" applyNumberFormat="1"/>
    <xf numFmtId="44" fontId="0" fillId="0" borderId="0" xfId="2" applyFont="1"/>
    <xf numFmtId="0" fontId="0" fillId="0" borderId="11" xfId="0" applyBorder="1"/>
    <xf numFmtId="0" fontId="0" fillId="0" borderId="12" xfId="0" applyBorder="1"/>
    <xf numFmtId="0" fontId="4" fillId="0" borderId="0" xfId="0" applyFont="1" applyAlignment="1">
      <alignment horizontal="left"/>
    </xf>
    <xf numFmtId="0" fontId="4" fillId="0" borderId="16" xfId="0" applyFont="1" applyBorder="1" applyAlignment="1">
      <alignment horizontal="left"/>
    </xf>
    <xf numFmtId="0" fontId="0" fillId="6" borderId="0" xfId="0" applyFill="1"/>
    <xf numFmtId="0" fontId="0" fillId="0" borderId="5" xfId="0" applyBorder="1"/>
    <xf numFmtId="14" fontId="0" fillId="0" borderId="0" xfId="0" applyNumberFormat="1"/>
    <xf numFmtId="0" fontId="1" fillId="7" borderId="9" xfId="0" applyFont="1" applyFill="1" applyBorder="1"/>
    <xf numFmtId="44" fontId="1" fillId="7" borderId="10" xfId="0" applyNumberFormat="1" applyFont="1" applyFill="1" applyBorder="1"/>
    <xf numFmtId="0" fontId="1" fillId="3" borderId="7" xfId="0" applyFont="1" applyFill="1" applyBorder="1"/>
    <xf numFmtId="44" fontId="1" fillId="3" borderId="7" xfId="0" applyNumberFormat="1" applyFont="1" applyFill="1" applyBorder="1"/>
    <xf numFmtId="164" fontId="1" fillId="3" borderId="4" xfId="0" applyNumberFormat="1" applyFont="1" applyFill="1" applyBorder="1"/>
    <xf numFmtId="164" fontId="1" fillId="3" borderId="6" xfId="0" applyNumberFormat="1" applyFont="1" applyFill="1" applyBorder="1"/>
    <xf numFmtId="0" fontId="1" fillId="3" borderId="6" xfId="0" applyFont="1" applyFill="1" applyBorder="1"/>
    <xf numFmtId="44" fontId="1" fillId="3" borderId="6" xfId="0" applyNumberFormat="1" applyFont="1" applyFill="1" applyBorder="1"/>
    <xf numFmtId="0" fontId="0" fillId="0" borderId="18" xfId="0" applyBorder="1"/>
    <xf numFmtId="164" fontId="0" fillId="0" borderId="0" xfId="2" applyNumberFormat="1" applyFont="1"/>
    <xf numFmtId="0" fontId="8" fillId="0" borderId="0" xfId="0" applyFont="1" applyAlignment="1">
      <alignment horizontal="left"/>
    </xf>
    <xf numFmtId="0" fontId="12" fillId="8" borderId="3" xfId="0" applyFont="1" applyFill="1" applyBorder="1"/>
    <xf numFmtId="0" fontId="12" fillId="8" borderId="6" xfId="0" applyFont="1" applyFill="1" applyBorder="1"/>
    <xf numFmtId="0" fontId="8" fillId="0" borderId="0" xfId="0" applyFont="1"/>
    <xf numFmtId="166" fontId="0" fillId="0" borderId="0" xfId="3" applyNumberFormat="1" applyFont="1"/>
    <xf numFmtId="0" fontId="13" fillId="0" borderId="0" xfId="0" applyFont="1" applyAlignment="1">
      <alignment vertical="center"/>
    </xf>
    <xf numFmtId="0" fontId="14" fillId="0" borderId="0" xfId="0" applyFont="1"/>
    <xf numFmtId="0" fontId="14" fillId="0" borderId="0" xfId="0" applyFont="1" applyAlignment="1">
      <alignment vertical="center"/>
    </xf>
    <xf numFmtId="0" fontId="16" fillId="0" borderId="0" xfId="0" applyFont="1"/>
    <xf numFmtId="0" fontId="11" fillId="0" borderId="0" xfId="0" applyFont="1"/>
    <xf numFmtId="0" fontId="14" fillId="0" borderId="0" xfId="0" applyFont="1" applyAlignment="1">
      <alignment vertical="top"/>
    </xf>
    <xf numFmtId="0" fontId="17" fillId="0" borderId="0" xfId="0" applyFont="1" applyAlignment="1">
      <alignment vertical="top"/>
    </xf>
    <xf numFmtId="164" fontId="0" fillId="0" borderId="3" xfId="2" applyNumberFormat="1" applyFont="1" applyBorder="1"/>
    <xf numFmtId="0" fontId="1" fillId="7" borderId="3" xfId="0" applyFont="1" applyFill="1" applyBorder="1"/>
    <xf numFmtId="164" fontId="1" fillId="7" borderId="3" xfId="2" applyNumberFormat="1" applyFont="1" applyFill="1" applyBorder="1"/>
    <xf numFmtId="0" fontId="1" fillId="0" borderId="0" xfId="0" applyFont="1" applyAlignment="1">
      <alignment vertical="top"/>
    </xf>
    <xf numFmtId="164" fontId="0" fillId="0" borderId="0" xfId="2" applyNumberFormat="1" applyFont="1" applyBorder="1"/>
    <xf numFmtId="164" fontId="0" fillId="0" borderId="16" xfId="2" applyNumberFormat="1" applyFont="1" applyBorder="1"/>
    <xf numFmtId="164" fontId="0" fillId="0" borderId="19" xfId="2" applyNumberFormat="1" applyFont="1" applyBorder="1"/>
    <xf numFmtId="0" fontId="0" fillId="0" borderId="23" xfId="0" applyBorder="1"/>
    <xf numFmtId="166" fontId="0" fillId="0" borderId="4" xfId="3" applyNumberFormat="1" applyFont="1" applyBorder="1"/>
    <xf numFmtId="0" fontId="1" fillId="9" borderId="0" xfId="0" applyFont="1" applyFill="1"/>
    <xf numFmtId="0" fontId="0" fillId="0" borderId="0" xfId="0" applyAlignment="1">
      <alignment vertical="top" wrapText="1"/>
    </xf>
    <xf numFmtId="164" fontId="0" fillId="0" borderId="14" xfId="2" applyNumberFormat="1" applyFont="1" applyBorder="1"/>
    <xf numFmtId="164" fontId="0" fillId="0" borderId="15" xfId="2" applyNumberFormat="1" applyFont="1" applyBorder="1"/>
    <xf numFmtId="0" fontId="0" fillId="0" borderId="20" xfId="0" applyBorder="1"/>
    <xf numFmtId="0" fontId="0" fillId="0" borderId="8" xfId="0" applyBorder="1"/>
    <xf numFmtId="0" fontId="18" fillId="10" borderId="0" xfId="0" applyFont="1" applyFill="1"/>
    <xf numFmtId="0" fontId="0" fillId="10" borderId="0" xfId="0" applyFill="1"/>
    <xf numFmtId="0" fontId="1" fillId="4" borderId="0" xfId="0" applyFont="1" applyFill="1"/>
    <xf numFmtId="0" fontId="0" fillId="4" borderId="0" xfId="0" applyFill="1"/>
    <xf numFmtId="0" fontId="0" fillId="4" borderId="3" xfId="0" applyFill="1" applyBorder="1"/>
    <xf numFmtId="0" fontId="1" fillId="4" borderId="7" xfId="0" applyFont="1" applyFill="1" applyBorder="1"/>
    <xf numFmtId="0" fontId="1" fillId="4" borderId="22" xfId="0" applyFont="1" applyFill="1" applyBorder="1"/>
    <xf numFmtId="0" fontId="1" fillId="4" borderId="6" xfId="0" applyFont="1" applyFill="1" applyBorder="1"/>
    <xf numFmtId="0" fontId="1" fillId="4" borderId="10" xfId="0" applyFont="1" applyFill="1" applyBorder="1"/>
    <xf numFmtId="0" fontId="1" fillId="4" borderId="18" xfId="0" applyFont="1" applyFill="1" applyBorder="1"/>
    <xf numFmtId="0" fontId="1" fillId="4" borderId="8" xfId="0" applyFont="1" applyFill="1" applyBorder="1"/>
    <xf numFmtId="44" fontId="0" fillId="0" borderId="0" xfId="2" applyFont="1" applyBorder="1"/>
    <xf numFmtId="0" fontId="1" fillId="4" borderId="3" xfId="0" applyFont="1" applyFill="1" applyBorder="1"/>
    <xf numFmtId="164" fontId="0" fillId="0" borderId="4" xfId="2" applyNumberFormat="1" applyFont="1" applyBorder="1"/>
    <xf numFmtId="164" fontId="0" fillId="0" borderId="6" xfId="2" applyNumberFormat="1" applyFont="1" applyBorder="1"/>
    <xf numFmtId="1" fontId="0" fillId="0" borderId="6" xfId="2" applyNumberFormat="1" applyFont="1" applyBorder="1"/>
    <xf numFmtId="167" fontId="0" fillId="0" borderId="6" xfId="2" applyNumberFormat="1" applyFont="1" applyBorder="1"/>
    <xf numFmtId="0" fontId="0" fillId="0" borderId="10" xfId="0" applyBorder="1"/>
    <xf numFmtId="0" fontId="1" fillId="0" borderId="17" xfId="0" applyFont="1" applyBorder="1"/>
    <xf numFmtId="164" fontId="0" fillId="0" borderId="3" xfId="0" applyNumberFormat="1" applyBorder="1"/>
    <xf numFmtId="0" fontId="21" fillId="0" borderId="0" xfId="0" applyFont="1" applyAlignment="1">
      <alignment vertical="top" wrapText="1"/>
    </xf>
    <xf numFmtId="164" fontId="0" fillId="0" borderId="6" xfId="2" quotePrefix="1" applyNumberFormat="1" applyFont="1" applyBorder="1"/>
    <xf numFmtId="164" fontId="0" fillId="0" borderId="10" xfId="2" quotePrefix="1" applyNumberFormat="1" applyFont="1" applyBorder="1"/>
    <xf numFmtId="166" fontId="0" fillId="0" borderId="6" xfId="3" applyNumberFormat="1" applyFont="1" applyBorder="1"/>
    <xf numFmtId="44" fontId="0" fillId="0" borderId="14" xfId="2" applyFont="1" applyBorder="1"/>
    <xf numFmtId="44" fontId="0" fillId="0" borderId="15" xfId="2" applyFont="1" applyBorder="1"/>
    <xf numFmtId="44" fontId="0" fillId="0" borderId="16" xfId="2" applyFont="1" applyBorder="1"/>
    <xf numFmtId="0" fontId="1" fillId="4" borderId="12" xfId="0" applyFont="1" applyFill="1" applyBorder="1"/>
    <xf numFmtId="0" fontId="1" fillId="4" borderId="20" xfId="0" applyFont="1" applyFill="1" applyBorder="1"/>
    <xf numFmtId="0" fontId="1" fillId="0" borderId="0" xfId="0" applyFont="1" applyAlignment="1">
      <alignment horizontal="left" vertical="top"/>
    </xf>
    <xf numFmtId="0" fontId="13" fillId="0" borderId="0" xfId="0" applyFont="1" applyAlignment="1">
      <alignment horizontal="left" vertical="top"/>
    </xf>
    <xf numFmtId="0" fontId="0" fillId="2" borderId="24" xfId="0" applyFill="1" applyBorder="1"/>
    <xf numFmtId="0" fontId="0" fillId="2" borderId="25" xfId="0" applyFill="1" applyBorder="1"/>
    <xf numFmtId="0" fontId="0" fillId="0" borderId="24" xfId="0" applyBorder="1"/>
    <xf numFmtId="0" fontId="0" fillId="0" borderId="25" xfId="0" applyBorder="1"/>
    <xf numFmtId="14" fontId="0" fillId="0" borderId="25" xfId="0" applyNumberFormat="1" applyBorder="1"/>
    <xf numFmtId="44" fontId="0" fillId="0" borderId="25" xfId="2" applyFont="1" applyBorder="1"/>
    <xf numFmtId="44" fontId="0" fillId="0" borderId="26" xfId="2" applyFont="1" applyBorder="1"/>
    <xf numFmtId="0" fontId="23" fillId="11" borderId="24" xfId="0" applyFont="1" applyFill="1" applyBorder="1"/>
    <xf numFmtId="0" fontId="23" fillId="11" borderId="25" xfId="0" applyFont="1" applyFill="1" applyBorder="1"/>
    <xf numFmtId="44" fontId="23" fillId="11" borderId="25" xfId="2" applyFont="1" applyFill="1" applyBorder="1"/>
    <xf numFmtId="44" fontId="23" fillId="11" borderId="26" xfId="2" applyFont="1" applyFill="1" applyBorder="1"/>
    <xf numFmtId="14" fontId="0" fillId="2" borderId="25" xfId="0" applyNumberFormat="1" applyFill="1" applyBorder="1"/>
    <xf numFmtId="44" fontId="0" fillId="2" borderId="25" xfId="2" applyFont="1" applyFill="1" applyBorder="1"/>
    <xf numFmtId="44" fontId="0" fillId="2" borderId="26" xfId="2" applyFont="1" applyFill="1" applyBorder="1"/>
    <xf numFmtId="14" fontId="23" fillId="11" borderId="25" xfId="0" applyNumberFormat="1" applyFont="1" applyFill="1" applyBorder="1"/>
    <xf numFmtId="0" fontId="0" fillId="0" borderId="27" xfId="0" applyBorder="1"/>
    <xf numFmtId="0" fontId="1" fillId="4" borderId="13" xfId="0" applyFont="1" applyFill="1" applyBorder="1"/>
    <xf numFmtId="166" fontId="0" fillId="0" borderId="12" xfId="3" applyNumberFormat="1" applyFont="1" applyBorder="1"/>
    <xf numFmtId="1" fontId="0" fillId="0" borderId="27" xfId="0" applyNumberFormat="1" applyBorder="1"/>
    <xf numFmtId="166" fontId="0" fillId="0" borderId="5" xfId="3" applyNumberFormat="1" applyFont="1" applyBorder="1"/>
    <xf numFmtId="2" fontId="0" fillId="0" borderId="8" xfId="3" applyNumberFormat="1" applyFont="1" applyBorder="1"/>
    <xf numFmtId="2" fontId="0" fillId="0" borderId="21" xfId="0" applyNumberFormat="1" applyBorder="1"/>
    <xf numFmtId="2" fontId="0" fillId="0" borderId="18" xfId="3" applyNumberFormat="1" applyFont="1" applyBorder="1"/>
    <xf numFmtId="2" fontId="0" fillId="0" borderId="19" xfId="0" applyNumberFormat="1" applyBorder="1"/>
    <xf numFmtId="10" fontId="0" fillId="0" borderId="17" xfId="0" quotePrefix="1" applyNumberFormat="1" applyBorder="1"/>
    <xf numFmtId="10" fontId="0" fillId="0" borderId="0" xfId="0" applyNumberFormat="1"/>
    <xf numFmtId="168" fontId="0" fillId="0" borderId="0" xfId="0" applyNumberFormat="1"/>
    <xf numFmtId="10" fontId="0" fillId="0" borderId="6" xfId="1" applyNumberFormat="1" applyFont="1" applyBorder="1"/>
    <xf numFmtId="164" fontId="1" fillId="4" borderId="7" xfId="0" applyNumberFormat="1" applyFont="1" applyFill="1" applyBorder="1"/>
    <xf numFmtId="164" fontId="1" fillId="4" borderId="4" xfId="0" applyNumberFormat="1" applyFont="1" applyFill="1" applyBorder="1"/>
    <xf numFmtId="164" fontId="1" fillId="4" borderId="6" xfId="0" applyNumberFormat="1" applyFont="1" applyFill="1" applyBorder="1"/>
    <xf numFmtId="164" fontId="1" fillId="4" borderId="6" xfId="0" quotePrefix="1" applyNumberFormat="1" applyFont="1" applyFill="1" applyBorder="1"/>
    <xf numFmtId="0" fontId="1" fillId="4" borderId="3" xfId="0" applyFont="1" applyFill="1" applyBorder="1" applyAlignment="1">
      <alignment horizontal="center"/>
    </xf>
    <xf numFmtId="0" fontId="1" fillId="4" borderId="11" xfId="0" applyFont="1" applyFill="1" applyBorder="1"/>
    <xf numFmtId="0" fontId="0" fillId="4" borderId="12" xfId="0" applyFill="1" applyBorder="1"/>
    <xf numFmtId="0" fontId="1" fillId="4" borderId="17" xfId="0" applyFont="1" applyFill="1" applyBorder="1"/>
    <xf numFmtId="0" fontId="1" fillId="4" borderId="14" xfId="0" applyFont="1" applyFill="1" applyBorder="1"/>
    <xf numFmtId="0" fontId="0" fillId="4" borderId="6" xfId="0" applyFill="1" applyBorder="1"/>
    <xf numFmtId="0" fontId="0" fillId="4" borderId="4" xfId="0" applyFill="1" applyBorder="1"/>
    <xf numFmtId="2" fontId="0" fillId="4" borderId="6" xfId="0" applyNumberFormat="1" applyFill="1" applyBorder="1"/>
    <xf numFmtId="2" fontId="0" fillId="4" borderId="4" xfId="0" applyNumberFormat="1" applyFill="1" applyBorder="1"/>
    <xf numFmtId="0" fontId="1" fillId="4" borderId="3" xfId="0" applyFont="1" applyFill="1" applyBorder="1" applyAlignment="1">
      <alignment horizontal="center" vertical="top"/>
    </xf>
    <xf numFmtId="0" fontId="23" fillId="10" borderId="0" xfId="0" applyFont="1" applyFill="1"/>
    <xf numFmtId="0" fontId="23" fillId="12" borderId="0" xfId="0" applyFont="1" applyFill="1"/>
    <xf numFmtId="0" fontId="23" fillId="12" borderId="9" xfId="0" applyFont="1" applyFill="1" applyBorder="1"/>
    <xf numFmtId="164" fontId="23" fillId="12" borderId="10" xfId="0" applyNumberFormat="1" applyFont="1" applyFill="1" applyBorder="1"/>
    <xf numFmtId="164" fontId="23" fillId="12" borderId="3" xfId="0" applyNumberFormat="1" applyFont="1" applyFill="1" applyBorder="1"/>
    <xf numFmtId="0" fontId="1" fillId="13" borderId="0" xfId="0" applyFont="1" applyFill="1"/>
    <xf numFmtId="0" fontId="1" fillId="2" borderId="1" xfId="0" applyFont="1" applyFill="1" applyBorder="1"/>
    <xf numFmtId="0" fontId="6" fillId="0" borderId="0" xfId="0" applyFont="1"/>
    <xf numFmtId="0" fontId="0" fillId="0" borderId="0" xfId="0" applyAlignment="1">
      <alignment horizontal="left" vertical="top" wrapText="1"/>
    </xf>
    <xf numFmtId="0" fontId="19" fillId="4" borderId="0" xfId="0" applyFont="1" applyFill="1" applyAlignment="1">
      <alignment horizontal="left" vertical="top"/>
    </xf>
    <xf numFmtId="0" fontId="22" fillId="0" borderId="0" xfId="0" applyFont="1" applyAlignment="1">
      <alignment horizontal="left"/>
    </xf>
    <xf numFmtId="0" fontId="1" fillId="0" borderId="3" xfId="0" applyFont="1" applyBorder="1" applyAlignment="1">
      <alignment horizontal="center"/>
    </xf>
    <xf numFmtId="0" fontId="0" fillId="0" borderId="3" xfId="0" applyBorder="1" applyAlignment="1">
      <alignment horizontal="center"/>
    </xf>
    <xf numFmtId="0" fontId="1" fillId="0" borderId="16" xfId="0" applyFont="1" applyBorder="1" applyAlignment="1">
      <alignment horizontal="center"/>
    </xf>
    <xf numFmtId="0" fontId="25" fillId="4" borderId="0" xfId="0" applyFont="1" applyFill="1" applyAlignment="1">
      <alignment horizontal="left" vertical="top"/>
    </xf>
    <xf numFmtId="0" fontId="13" fillId="0" borderId="0" xfId="0" applyFont="1" applyAlignment="1">
      <alignment horizontal="left" vertical="top" wrapText="1"/>
    </xf>
    <xf numFmtId="0" fontId="1" fillId="0" borderId="0" xfId="0" applyFont="1" applyAlignment="1">
      <alignment horizontal="center"/>
    </xf>
    <xf numFmtId="0" fontId="23" fillId="10" borderId="16" xfId="0" applyFont="1" applyFill="1" applyBorder="1" applyAlignment="1">
      <alignment horizontal="center"/>
    </xf>
    <xf numFmtId="0" fontId="1" fillId="4" borderId="20" xfId="0" applyFont="1" applyFill="1" applyBorder="1" applyAlignment="1">
      <alignment horizontal="center"/>
    </xf>
    <xf numFmtId="0" fontId="1" fillId="4" borderId="18" xfId="0" applyFont="1" applyFill="1" applyBorder="1" applyAlignment="1">
      <alignment horizontal="center"/>
    </xf>
    <xf numFmtId="0" fontId="1" fillId="4" borderId="8" xfId="0" applyFont="1" applyFill="1" applyBorder="1" applyAlignment="1">
      <alignment horizontal="center"/>
    </xf>
    <xf numFmtId="0" fontId="5" fillId="8" borderId="0" xfId="0" applyFont="1" applyFill="1" applyAlignment="1">
      <alignment horizontal="left" vertical="top"/>
    </xf>
    <xf numFmtId="0" fontId="1" fillId="0" borderId="14" xfId="0" applyFont="1" applyBorder="1" applyAlignment="1">
      <alignment horizontal="left" vertical="top" wrapText="1"/>
    </xf>
    <xf numFmtId="0" fontId="1" fillId="0" borderId="0" xfId="0" applyFont="1" applyAlignment="1">
      <alignment horizontal="left" vertical="top" wrapText="1"/>
    </xf>
    <xf numFmtId="0" fontId="1" fillId="0" borderId="4" xfId="0" applyFont="1" applyBorder="1" applyAlignment="1">
      <alignment horizontal="left" vertical="top" wrapText="1"/>
    </xf>
    <xf numFmtId="0" fontId="1" fillId="0" borderId="15" xfId="0" applyFont="1" applyBorder="1" applyAlignment="1">
      <alignment horizontal="left" vertical="top" wrapText="1"/>
    </xf>
    <xf numFmtId="0" fontId="1" fillId="0" borderId="16" xfId="0" applyFont="1" applyBorder="1" applyAlignment="1">
      <alignment horizontal="left" vertical="top" wrapText="1"/>
    </xf>
    <xf numFmtId="0" fontId="1" fillId="0" borderId="5" xfId="0" applyFont="1" applyBorder="1" applyAlignment="1">
      <alignment horizontal="left" vertical="top" wrapText="1"/>
    </xf>
    <xf numFmtId="0" fontId="4" fillId="5" borderId="0" xfId="0" applyFont="1" applyFill="1" applyAlignment="1">
      <alignment horizontal="left"/>
    </xf>
    <xf numFmtId="0" fontId="4" fillId="5" borderId="4" xfId="0" applyFont="1" applyFill="1" applyBorder="1" applyAlignment="1">
      <alignment horizontal="left"/>
    </xf>
    <xf numFmtId="0" fontId="6" fillId="0" borderId="0" xfId="0" applyFont="1" applyAlignment="1">
      <alignment horizontal="left"/>
    </xf>
    <xf numFmtId="0" fontId="20" fillId="4" borderId="0" xfId="0" applyFont="1" applyFill="1" applyAlignment="1">
      <alignment horizontal="left"/>
    </xf>
    <xf numFmtId="0" fontId="10" fillId="0" borderId="0" xfId="4" applyFont="1" applyAlignment="1">
      <alignment horizontal="left"/>
    </xf>
    <xf numFmtId="0" fontId="11" fillId="0" borderId="0" xfId="0" applyFont="1" applyAlignment="1">
      <alignment horizontal="left"/>
    </xf>
    <xf numFmtId="0" fontId="17" fillId="0" borderId="0" xfId="0" applyFont="1" applyAlignment="1">
      <alignment horizontal="left" vertical="top" wrapText="1"/>
    </xf>
    <xf numFmtId="0" fontId="17" fillId="0" borderId="0" xfId="0" applyFont="1" applyAlignment="1">
      <alignment horizontal="left" vertical="top"/>
    </xf>
    <xf numFmtId="0" fontId="9" fillId="0" borderId="0" xfId="0" applyFont="1" applyAlignment="1">
      <alignment horizontal="center"/>
    </xf>
  </cellXfs>
  <cellStyles count="5">
    <cellStyle name="Comma" xfId="3" builtinId="3"/>
    <cellStyle name="Currency" xfId="2" builtinId="4"/>
    <cellStyle name="Hyperlink" xfId="4" builtinId="8"/>
    <cellStyle name="Normal" xfId="0" builtinId="0"/>
    <cellStyle name="Percent" xfId="1" builtinId="5"/>
  </cellStyles>
  <dxfs count="44">
    <dxf>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font>
        <b val="0"/>
        <i val="0"/>
        <strike val="0"/>
        <condense val="0"/>
        <extend val="0"/>
        <outline val="0"/>
        <shadow val="0"/>
        <u val="none"/>
        <vertAlign val="baseline"/>
        <sz val="11"/>
        <color theme="1"/>
        <name val="Aptos Narrow"/>
        <family val="2"/>
        <scheme val="minor"/>
      </font>
      <numFmt numFmtId="164" formatCode="_(&quot;$&quot;* #,##0_);_(&quot;$&quot;* \(#,##0\);_(&quot;$&quot;* &quot;-&quot;??_);_(@_)"/>
    </dxf>
    <dxf>
      <numFmt numFmtId="19" formatCode="m/d/yyyy"/>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1" tint="4.9989318521683403E-2"/>
        <name val="Aptos Narrow"/>
        <family val="2"/>
        <scheme val="minor"/>
      </font>
      <fill>
        <patternFill patternType="solid">
          <fgColor indexed="64"/>
          <bgColor theme="4" tint="0.39997558519241921"/>
        </patternFill>
      </fill>
      <border diagonalUp="0" diagonalDown="0" outline="0">
        <left style="thin">
          <color indexed="64"/>
        </left>
        <right style="thin">
          <color indexed="64"/>
        </right>
        <top/>
        <bottom/>
      </border>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ill>
        <patternFill patternType="solid">
          <bgColor theme="4" tint="0.79998168889431442"/>
        </patternFill>
      </fill>
    </dxf>
    <dxf>
      <font>
        <b/>
      </font>
    </dxf>
    <dxf>
      <font>
        <b/>
      </font>
    </dxf>
    <dxf>
      <numFmt numFmtId="164" formatCode="_(&quot;$&quot;* #,##0_);_(&quot;$&quot;* \(#,##0\);_(&quot;$&quot;* &quot;-&quot;??_);_(@_)"/>
    </dxf>
    <dxf>
      <font>
        <color theme="6" tint="-0.24994659260841701"/>
      </font>
      <fill>
        <patternFill>
          <bgColor theme="9" tint="0.79998168889431442"/>
        </patternFill>
      </fill>
    </dxf>
    <dxf>
      <numFmt numFmtId="14" formatCode="0.00%"/>
    </dxf>
    <dxf>
      <numFmt numFmtId="14" formatCode="0.00%"/>
    </dxf>
    <dxf>
      <numFmt numFmtId="34" formatCode="_(&quot;$&quot;* #,##0.00_);_(&quot;$&quot;* \(#,##0.00\);_(&quot;$&quot;* &quot;-&quot;??_);_(@_)"/>
    </dxf>
    <dxf>
      <font>
        <b val="0"/>
      </font>
      <numFmt numFmtId="34" formatCode="_(&quot;$&quot;* #,##0.00_);_(&quot;$&quot;* \(#,##0.00\);_(&quot;$&quot;* &quot;-&quot;??_);_(@_)"/>
    </dxf>
    <dxf>
      <font>
        <b val="0"/>
      </font>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font>
        <b/>
      </font>
      <alignment horizontal="left" vertical="bottom"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auto="1"/>
        <name val="Aptos Narrow"/>
        <family val="2"/>
        <scheme val="minor"/>
      </font>
      <fill>
        <patternFill patternType="solid">
          <fgColor theme="4" tint="0.79998168889431442"/>
          <bgColor theme="4" tint="0.79998168889431442"/>
        </patternFill>
      </fill>
    </dxf>
    <dxf>
      <numFmt numFmtId="34" formatCode="_(&quot;$&quot;* #,##0.00_);_(&quot;$&quot;* \(#,##0.00\);_(&quot;$&quot;* &quot;-&quot;??_);_(@_)"/>
    </dxf>
    <dxf>
      <font>
        <b/>
      </font>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
      <numFmt numFmtId="34" formatCode="_(&quot;$&quot;* #,##0.00_);_(&quot;$&quot;* \(#,##0.00\);_(&quot;$&quot;* &quot;-&quot;??_);_(@_)"/>
    </dxf>
  </dxfs>
  <tableStyles count="0" defaultTableStyle="TableStyleMedium2" defaultPivotStyle="PivotStyleLight16"/>
  <colors>
    <mruColors>
      <color rgb="FF156082"/>
      <color rgb="FFF79646"/>
      <color rgb="FFFF5353"/>
      <color rgb="FFFF8F8F"/>
      <color rgb="FFFFD965"/>
      <color rgb="FFB4C7E7"/>
      <color rgb="FF386C48"/>
      <color rgb="FF15291B"/>
      <color rgb="FFFFEDB3"/>
      <color rgb="FFFFD1D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2.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r>
              <a:rPr lang="en-US" sz="1800" b="1">
                <a:ln w="9525">
                  <a:noFill/>
                </a:ln>
              </a:rPr>
              <a:t>Sum of  Total Revenue </a:t>
            </a:r>
          </a:p>
        </c:rich>
      </c:tx>
      <c:layout>
        <c:manualLayout>
          <c:xMode val="edge"/>
          <c:yMode val="edge"/>
          <c:x val="0.32477936327700224"/>
          <c:y val="1.5313624405886496E-2"/>
        </c:manualLayout>
      </c:layout>
      <c:overlay val="0"/>
      <c:spPr>
        <a:noFill/>
        <a:ln>
          <a:noFill/>
        </a:ln>
        <a:effectLst/>
      </c:spPr>
      <c:txPr>
        <a:bodyPr rot="0" spcFirstLastPara="1" vertOverflow="ellipsis" vert="horz" wrap="square" anchor="ctr" anchorCtr="1"/>
        <a:lstStyle/>
        <a:p>
          <a:pPr>
            <a:defRPr sz="1400" b="0" i="0" u="none" strike="noStrike" kern="1200" spc="0" baseline="0">
              <a:ln w="9525">
                <a:noFill/>
              </a:ln>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4187154717238354"/>
          <c:y val="0.1578579736268037"/>
          <c:w val="0.52877711367940461"/>
          <c:h val="0.64675395949348247"/>
        </c:manualLayout>
      </c:layout>
      <c:pieChart>
        <c:varyColors val="1"/>
        <c:ser>
          <c:idx val="0"/>
          <c:order val="0"/>
          <c:tx>
            <c:strRef>
              <c:f>'Overview of Sectors'!$C$18</c:f>
              <c:strCache>
                <c:ptCount val="1"/>
                <c:pt idx="0">
                  <c:v>Sum of  Total Revenue </c:v>
                </c:pt>
              </c:strCache>
            </c:strRef>
          </c:tx>
          <c:spPr>
            <a:solidFill>
              <a:srgbClr val="C00000"/>
            </a:solidFill>
            <a:ln>
              <a:noFill/>
            </a:ln>
          </c:spPr>
          <c:dPt>
            <c:idx val="0"/>
            <c:bubble3D val="0"/>
            <c:spPr>
              <a:solidFill>
                <a:srgbClr val="F79646"/>
              </a:solidFill>
              <a:ln w="19050">
                <a:noFill/>
              </a:ln>
              <a:effectLst/>
            </c:spPr>
            <c:extLst>
              <c:ext xmlns:c16="http://schemas.microsoft.com/office/drawing/2014/chart" uri="{C3380CC4-5D6E-409C-BE32-E72D297353CC}">
                <c16:uniqueId val="{00000006-BB05-41FE-813B-9A09E96AC702}"/>
              </c:ext>
            </c:extLst>
          </c:dPt>
          <c:dPt>
            <c:idx val="1"/>
            <c:bubble3D val="0"/>
            <c:spPr>
              <a:solidFill>
                <a:srgbClr val="4F81BD"/>
              </a:solidFill>
              <a:ln w="19050">
                <a:noFill/>
              </a:ln>
              <a:effectLst/>
            </c:spPr>
            <c:extLst>
              <c:ext xmlns:c16="http://schemas.microsoft.com/office/drawing/2014/chart" uri="{C3380CC4-5D6E-409C-BE32-E72D297353CC}">
                <c16:uniqueId val="{00000007-BB05-41FE-813B-9A09E96AC702}"/>
              </c:ext>
            </c:extLst>
          </c:dPt>
          <c:dPt>
            <c:idx val="2"/>
            <c:bubble3D val="0"/>
            <c:spPr>
              <a:solidFill>
                <a:srgbClr val="9BBB59"/>
              </a:solidFill>
              <a:ln w="19050">
                <a:noFill/>
              </a:ln>
              <a:effectLst/>
            </c:spPr>
            <c:extLst>
              <c:ext xmlns:c16="http://schemas.microsoft.com/office/drawing/2014/chart" uri="{C3380CC4-5D6E-409C-BE32-E72D297353CC}">
                <c16:uniqueId val="{00000008-BB05-41FE-813B-9A09E96AC702}"/>
              </c:ext>
            </c:extLst>
          </c:dPt>
          <c:dPt>
            <c:idx val="3"/>
            <c:bubble3D val="0"/>
            <c:spPr>
              <a:solidFill>
                <a:srgbClr val="C0504D"/>
              </a:solidFill>
              <a:ln w="19050">
                <a:noFill/>
              </a:ln>
              <a:effectLst/>
            </c:spPr>
            <c:extLst>
              <c:ext xmlns:c16="http://schemas.microsoft.com/office/drawing/2014/chart" uri="{C3380CC4-5D6E-409C-BE32-E72D297353CC}">
                <c16:uniqueId val="{00000009-BB05-41FE-813B-9A09E96AC702}"/>
              </c:ext>
            </c:extLst>
          </c:dPt>
          <c:dPt>
            <c:idx val="4"/>
            <c:bubble3D val="0"/>
            <c:spPr>
              <a:solidFill>
                <a:srgbClr val="8064A2"/>
              </a:solidFill>
              <a:ln w="19050">
                <a:noFill/>
              </a:ln>
              <a:effectLst/>
            </c:spPr>
            <c:extLst>
              <c:ext xmlns:c16="http://schemas.microsoft.com/office/drawing/2014/chart" uri="{C3380CC4-5D6E-409C-BE32-E72D297353CC}">
                <c16:uniqueId val="{0000000A-BB05-41FE-813B-9A09E96AC702}"/>
              </c:ext>
            </c:extLst>
          </c:dPt>
          <c:dPt>
            <c:idx val="5"/>
            <c:bubble3D val="0"/>
            <c:explosion val="1"/>
            <c:spPr>
              <a:solidFill>
                <a:srgbClr val="FFD965"/>
              </a:solidFill>
              <a:ln w="19050">
                <a:noFill/>
              </a:ln>
              <a:effectLst/>
            </c:spPr>
            <c:extLst>
              <c:ext xmlns:c16="http://schemas.microsoft.com/office/drawing/2014/chart" uri="{C3380CC4-5D6E-409C-BE32-E72D297353CC}">
                <c16:uniqueId val="{0000000B-BB05-41FE-813B-9A09E96AC702}"/>
              </c:ext>
            </c:extLst>
          </c:dPt>
          <c:dPt>
            <c:idx val="6"/>
            <c:bubble3D val="0"/>
            <c:spPr>
              <a:solidFill>
                <a:srgbClr val="2E75B6"/>
              </a:solidFill>
              <a:ln w="19050">
                <a:noFill/>
              </a:ln>
              <a:effectLst/>
            </c:spPr>
            <c:extLst>
              <c:ext xmlns:c16="http://schemas.microsoft.com/office/drawing/2014/chart" uri="{C3380CC4-5D6E-409C-BE32-E72D297353CC}">
                <c16:uniqueId val="{0000000C-BB05-41FE-813B-9A09E96AC702}"/>
              </c:ext>
            </c:extLst>
          </c:dPt>
          <c:dPt>
            <c:idx val="7"/>
            <c:bubble3D val="0"/>
            <c:spPr>
              <a:solidFill>
                <a:srgbClr val="B4C7E7"/>
              </a:solidFill>
              <a:ln w="19050">
                <a:noFill/>
              </a:ln>
              <a:effectLst/>
            </c:spPr>
            <c:extLst>
              <c:ext xmlns:c16="http://schemas.microsoft.com/office/drawing/2014/chart" uri="{C3380CC4-5D6E-409C-BE32-E72D297353CC}">
                <c16:uniqueId val="{0000000D-BB05-41FE-813B-9A09E96AC702}"/>
              </c:ext>
            </c:extLst>
          </c:dPt>
          <c:dPt>
            <c:idx val="8"/>
            <c:bubble3D val="0"/>
            <c:spPr>
              <a:solidFill>
                <a:srgbClr val="5B9BD5"/>
              </a:solidFill>
              <a:ln w="19050">
                <a:noFill/>
              </a:ln>
              <a:effectLst/>
            </c:spPr>
            <c:extLst>
              <c:ext xmlns:c16="http://schemas.microsoft.com/office/drawing/2014/chart" uri="{C3380CC4-5D6E-409C-BE32-E72D297353CC}">
                <c16:uniqueId val="{0000000E-BB05-41FE-813B-9A09E96AC702}"/>
              </c:ext>
            </c:extLst>
          </c:dPt>
          <c:dPt>
            <c:idx val="9"/>
            <c:bubble3D val="0"/>
            <c:spPr>
              <a:solidFill>
                <a:srgbClr val="76933C"/>
              </a:solidFill>
              <a:ln w="19050">
                <a:noFill/>
              </a:ln>
              <a:effectLst/>
            </c:spPr>
            <c:extLst>
              <c:ext xmlns:c16="http://schemas.microsoft.com/office/drawing/2014/chart" uri="{C3380CC4-5D6E-409C-BE32-E72D297353CC}">
                <c16:uniqueId val="{0000000F-BB05-41FE-813B-9A09E96AC702}"/>
              </c:ext>
            </c:extLst>
          </c:dPt>
          <c:dPt>
            <c:idx val="10"/>
            <c:bubble3D val="0"/>
            <c:spPr>
              <a:solidFill>
                <a:srgbClr val="D99694"/>
              </a:solidFill>
              <a:ln w="19050">
                <a:noFill/>
              </a:ln>
              <a:effectLst/>
            </c:spPr>
            <c:extLst>
              <c:ext xmlns:c16="http://schemas.microsoft.com/office/drawing/2014/chart" uri="{C3380CC4-5D6E-409C-BE32-E72D297353CC}">
                <c16:uniqueId val="{00000010-BB05-41FE-813B-9A09E96AC702}"/>
              </c:ext>
            </c:extLst>
          </c:dPt>
          <c:dLbls>
            <c:dLbl>
              <c:idx val="5"/>
              <c:layout>
                <c:manualLayout>
                  <c:x val="1.2520208024171748E-2"/>
                  <c:y val="4.375321258824713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BB05-41FE-813B-9A09E96AC702}"/>
                </c:ext>
              </c:extLst>
            </c:dLbl>
            <c:dLbl>
              <c:idx val="6"/>
              <c:layout>
                <c:manualLayout>
                  <c:x val="1.7584061789268704E-2"/>
                  <c:y val="1.531362440588645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C-BB05-41FE-813B-9A09E96AC702}"/>
                </c:ext>
              </c:extLst>
            </c:dLbl>
            <c:dLbl>
              <c:idx val="7"/>
              <c:layout>
                <c:manualLayout>
                  <c:x val="-2.3955988581682948E-3"/>
                  <c:y val="4.76707615539487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BB05-41FE-813B-9A09E96AC702}"/>
                </c:ext>
              </c:extLst>
            </c:dLbl>
            <c:dLbl>
              <c:idx val="8"/>
              <c:layout>
                <c:manualLayout>
                  <c:x val="1.7405201674637678E-2"/>
                  <c:y val="1.80587078539428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E-BB05-41FE-813B-9A09E96AC702}"/>
                </c:ext>
              </c:extLst>
            </c:dLbl>
            <c:dLbl>
              <c:idx val="10"/>
              <c:layout>
                <c:manualLayout>
                  <c:x val="4.2147329752281561E-2"/>
                  <c:y val="-1.41336657199437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0-BB05-41FE-813B-9A09E96AC702}"/>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Sectors'!$C$19:$C$29</c:f>
              <c:numCache>
                <c:formatCode>_("$"* #,##0.00_);_("$"* \(#,##0.00\);_("$"* "-"??_);_(@_)</c:formatCode>
                <c:ptCount val="11"/>
                <c:pt idx="0">
                  <c:v>5729846251000</c:v>
                </c:pt>
                <c:pt idx="1">
                  <c:v>5623668607000</c:v>
                </c:pt>
                <c:pt idx="2">
                  <c:v>4834114768000</c:v>
                </c:pt>
                <c:pt idx="3">
                  <c:v>4458012375000</c:v>
                </c:pt>
                <c:pt idx="4">
                  <c:v>4103821019000</c:v>
                </c:pt>
                <c:pt idx="5">
                  <c:v>3662792220000</c:v>
                </c:pt>
                <c:pt idx="6">
                  <c:v>3415396723000</c:v>
                </c:pt>
                <c:pt idx="7">
                  <c:v>1150747853000</c:v>
                </c:pt>
                <c:pt idx="8">
                  <c:v>1124278980000</c:v>
                </c:pt>
                <c:pt idx="9">
                  <c:v>1069025171000</c:v>
                </c:pt>
                <c:pt idx="10">
                  <c:v>261218429000</c:v>
                </c:pt>
              </c:numCache>
            </c:numRef>
          </c:val>
          <c:extLst>
            <c:ext xmlns:c16="http://schemas.microsoft.com/office/drawing/2014/chart" uri="{C3380CC4-5D6E-409C-BE32-E72D297353CC}">
              <c16:uniqueId val="{00000000-BB05-41FE-813B-9A09E96AC702}"/>
            </c:ext>
          </c:extLst>
        </c:ser>
        <c:ser>
          <c:idx val="1"/>
          <c:order val="1"/>
          <c:tx>
            <c:strRef>
              <c:f>'Overview of Sectors'!$D$18</c:f>
              <c:strCache>
                <c:ptCount val="1"/>
                <c:pt idx="0">
                  <c:v>Sum of  Cost of Goods Sold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Sectors'!$D$19:$D$29</c:f>
              <c:numCache>
                <c:formatCode>_("$"* #,##0.00_);_("$"* \(#,##0.00\);_("$"* "-"??_);_(@_)</c:formatCode>
                <c:ptCount val="11"/>
                <c:pt idx="0">
                  <c:v>4220582806000</c:v>
                </c:pt>
                <c:pt idx="1">
                  <c:v>3910065646000</c:v>
                </c:pt>
                <c:pt idx="2">
                  <c:v>3426183542000</c:v>
                </c:pt>
                <c:pt idx="3">
                  <c:v>2915196726000</c:v>
                </c:pt>
                <c:pt idx="4">
                  <c:v>2556081614000</c:v>
                </c:pt>
                <c:pt idx="5">
                  <c:v>1888087165000</c:v>
                </c:pt>
                <c:pt idx="6">
                  <c:v>1046499348000</c:v>
                </c:pt>
                <c:pt idx="7">
                  <c:v>473606000000</c:v>
                </c:pt>
                <c:pt idx="8">
                  <c:v>798181266000</c:v>
                </c:pt>
                <c:pt idx="9">
                  <c:v>646648002000</c:v>
                </c:pt>
                <c:pt idx="10">
                  <c:v>118006079000</c:v>
                </c:pt>
              </c:numCache>
            </c:numRef>
          </c:val>
          <c:extLst>
            <c:ext xmlns:c16="http://schemas.microsoft.com/office/drawing/2014/chart" uri="{C3380CC4-5D6E-409C-BE32-E72D297353CC}">
              <c16:uniqueId val="{00000001-BB05-41FE-813B-9A09E96AC702}"/>
            </c:ext>
          </c:extLst>
        </c:ser>
        <c:ser>
          <c:idx val="2"/>
          <c:order val="2"/>
          <c:tx>
            <c:strRef>
              <c:f>'Overview of Sectors'!$E$18</c:f>
              <c:strCache>
                <c:ptCount val="1"/>
                <c:pt idx="0">
                  <c:v>Sum of  Sales, General and Admin.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D-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F-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31-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33-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35-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37-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39-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B-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3D-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F-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41-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Sectors'!$E$19:$E$29</c:f>
              <c:numCache>
                <c:formatCode>_("$"* #,##0.00_);_("$"* \(#,##0.00\);_("$"* "-"??_);_(@_)</c:formatCode>
                <c:ptCount val="11"/>
                <c:pt idx="0">
                  <c:v>930496467000</c:v>
                </c:pt>
                <c:pt idx="1">
                  <c:v>1061780331000</c:v>
                </c:pt>
                <c:pt idx="2">
                  <c:v>614425061000</c:v>
                </c:pt>
                <c:pt idx="3">
                  <c:v>594523810000</c:v>
                </c:pt>
                <c:pt idx="4">
                  <c:v>889318825000</c:v>
                </c:pt>
                <c:pt idx="5">
                  <c:v>610328801000</c:v>
                </c:pt>
                <c:pt idx="6">
                  <c:v>1310306286000</c:v>
                </c:pt>
                <c:pt idx="7">
                  <c:v>311963141000</c:v>
                </c:pt>
                <c:pt idx="8">
                  <c:v>143884659000</c:v>
                </c:pt>
                <c:pt idx="9">
                  <c:v>94694149000</c:v>
                </c:pt>
                <c:pt idx="10">
                  <c:v>28678772000</c:v>
                </c:pt>
              </c:numCache>
            </c:numRef>
          </c:val>
          <c:extLst>
            <c:ext xmlns:c16="http://schemas.microsoft.com/office/drawing/2014/chart" uri="{C3380CC4-5D6E-409C-BE32-E72D297353CC}">
              <c16:uniqueId val="{00000002-BB05-41FE-813B-9A09E96AC702}"/>
            </c:ext>
          </c:extLst>
        </c:ser>
        <c:ser>
          <c:idx val="3"/>
          <c:order val="3"/>
          <c:tx>
            <c:strRef>
              <c:f>'Overview of Sectors'!$F$18</c:f>
              <c:strCache>
                <c:ptCount val="1"/>
                <c:pt idx="0">
                  <c:v>Sum of  Research and Development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43-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45-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7-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9-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B-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D-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F-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51-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53-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55-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7-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Sectors'!$F$19:$F$29</c:f>
              <c:numCache>
                <c:formatCode>_("$"* #,##0.00_);_("$"* \(#,##0.00\);_("$"* "-"??_);_(@_)</c:formatCode>
                <c:ptCount val="11"/>
                <c:pt idx="0">
                  <c:v>7251067000</c:v>
                </c:pt>
                <c:pt idx="1">
                  <c:v>2387148000</c:v>
                </c:pt>
                <c:pt idx="2">
                  <c:v>2076513000</c:v>
                </c:pt>
                <c:pt idx="3">
                  <c:v>204122900000</c:v>
                </c:pt>
                <c:pt idx="4">
                  <c:v>57699749000</c:v>
                </c:pt>
                <c:pt idx="5">
                  <c:v>325038637000</c:v>
                </c:pt>
                <c:pt idx="6">
                  <c:v>240130000</c:v>
                </c:pt>
                <c:pt idx="7">
                  <c:v>0</c:v>
                </c:pt>
                <c:pt idx="8">
                  <c:v>22497838000</c:v>
                </c:pt>
                <c:pt idx="9">
                  <c:v>0</c:v>
                </c:pt>
                <c:pt idx="10">
                  <c:v>148210000</c:v>
                </c:pt>
              </c:numCache>
            </c:numRef>
          </c:val>
          <c:extLst>
            <c:ext xmlns:c16="http://schemas.microsoft.com/office/drawing/2014/chart" uri="{C3380CC4-5D6E-409C-BE32-E72D297353CC}">
              <c16:uniqueId val="{00000003-BB05-41FE-813B-9A09E96AC702}"/>
            </c:ext>
          </c:extLst>
        </c:ser>
        <c:ser>
          <c:idx val="4"/>
          <c:order val="4"/>
          <c:tx>
            <c:strRef>
              <c:f>'Overview of Sectors'!$G$18</c:f>
              <c:strCache>
                <c:ptCount val="1"/>
                <c:pt idx="0">
                  <c:v>Sum of  Other Operating Items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9-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5B-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5D-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5F-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1-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63-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65-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67-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69-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6B-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6D-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Sectors'!$G$19:$G$29</c:f>
              <c:numCache>
                <c:formatCode>_("$"* #,##0.00_);_("$"* \(#,##0.00\);_("$"* "-"??_);_(@_)</c:formatCode>
                <c:ptCount val="11"/>
                <c:pt idx="0">
                  <c:v>9851163000</c:v>
                </c:pt>
                <c:pt idx="1">
                  <c:v>75189031000</c:v>
                </c:pt>
                <c:pt idx="2">
                  <c:v>351150113000</c:v>
                </c:pt>
                <c:pt idx="3">
                  <c:v>260561290000</c:v>
                </c:pt>
                <c:pt idx="4">
                  <c:v>82636274000</c:v>
                </c:pt>
                <c:pt idx="5">
                  <c:v>18863041000</c:v>
                </c:pt>
                <c:pt idx="6">
                  <c:v>333058181000</c:v>
                </c:pt>
                <c:pt idx="7">
                  <c:v>168799807000</c:v>
                </c:pt>
                <c:pt idx="8">
                  <c:v>18778600000</c:v>
                </c:pt>
                <c:pt idx="9">
                  <c:v>120576281000</c:v>
                </c:pt>
                <c:pt idx="10">
                  <c:v>48351741000</c:v>
                </c:pt>
              </c:numCache>
            </c:numRef>
          </c:val>
          <c:extLst>
            <c:ext xmlns:c16="http://schemas.microsoft.com/office/drawing/2014/chart" uri="{C3380CC4-5D6E-409C-BE32-E72D297353CC}">
              <c16:uniqueId val="{00000004-BB05-41FE-813B-9A09E96AC702}"/>
            </c:ext>
          </c:extLst>
        </c:ser>
        <c:ser>
          <c:idx val="5"/>
          <c:order val="5"/>
          <c:tx>
            <c:strRef>
              <c:f>'Overview of Sectors'!$H$18</c:f>
              <c:strCache>
                <c:ptCount val="1"/>
                <c:pt idx="0">
                  <c:v>Gross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6F-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71-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73-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75-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77-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79-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7B-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7D-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7F-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81-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83-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Sectors'!$H$19:$H$29</c:f>
              <c:numCache>
                <c:formatCode>_("$"* #,##0.00_);_("$"* \(#,##0.00\);_("$"* "-"??_);_(@_)</c:formatCode>
                <c:ptCount val="11"/>
                <c:pt idx="0">
                  <c:v>1509263445000</c:v>
                </c:pt>
                <c:pt idx="1">
                  <c:v>1713602961000</c:v>
                </c:pt>
                <c:pt idx="2">
                  <c:v>1407931226000</c:v>
                </c:pt>
                <c:pt idx="3">
                  <c:v>1542815649000</c:v>
                </c:pt>
                <c:pt idx="4">
                  <c:v>1547739405000</c:v>
                </c:pt>
                <c:pt idx="5">
                  <c:v>1774705055000</c:v>
                </c:pt>
                <c:pt idx="6">
                  <c:v>2368897375000</c:v>
                </c:pt>
                <c:pt idx="7">
                  <c:v>677141853000</c:v>
                </c:pt>
                <c:pt idx="8">
                  <c:v>326097714000</c:v>
                </c:pt>
                <c:pt idx="9">
                  <c:v>422377169000</c:v>
                </c:pt>
                <c:pt idx="10">
                  <c:v>143212350000</c:v>
                </c:pt>
              </c:numCache>
            </c:numRef>
          </c:val>
          <c:extLst>
            <c:ext xmlns:c16="http://schemas.microsoft.com/office/drawing/2014/chart" uri="{C3380CC4-5D6E-409C-BE32-E72D297353CC}">
              <c16:uniqueId val="{00000011-BB05-41FE-813B-9A09E96AC702}"/>
            </c:ext>
          </c:extLst>
        </c:ser>
        <c:ser>
          <c:idx val="6"/>
          <c:order val="6"/>
          <c:tx>
            <c:strRef>
              <c:f>'Overview of Sectors'!$I$18</c:f>
              <c:strCache>
                <c:ptCount val="1"/>
                <c:pt idx="0">
                  <c:v>Operating Profit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85-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87-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89-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8B-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8D-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8F-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91-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93-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95-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97-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99-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#,##0.00_);_("$"* \(#,##0.00\);_("$"*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12-BB05-41FE-813B-9A09E96AC702}"/>
            </c:ext>
          </c:extLst>
        </c:ser>
        <c:ser>
          <c:idx val="7"/>
          <c:order val="7"/>
          <c:tx>
            <c:strRef>
              <c:f>'Overview of Sectors'!$J$18</c:f>
              <c:strCache>
                <c:ptCount val="1"/>
                <c:pt idx="0">
                  <c:v>Total Spending</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9B-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9D-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9F-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A1-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A3-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A5-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A7-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A9-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AB-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AD-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AF-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#,##0.00_);_("$"* \(#,##0.00\);_("$"*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13-BB05-41FE-813B-9A09E96AC702}"/>
            </c:ext>
          </c:extLst>
        </c:ser>
        <c:ser>
          <c:idx val="8"/>
          <c:order val="8"/>
          <c:tx>
            <c:strRef>
              <c:f>'Overview of Sectors'!$K$18</c:f>
              <c:strCache>
                <c:ptCount val="1"/>
                <c:pt idx="0">
                  <c:v>Gross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B1-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B3-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B5-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B7-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B9-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BB-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BD-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BF-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C1-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C3-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C5-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Sectors'!$K$19:$K$29</c:f>
              <c:numCache>
                <c:formatCode>0.00%</c:formatCode>
                <c:ptCount val="11"/>
                <c:pt idx="0">
                  <c:v>0.2634038295070476</c:v>
                </c:pt>
                <c:pt idx="1">
                  <c:v>0.30471264947351473</c:v>
                </c:pt>
                <c:pt idx="2">
                  <c:v>0.29124902770616223</c:v>
                </c:pt>
                <c:pt idx="3">
                  <c:v>0.34607702249817107</c:v>
                </c:pt>
                <c:pt idx="4">
                  <c:v>0.3771459324941871</c:v>
                </c:pt>
                <c:pt idx="5">
                  <c:v>0.4845224485597493</c:v>
                </c:pt>
                <c:pt idx="6">
                  <c:v>0.69359361946076326</c:v>
                </c:pt>
                <c:pt idx="7">
                  <c:v>0.58843633836438713</c:v>
                </c:pt>
                <c:pt idx="8">
                  <c:v>0.29005052998500425</c:v>
                </c:pt>
                <c:pt idx="9">
                  <c:v>0.39510498018011592</c:v>
                </c:pt>
                <c:pt idx="10">
                  <c:v>0.54824749749949686</c:v>
                </c:pt>
              </c:numCache>
            </c:numRef>
          </c:val>
          <c:extLst>
            <c:ext xmlns:c16="http://schemas.microsoft.com/office/drawing/2014/chart" uri="{C3380CC4-5D6E-409C-BE32-E72D297353CC}">
              <c16:uniqueId val="{00000014-BB05-41FE-813B-9A09E96AC702}"/>
            </c:ext>
          </c:extLst>
        </c:ser>
        <c:ser>
          <c:idx val="9"/>
          <c:order val="9"/>
          <c:tx>
            <c:strRef>
              <c:f>'Overview of Sectors'!$L$18</c:f>
              <c:strCache>
                <c:ptCount val="1"/>
                <c:pt idx="0">
                  <c:v>Operating Margin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C7-7362-4F93-ACE8-8D40AACDF6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C9-7362-4F93-ACE8-8D40AACDF6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CB-7362-4F93-ACE8-8D40AACDF6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CD-7362-4F93-ACE8-8D40AACDF63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CF-7362-4F93-ACE8-8D40AACDF63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D1-7362-4F93-ACE8-8D40AACDF63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D3-7362-4F93-ACE8-8D40AACDF63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D5-7362-4F93-ACE8-8D40AACDF63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D7-7362-4F93-ACE8-8D40AACDF63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D9-7362-4F93-ACE8-8D40AACDF63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DB-7362-4F93-ACE8-8D40AACDF63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Sectors'!$L$19:$L$29</c:f>
              <c:numCache>
                <c:formatCode>0.00%</c:formatCode>
                <c:ptCount val="11"/>
                <c:pt idx="0">
                  <c:v>9.8024401248458556E-2</c:v>
                </c:pt>
                <c:pt idx="1">
                  <c:v>0.10211242715924139</c:v>
                </c:pt>
                <c:pt idx="2">
                  <c:v>9.1077593340249799E-2</c:v>
                </c:pt>
                <c:pt idx="3">
                  <c:v>0.10848055328693429</c:v>
                </c:pt>
                <c:pt idx="4">
                  <c:v>0.12624443283499837</c:v>
                </c:pt>
                <c:pt idx="5">
                  <c:v>0.22400248955426688</c:v>
                </c:pt>
                <c:pt idx="6">
                  <c:v>0.21235974524298329</c:v>
                </c:pt>
                <c:pt idx="7">
                  <c:v>0.17065328819692355</c:v>
                </c:pt>
                <c:pt idx="8">
                  <c:v>0.12535733524076026</c:v>
                </c:pt>
                <c:pt idx="9">
                  <c:v>0.19373420254105503</c:v>
                </c:pt>
                <c:pt idx="10">
                  <c:v>0.25279084348218017</c:v>
                </c:pt>
              </c:numCache>
            </c:numRef>
          </c:val>
          <c:extLst>
            <c:ext xmlns:c16="http://schemas.microsoft.com/office/drawing/2014/chart" uri="{C3380CC4-5D6E-409C-BE32-E72D297353CC}">
              <c16:uniqueId val="{00000015-BB05-41FE-813B-9A09E96AC70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7.1641954673297661E-2"/>
          <c:y val="0.88624061373010266"/>
          <c:w val="0.85671592604212932"/>
          <c:h val="0.11257375939230577"/>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US" sz="1600" b="1" baseline="0"/>
              <a:t>Proportion of Profits to Revenue for Individual Industries</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140886003094423"/>
          <c:y val="6.6125263925801897E-2"/>
          <c:w val="0.61342837782255799"/>
          <c:h val="0.82441056936103008"/>
        </c:manualLayout>
      </c:layout>
      <c:barChart>
        <c:barDir val="bar"/>
        <c:grouping val="percentStacked"/>
        <c:varyColors val="0"/>
        <c:ser>
          <c:idx val="1"/>
          <c:order val="0"/>
          <c:tx>
            <c:v>Total Expences</c:v>
          </c:tx>
          <c:spPr>
            <a:solidFill>
              <a:schemeClr val="accent2"/>
            </a:solidFill>
            <a:ln>
              <a:noFill/>
            </a:ln>
            <a:effectLst/>
          </c:spPr>
          <c:invertIfNegative val="0"/>
          <c:dLbls>
            <c:dLbl>
              <c:idx val="9"/>
              <c:tx>
                <c:rich>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fld id="{33185938-93BD-4FC6-A64E-933A3048C94D}" type="VALUE">
                      <a:rPr lang="en-US" sz="1100" b="0" i="0" u="none" strike="noStrike" kern="1200" baseline="0">
                        <a:solidFill>
                          <a:schemeClr val="bg1"/>
                        </a:solidFill>
                        <a:latin typeface="+mn-lt"/>
                        <a:ea typeface="+mn-ea"/>
                        <a:cs typeface="+mn-cs"/>
                      </a:rPr>
                      <a:pPr>
                        <a:defRPr lang="en-US" sz="1100">
                          <a:solidFill>
                            <a:schemeClr val="bg1"/>
                          </a:solidFill>
                        </a:defRPr>
                      </a:pPr>
                      <a:t>[VALUE]</a:t>
                    </a:fld>
                    <a:endParaRPr lang="en-US"/>
                  </a:p>
                </c:rich>
              </c:tx>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7-2645-4296-8673-9138AB9E31E9}"/>
                </c:ext>
              </c:extLst>
            </c:dLbl>
            <c:dLbl>
              <c:idx val="10"/>
              <c:tx>
                <c:rich>
                  <a:bodyPr/>
                  <a:lstStyle/>
                  <a:p>
                    <a:fld id="{F9BE16F1-9514-4184-9FBE-6ABB75C6036D}" type="VALUE">
                      <a:rPr lang="en-US">
                        <a:solidFill>
                          <a:schemeClr val="bg1"/>
                        </a:solidFill>
                      </a:rPr>
                      <a:pPr/>
                      <a:t>[VALUE]</a:t>
                    </a:fld>
                    <a:endParaRPr lang="en-US"/>
                  </a:p>
                </c:rich>
              </c:tx>
              <c:dLblPos val="inBase"/>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6-2645-4296-8673-9138AB9E31E9}"/>
                </c:ext>
              </c:extLst>
            </c:dLbl>
            <c:numFmt formatCode="&quot;$&quot;#.00,,,&quot;B&quot;" sourceLinked="0"/>
            <c:spPr>
              <a:solidFill>
                <a:schemeClr val="accent2"/>
              </a:solidFill>
              <a:ln>
                <a:noFill/>
              </a:ln>
              <a:effectLst/>
            </c:spPr>
            <c:txPr>
              <a:bodyPr rot="0" spcFirstLastPara="1" vertOverflow="ellipsis" vert="horz" wrap="square" lIns="38100" tIns="19050" rIns="38100" bIns="19050" anchor="ctr" anchorCtr="1">
                <a:spAutoFit/>
              </a:bodyPr>
              <a:lstStyle/>
              <a:p>
                <a:pPr>
                  <a:defRPr lang="en-US" sz="1100" b="0" i="0" u="none" strike="noStrike" kern="1200" baseline="0">
                    <a:solidFill>
                      <a:sysClr val="window" lastClr="FFFFFF"/>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Sectors'!$J$19:$J$29</c:f>
              <c:numCache>
                <c:formatCode>_("$"* #,##0.00_);_("$"* \(#,##0.00\);_("$"* "-"??_);_(@_)</c:formatCode>
                <c:ptCount val="11"/>
                <c:pt idx="0">
                  <c:v>5168181503000</c:v>
                </c:pt>
                <c:pt idx="1">
                  <c:v>5049422156000</c:v>
                </c:pt>
                <c:pt idx="2">
                  <c:v>4393835229000</c:v>
                </c:pt>
                <c:pt idx="3">
                  <c:v>3974404726000</c:v>
                </c:pt>
                <c:pt idx="4">
                  <c:v>3585736462000</c:v>
                </c:pt>
                <c:pt idx="5">
                  <c:v>2842317644000</c:v>
                </c:pt>
                <c:pt idx="6">
                  <c:v>2690103945000</c:v>
                </c:pt>
                <c:pt idx="7">
                  <c:v>954368948000</c:v>
                </c:pt>
                <c:pt idx="8">
                  <c:v>983342363000</c:v>
                </c:pt>
                <c:pt idx="9">
                  <c:v>861918432000</c:v>
                </c:pt>
                <c:pt idx="10">
                  <c:v>195184802000</c:v>
                </c:pt>
              </c:numCache>
            </c:numRef>
          </c:val>
          <c:extLst>
            <c:ext xmlns:c16="http://schemas.microsoft.com/office/drawing/2014/chart" uri="{C3380CC4-5D6E-409C-BE32-E72D297353CC}">
              <c16:uniqueId val="{00000001-2645-4296-8673-9138AB9E31E9}"/>
            </c:ext>
          </c:extLst>
        </c:ser>
        <c:ser>
          <c:idx val="0"/>
          <c:order val="1"/>
          <c:tx>
            <c:strRef>
              <c:f>'Overview of Sectors'!$I$18</c:f>
              <c:strCache>
                <c:ptCount val="1"/>
                <c:pt idx="0">
                  <c:v>Operating Profit</c:v>
                </c:pt>
              </c:strCache>
            </c:strRef>
          </c:tx>
          <c:spPr>
            <a:solidFill>
              <a:schemeClr val="accent1"/>
            </a:solidFill>
            <a:ln>
              <a:noFill/>
            </a:ln>
            <a:effectLst/>
          </c:spPr>
          <c:invertIfNegative val="0"/>
          <c:dLbls>
            <c:numFmt formatCode="&quot;$&quot;#.00,,,&quot;B&quot;" sourceLinked="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a:glow>
                        <a:schemeClr val="accent1">
                          <a:alpha val="40000"/>
                        </a:schemeClr>
                      </a:glow>
                    </a:effectLst>
                  </c:spPr>
                </c15:leaderLines>
              </c:ext>
            </c:extLst>
          </c:dLbls>
          <c:cat>
            <c:strRef>
              <c:f>'Overview of Sectors'!$B$19:$B$29</c:f>
              <c:strCache>
                <c:ptCount val="11"/>
                <c:pt idx="0">
                  <c:v>Consumer Staples</c:v>
                </c:pt>
                <c:pt idx="1">
                  <c:v>Consumer Discretionary</c:v>
                </c:pt>
                <c:pt idx="2">
                  <c:v>Energy</c:v>
                </c:pt>
                <c:pt idx="3">
                  <c:v>Health Care</c:v>
                </c:pt>
                <c:pt idx="4">
                  <c:v>Industrials</c:v>
                </c:pt>
                <c:pt idx="5">
                  <c:v>Information Technology</c:v>
                </c:pt>
                <c:pt idx="6">
                  <c:v>Financials</c:v>
                </c:pt>
                <c:pt idx="7">
                  <c:v>Telecommunications Services</c:v>
                </c:pt>
                <c:pt idx="8">
                  <c:v>Materials</c:v>
                </c:pt>
                <c:pt idx="9">
                  <c:v>Utilities</c:v>
                </c:pt>
                <c:pt idx="10">
                  <c:v>Real Estate</c:v>
                </c:pt>
              </c:strCache>
            </c:strRef>
          </c:cat>
          <c:val>
            <c:numRef>
              <c:f>'Overview of Sectors'!$I$19:$I$29</c:f>
              <c:numCache>
                <c:formatCode>_("$"* #,##0.00_);_("$"* \(#,##0.00\);_("$"* "-"??_);_(@_)</c:formatCode>
                <c:ptCount val="11"/>
                <c:pt idx="0">
                  <c:v>561664748000</c:v>
                </c:pt>
                <c:pt idx="1">
                  <c:v>574246451000</c:v>
                </c:pt>
                <c:pt idx="2">
                  <c:v>440279539000</c:v>
                </c:pt>
                <c:pt idx="3">
                  <c:v>483607649000</c:v>
                </c:pt>
                <c:pt idx="4">
                  <c:v>518084557000</c:v>
                </c:pt>
                <c:pt idx="5">
                  <c:v>820474576000</c:v>
                </c:pt>
                <c:pt idx="6">
                  <c:v>725292778000</c:v>
                </c:pt>
                <c:pt idx="7">
                  <c:v>196378905000</c:v>
                </c:pt>
                <c:pt idx="8">
                  <c:v>140936617000</c:v>
                </c:pt>
                <c:pt idx="9">
                  <c:v>207106739000</c:v>
                </c:pt>
                <c:pt idx="10">
                  <c:v>66033627000</c:v>
                </c:pt>
              </c:numCache>
            </c:numRef>
          </c:val>
          <c:extLst>
            <c:ext xmlns:c16="http://schemas.microsoft.com/office/drawing/2014/chart" uri="{C3380CC4-5D6E-409C-BE32-E72D297353CC}">
              <c16:uniqueId val="{00000000-2645-4296-8673-9138AB9E31E9}"/>
            </c:ext>
          </c:extLst>
        </c:ser>
        <c:dLbls>
          <c:dLblPos val="ctr"/>
          <c:showLegendKey val="0"/>
          <c:showVal val="1"/>
          <c:showCatName val="0"/>
          <c:showSerName val="0"/>
          <c:showPercent val="0"/>
          <c:showBubbleSize val="0"/>
        </c:dLbls>
        <c:gapWidth val="75"/>
        <c:overlap val="100"/>
        <c:axId val="1032072095"/>
        <c:axId val="1032062495"/>
      </c:barChart>
      <c:catAx>
        <c:axId val="1032072095"/>
        <c:scaling>
          <c:orientation val="minMax"/>
        </c:scaling>
        <c:delete val="0"/>
        <c:axPos val="l"/>
        <c:title>
          <c:tx>
            <c:rich>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Industry</a:t>
                </a:r>
              </a:p>
            </c:rich>
          </c:tx>
          <c:overlay val="0"/>
          <c:spPr>
            <a:noFill/>
            <a:ln>
              <a:noFill/>
            </a:ln>
            <a:effectLst/>
          </c:spPr>
          <c:txPr>
            <a:bodyPr rot="-540000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62495"/>
        <c:crosses val="autoZero"/>
        <c:auto val="1"/>
        <c:lblAlgn val="ctr"/>
        <c:lblOffset val="100"/>
        <c:noMultiLvlLbl val="0"/>
      </c:catAx>
      <c:valAx>
        <c:axId val="1032062495"/>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r>
                  <a:rPr lang="en-US" sz="1500" b="1" baseline="0"/>
                  <a:t>Total Revenue</a:t>
                </a:r>
              </a:p>
            </c:rich>
          </c:tx>
          <c:overlay val="0"/>
          <c:spPr>
            <a:noFill/>
            <a:ln>
              <a:noFill/>
            </a:ln>
            <a:effectLst/>
          </c:spPr>
          <c:txPr>
            <a:bodyPr rot="0" spcFirstLastPara="1" vertOverflow="ellipsis" vert="horz" wrap="square" anchor="ctr" anchorCtr="1"/>
            <a:lstStyle/>
            <a:p>
              <a:pPr>
                <a:defRPr sz="15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032072095"/>
        <c:crosses val="autoZero"/>
        <c:crossBetween val="between"/>
      </c:valAx>
      <c:spPr>
        <a:noFill/>
        <a:ln>
          <a:noFill/>
        </a:ln>
        <a:effectLst/>
      </c:spPr>
    </c:plotArea>
    <c:legend>
      <c:legendPos val="r"/>
      <c:overlay val="0"/>
      <c:spPr>
        <a:solidFill>
          <a:schemeClr val="tx2">
            <a:lumMod val="10000"/>
            <a:lumOff val="90000"/>
          </a:schemeClr>
        </a:solidFill>
        <a:ln w="12700">
          <a:solidFill>
            <a:schemeClr val="tx1"/>
          </a:solid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t>Revenue Distribution: Consumer Staples vs. Consumer Discretionary</a:t>
            </a:r>
            <a:endParaRPr lang="en-US"/>
          </a:p>
        </c:rich>
      </c:tx>
      <c:overlay val="0"/>
      <c:spPr>
        <a:noFill/>
        <a:ln>
          <a:noFill/>
        </a:ln>
        <a:effectLst/>
      </c:spPr>
    </c:title>
    <c:autoTitleDeleted val="0"/>
    <c:plotArea>
      <c:layout/>
      <c:barChart>
        <c:barDir val="col"/>
        <c:grouping val="clustered"/>
        <c:varyColors val="0"/>
        <c:ser>
          <c:idx val="0"/>
          <c:order val="0"/>
          <c:tx>
            <c:strRef>
              <c:f>'Question 1'!$O$3</c:f>
              <c:strCache>
                <c:ptCount val="1"/>
                <c:pt idx="0">
                  <c:v>Consumer Staples</c:v>
                </c:pt>
              </c:strCache>
            </c:strRef>
          </c:tx>
          <c:spPr>
            <a:solidFill>
              <a:srgbClr val="156082"/>
            </a:solidFill>
            <a:ln>
              <a:noFill/>
            </a:ln>
            <a:effectLst/>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1'!$R$5:$R$14</c:f>
              <c:numCache>
                <c:formatCode>General</c:formatCode>
                <c:ptCount val="10"/>
                <c:pt idx="0">
                  <c:v>25</c:v>
                </c:pt>
                <c:pt idx="1">
                  <c:v>4</c:v>
                </c:pt>
                <c:pt idx="2">
                  <c:v>2</c:v>
                </c:pt>
                <c:pt idx="3">
                  <c:v>1</c:v>
                </c:pt>
                <c:pt idx="4">
                  <c:v>0</c:v>
                </c:pt>
                <c:pt idx="5">
                  <c:v>0</c:v>
                </c:pt>
                <c:pt idx="6">
                  <c:v>0</c:v>
                </c:pt>
                <c:pt idx="7">
                  <c:v>0</c:v>
                </c:pt>
                <c:pt idx="8">
                  <c:v>0</c:v>
                </c:pt>
                <c:pt idx="9">
                  <c:v>1</c:v>
                </c:pt>
              </c:numCache>
            </c:numRef>
          </c:val>
          <c:extLst>
            <c:ext xmlns:c16="http://schemas.microsoft.com/office/drawing/2014/chart" uri="{C3380CC4-5D6E-409C-BE32-E72D297353CC}">
              <c16:uniqueId val="{00000002-59EC-42A7-910E-04009D2210DC}"/>
            </c:ext>
          </c:extLst>
        </c:ser>
        <c:ser>
          <c:idx val="1"/>
          <c:order val="1"/>
          <c:tx>
            <c:strRef>
              <c:f>'Question 1'!$T$3</c:f>
              <c:strCache>
                <c:ptCount val="1"/>
                <c:pt idx="0">
                  <c:v>Consumer Discretionary</c:v>
                </c:pt>
              </c:strCache>
            </c:strRef>
          </c:tx>
          <c:spPr>
            <a:solidFill>
              <a:schemeClr val="accent2"/>
            </a:solidFill>
          </c:spPr>
          <c:invertIfNegative val="0"/>
          <c:dLbls>
            <c:delete val="1"/>
          </c:dLbls>
          <c:cat>
            <c:strRef>
              <c:f>'Question 1'!$Q$5:$Q$14</c:f>
              <c:strCache>
                <c:ptCount val="10"/>
                <c:pt idx="0">
                  <c:v> 0-50B </c:v>
                </c:pt>
                <c:pt idx="1">
                  <c:v> 50-100B </c:v>
                </c:pt>
                <c:pt idx="2">
                  <c:v> 100-150B </c:v>
                </c:pt>
                <c:pt idx="3">
                  <c:v> 150-200B </c:v>
                </c:pt>
                <c:pt idx="4">
                  <c:v> 200-250B </c:v>
                </c:pt>
                <c:pt idx="5">
                  <c:v> 250-300B </c:v>
                </c:pt>
                <c:pt idx="6">
                  <c:v> 300-350B </c:v>
                </c:pt>
                <c:pt idx="7">
                  <c:v> 350-400B </c:v>
                </c:pt>
                <c:pt idx="8">
                  <c:v> 400-450B </c:v>
                </c:pt>
                <c:pt idx="9">
                  <c:v> 450-500B </c:v>
                </c:pt>
              </c:strCache>
            </c:strRef>
          </c:cat>
          <c:val>
            <c:numRef>
              <c:f>'Question 1'!$W$5:$W$14</c:f>
              <c:numCache>
                <c:formatCode>General</c:formatCode>
                <c:ptCount val="10"/>
                <c:pt idx="0">
                  <c:v>69</c:v>
                </c:pt>
                <c:pt idx="1">
                  <c:v>4</c:v>
                </c:pt>
                <c:pt idx="2">
                  <c:v>1</c:v>
                </c:pt>
                <c:pt idx="3">
                  <c:v>2</c:v>
                </c:pt>
                <c:pt idx="4">
                  <c:v>0</c:v>
                </c:pt>
                <c:pt idx="5">
                  <c:v>0</c:v>
                </c:pt>
                <c:pt idx="6">
                  <c:v>0</c:v>
                </c:pt>
                <c:pt idx="7">
                  <c:v>0</c:v>
                </c:pt>
                <c:pt idx="8">
                  <c:v>0</c:v>
                </c:pt>
                <c:pt idx="9">
                  <c:v>0</c:v>
                </c:pt>
              </c:numCache>
            </c:numRef>
          </c:val>
          <c:extLst>
            <c:ext xmlns:c16="http://schemas.microsoft.com/office/drawing/2014/chart" uri="{C3380CC4-5D6E-409C-BE32-E72D297353CC}">
              <c16:uniqueId val="{00000003-59EC-42A7-910E-04009D2210DC}"/>
            </c:ext>
          </c:extLst>
        </c:ser>
        <c:dLbls>
          <c:dLblPos val="outEnd"/>
          <c:showLegendKey val="0"/>
          <c:showVal val="1"/>
          <c:showCatName val="0"/>
          <c:showSerName val="0"/>
          <c:showPercent val="0"/>
          <c:showBubbleSize val="0"/>
        </c:dLbls>
        <c:gapWidth val="75"/>
        <c:axId val="1275524863"/>
        <c:axId val="1275530143"/>
      </c:barChart>
      <c:catAx>
        <c:axId val="1275524863"/>
        <c:scaling>
          <c:orientation val="minMax"/>
        </c:scaling>
        <c:delete val="0"/>
        <c:axPos val="b"/>
        <c:title>
          <c:tx>
            <c:rich>
              <a:bodyPr/>
              <a:lstStyle/>
              <a:p>
                <a:pPr>
                  <a:defRPr sz="1000" b="0" baseline="0">
                    <a:solidFill>
                      <a:schemeClr val="bg2">
                        <a:lumMod val="25000"/>
                      </a:schemeClr>
                    </a:solidFill>
                    <a:latin typeface="Aptos Narrow" panose="020B0004020202020204" pitchFamily="34" charset="0"/>
                  </a:defRPr>
                </a:pPr>
                <a:r>
                  <a:rPr lang="en-US" sz="1000" b="0" baseline="0">
                    <a:solidFill>
                      <a:schemeClr val="bg2">
                        <a:lumMod val="25000"/>
                      </a:schemeClr>
                    </a:solidFill>
                    <a:latin typeface="Aptos Narrow" panose="020B0004020202020204" pitchFamily="34" charset="0"/>
                  </a:rPr>
                  <a:t>Revenue Ranges</a:t>
                </a:r>
              </a:p>
            </c:rich>
          </c:tx>
          <c:overlay val="0"/>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30143"/>
        <c:crosses val="autoZero"/>
        <c:auto val="1"/>
        <c:lblAlgn val="ctr"/>
        <c:lblOffset val="100"/>
        <c:noMultiLvlLbl val="0"/>
      </c:catAx>
      <c:valAx>
        <c:axId val="1275530143"/>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b="0" baseline="0">
                    <a:latin typeface="Aptos Narrow" panose="020B0004020202020204" pitchFamily="34" charset="0"/>
                  </a:defRPr>
                </a:pPr>
                <a:r>
                  <a:rPr lang="en-US" b="0" baseline="0">
                    <a:latin typeface="Aptos Narrow" panose="020B0004020202020204" pitchFamily="34" charset="0"/>
                  </a:rPr>
                  <a:t>Number of Companies</a:t>
                </a:r>
              </a:p>
            </c:rich>
          </c:tx>
          <c:overlay val="0"/>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5524863"/>
        <c:crosses val="autoZero"/>
        <c:crossBetween val="between"/>
      </c:valAx>
    </c:plotArea>
    <c:legend>
      <c:legendPos val="b"/>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Health Care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2'!$E$4:$E$23</c:f>
              <c:numCache>
                <c:formatCode>General</c:formatCode>
                <c:ptCount val="20"/>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2-0DB9-4300-B797-025831509AEF}"/>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kern="1200" spc="0" baseline="0">
                <a:solidFill>
                  <a:sysClr val="windowText" lastClr="000000">
                    <a:lumMod val="65000"/>
                    <a:lumOff val="35000"/>
                  </a:sysClr>
                </a:solidFill>
              </a:rPr>
              <a:t>Distribution of Operating Expenses Across Energy Companies</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'Question 2'!$F$3</c:f>
              <c:strCache>
                <c:ptCount val="1"/>
                <c:pt idx="0">
                  <c:v>Energy</c:v>
                </c:pt>
              </c:strCache>
            </c:strRef>
          </c:tx>
          <c:spPr>
            <a:solidFill>
              <a:srgbClr val="F79646"/>
            </a:solidFill>
            <a:ln>
              <a:noFill/>
            </a:ln>
            <a:effectLst/>
          </c:spPr>
          <c:invertIfNegative val="0"/>
          <c:dLbls>
            <c:delete val="1"/>
          </c:dLbls>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2'!$F$4:$F$23</c:f>
              <c:numCache>
                <c:formatCode>General</c:formatCode>
                <c:ptCount val="20"/>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0-0948-4B27-B9E0-8AA597108A2A}"/>
            </c:ext>
          </c:extLst>
        </c:ser>
        <c:dLbls>
          <c:dLblPos val="outEnd"/>
          <c:showLegendKey val="0"/>
          <c:showVal val="1"/>
          <c:showCatName val="0"/>
          <c:showSerName val="0"/>
          <c:showPercent val="0"/>
          <c:showBubbleSize val="0"/>
        </c:dLbls>
        <c:gapWidth val="0"/>
        <c:overlap val="-27"/>
        <c:axId val="416010495"/>
        <c:axId val="416011455"/>
      </c:barChart>
      <c:catAx>
        <c:axId val="41601049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1455"/>
        <c:crosses val="autoZero"/>
        <c:auto val="1"/>
        <c:lblAlgn val="ctr"/>
        <c:lblOffset val="100"/>
        <c:noMultiLvlLbl val="0"/>
      </c:catAx>
      <c:valAx>
        <c:axId val="41601145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u="none" strike="noStrike" kern="1200" baseline="0">
                    <a:solidFill>
                      <a:sysClr val="windowText" lastClr="000000">
                        <a:lumMod val="65000"/>
                        <a:lumOff val="35000"/>
                      </a:sysClr>
                    </a:solidFill>
                  </a:rPr>
                  <a:t>Number of Companies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416010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Distribution of Operating Expenses Across Healthcare, Energy and Customer Staple companies</a:t>
            </a:r>
          </a:p>
        </c:rich>
      </c:tx>
      <c:overlay val="0"/>
      <c:spPr>
        <a:noFill/>
        <a:ln>
          <a:noFill/>
        </a:ln>
        <a:effectLst/>
      </c:spPr>
    </c:title>
    <c:autoTitleDeleted val="0"/>
    <c:plotArea>
      <c:layout/>
      <c:barChart>
        <c:barDir val="col"/>
        <c:grouping val="clustered"/>
        <c:varyColors val="0"/>
        <c:ser>
          <c:idx val="0"/>
          <c:order val="0"/>
          <c:tx>
            <c:strRef>
              <c:f>'Question 2'!$E$3</c:f>
              <c:strCache>
                <c:ptCount val="1"/>
                <c:pt idx="0">
                  <c:v>HealthCare</c:v>
                </c:pt>
              </c:strCache>
            </c:strRef>
          </c:tx>
          <c:spPr>
            <a:solidFill>
              <a:srgbClr val="FF5353"/>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2'!$E$4:$E$24</c:f>
              <c:numCache>
                <c:formatCode>General</c:formatCode>
                <c:ptCount val="21"/>
                <c:pt idx="0">
                  <c:v>30</c:v>
                </c:pt>
                <c:pt idx="1">
                  <c:v>0</c:v>
                </c:pt>
                <c:pt idx="2">
                  <c:v>0</c:v>
                </c:pt>
                <c:pt idx="3">
                  <c:v>1</c:v>
                </c:pt>
                <c:pt idx="4">
                  <c:v>0</c:v>
                </c:pt>
                <c:pt idx="5">
                  <c:v>2</c:v>
                </c:pt>
                <c:pt idx="6">
                  <c:v>0</c:v>
                </c:pt>
                <c:pt idx="7">
                  <c:v>0</c:v>
                </c:pt>
                <c:pt idx="8">
                  <c:v>0</c:v>
                </c:pt>
                <c:pt idx="9">
                  <c:v>0</c:v>
                </c:pt>
                <c:pt idx="10">
                  <c:v>1</c:v>
                </c:pt>
                <c:pt idx="11">
                  <c:v>0</c:v>
                </c:pt>
                <c:pt idx="12">
                  <c:v>0</c:v>
                </c:pt>
                <c:pt idx="13">
                  <c:v>0</c:v>
                </c:pt>
                <c:pt idx="14">
                  <c:v>0</c:v>
                </c:pt>
                <c:pt idx="15">
                  <c:v>0</c:v>
                </c:pt>
                <c:pt idx="16">
                  <c:v>0</c:v>
                </c:pt>
                <c:pt idx="17">
                  <c:v>0</c:v>
                </c:pt>
                <c:pt idx="18">
                  <c:v>0</c:v>
                </c:pt>
                <c:pt idx="19">
                  <c:v>0</c:v>
                </c:pt>
              </c:numCache>
            </c:numRef>
          </c:val>
          <c:extLst>
            <c:ext xmlns:c16="http://schemas.microsoft.com/office/drawing/2014/chart" uri="{C3380CC4-5D6E-409C-BE32-E72D297353CC}">
              <c16:uniqueId val="{00000000-4899-4D58-BD25-245D6543D7A1}"/>
            </c:ext>
          </c:extLst>
        </c:ser>
        <c:ser>
          <c:idx val="2"/>
          <c:order val="1"/>
          <c:tx>
            <c:strRef>
              <c:f>'Question 2'!$G$3</c:f>
              <c:strCache>
                <c:ptCount val="1"/>
                <c:pt idx="0">
                  <c:v>Consumer Staples</c:v>
                </c:pt>
              </c:strCache>
            </c:strRef>
          </c:tx>
          <c:spPr>
            <a:solidFill>
              <a:schemeClr val="tx2">
                <a:lumMod val="50000"/>
                <a:lumOff val="50000"/>
              </a:schemeClr>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2'!$G$4:$G$24</c:f>
              <c:numCache>
                <c:formatCode>General</c:formatCode>
                <c:ptCount val="21"/>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2-4899-4D58-BD25-245D6543D7A1}"/>
            </c:ext>
          </c:extLst>
        </c:ser>
        <c:ser>
          <c:idx val="1"/>
          <c:order val="2"/>
          <c:tx>
            <c:strRef>
              <c:f>'Question 2'!$F$3</c:f>
              <c:strCache>
                <c:ptCount val="1"/>
                <c:pt idx="0">
                  <c:v>Energy</c:v>
                </c:pt>
              </c:strCache>
            </c:strRef>
          </c:tx>
          <c:spPr>
            <a:solidFill>
              <a:srgbClr val="F79646"/>
            </a:solidFill>
          </c:spPr>
          <c:invertIfNegative val="0"/>
          <c:cat>
            <c:strRef>
              <c:f>'Question 2'!$D$4:$D$24</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2'!$F$4:$F$24</c:f>
              <c:numCache>
                <c:formatCode>General</c:formatCode>
                <c:ptCount val="21"/>
                <c:pt idx="0">
                  <c:v>20</c:v>
                </c:pt>
                <c:pt idx="1">
                  <c:v>6</c:v>
                </c:pt>
                <c:pt idx="2">
                  <c:v>1</c:v>
                </c:pt>
                <c:pt idx="3">
                  <c:v>1</c:v>
                </c:pt>
                <c:pt idx="4">
                  <c:v>0</c:v>
                </c:pt>
                <c:pt idx="5">
                  <c:v>0</c:v>
                </c:pt>
                <c:pt idx="6">
                  <c:v>1</c:v>
                </c:pt>
                <c:pt idx="7">
                  <c:v>1</c:v>
                </c:pt>
                <c:pt idx="8">
                  <c:v>0</c:v>
                </c:pt>
                <c:pt idx="9">
                  <c:v>0</c:v>
                </c:pt>
                <c:pt idx="10">
                  <c:v>0</c:v>
                </c:pt>
                <c:pt idx="11">
                  <c:v>0</c:v>
                </c:pt>
                <c:pt idx="12">
                  <c:v>0</c:v>
                </c:pt>
                <c:pt idx="13">
                  <c:v>0</c:v>
                </c:pt>
                <c:pt idx="14">
                  <c:v>0</c:v>
                </c:pt>
                <c:pt idx="15">
                  <c:v>1</c:v>
                </c:pt>
                <c:pt idx="16">
                  <c:v>0</c:v>
                </c:pt>
                <c:pt idx="17">
                  <c:v>0</c:v>
                </c:pt>
                <c:pt idx="18">
                  <c:v>0</c:v>
                </c:pt>
                <c:pt idx="19">
                  <c:v>0</c:v>
                </c:pt>
              </c:numCache>
            </c:numRef>
          </c:val>
          <c:extLst>
            <c:ext xmlns:c16="http://schemas.microsoft.com/office/drawing/2014/chart" uri="{C3380CC4-5D6E-409C-BE32-E72D297353CC}">
              <c16:uniqueId val="{00000001-4899-4D58-BD25-245D6543D7A1}"/>
            </c:ext>
          </c:extLst>
        </c:ser>
        <c:dLbls>
          <c:showLegendKey val="0"/>
          <c:showVal val="0"/>
          <c:showCatName val="0"/>
          <c:showSerName val="0"/>
          <c:showPercent val="0"/>
          <c:showBubbleSize val="0"/>
        </c:dLbls>
        <c:gapWidth val="50"/>
        <c:axId val="1266833199"/>
        <c:axId val="1266832719"/>
      </c:barChart>
      <c:catAx>
        <c:axId val="1266833199"/>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Range of Operating Expences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2719"/>
        <c:crosses val="autoZero"/>
        <c:auto val="1"/>
        <c:lblAlgn val="ctr"/>
        <c:lblOffset val="100"/>
        <c:noMultiLvlLbl val="0"/>
      </c:catAx>
      <c:valAx>
        <c:axId val="12668327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en-US" sz="1100" b="0" i="0" u="none" strike="noStrike" kern="1200" baseline="0">
                    <a:solidFill>
                      <a:sysClr val="windowText" lastClr="000000">
                        <a:lumMod val="65000"/>
                        <a:lumOff val="35000"/>
                      </a:sysClr>
                    </a:solidFill>
                  </a:rPr>
                  <a:t>Count of enries  in Customer Staple</a:t>
                </a:r>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266833199"/>
        <c:crosses val="autoZero"/>
        <c:crossBetween val="between"/>
      </c:valAx>
    </c:plotArea>
    <c:legend>
      <c:legendPos val="t"/>
      <c:overlay val="0"/>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t>Distribution of Operating Expenses Across Consumer Staples Companies</a:t>
            </a:r>
            <a:endParaRPr lang="en-US" sz="1200" baseline="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'Question 2'!$G$3</c:f>
              <c:strCache>
                <c:ptCount val="1"/>
                <c:pt idx="0">
                  <c:v>Consumer Staples</c:v>
                </c:pt>
              </c:strCache>
            </c:strRef>
          </c:tx>
          <c:spPr>
            <a:solidFill>
              <a:schemeClr val="tx2">
                <a:lumMod val="50000"/>
                <a:lumOff val="50000"/>
              </a:schemeClr>
            </a:solidFill>
            <a:ln>
              <a:noFill/>
            </a:ln>
            <a:effectLst/>
          </c:spPr>
          <c:invertIfNegative val="0"/>
          <c:cat>
            <c:strRef>
              <c:f>'Question 2'!$D$4:$D$23</c:f>
              <c:strCache>
                <c:ptCount val="20"/>
                <c:pt idx="0">
                  <c:v>0-5B</c:v>
                </c:pt>
                <c:pt idx="1">
                  <c:v>5-10B</c:v>
                </c:pt>
                <c:pt idx="2">
                  <c:v>10-15B</c:v>
                </c:pt>
                <c:pt idx="3">
                  <c:v>15-20B</c:v>
                </c:pt>
                <c:pt idx="4">
                  <c:v>20-25B</c:v>
                </c:pt>
                <c:pt idx="5">
                  <c:v>25-30B</c:v>
                </c:pt>
                <c:pt idx="6">
                  <c:v>30-35B</c:v>
                </c:pt>
                <c:pt idx="7">
                  <c:v>35-40B</c:v>
                </c:pt>
                <c:pt idx="8">
                  <c:v>40-45B</c:v>
                </c:pt>
                <c:pt idx="9">
                  <c:v>45-50B</c:v>
                </c:pt>
                <c:pt idx="10">
                  <c:v>50-55B</c:v>
                </c:pt>
                <c:pt idx="11">
                  <c:v>55-60B</c:v>
                </c:pt>
                <c:pt idx="12">
                  <c:v>60-65B</c:v>
                </c:pt>
                <c:pt idx="13">
                  <c:v>65-70B</c:v>
                </c:pt>
                <c:pt idx="14">
                  <c:v>70-75B</c:v>
                </c:pt>
                <c:pt idx="15">
                  <c:v>75-80B</c:v>
                </c:pt>
                <c:pt idx="16">
                  <c:v>80-85B</c:v>
                </c:pt>
                <c:pt idx="17">
                  <c:v>85-90B</c:v>
                </c:pt>
                <c:pt idx="18">
                  <c:v>90-95B</c:v>
                </c:pt>
                <c:pt idx="19">
                  <c:v>95-100B</c:v>
                </c:pt>
              </c:strCache>
            </c:strRef>
          </c:cat>
          <c:val>
            <c:numRef>
              <c:f>'Question 2'!$G$4:$G$23</c:f>
              <c:numCache>
                <c:formatCode>General</c:formatCode>
                <c:ptCount val="20"/>
                <c:pt idx="0">
                  <c:v>24</c:v>
                </c:pt>
                <c:pt idx="1">
                  <c:v>4</c:v>
                </c:pt>
                <c:pt idx="2">
                  <c:v>1</c:v>
                </c:pt>
                <c:pt idx="3">
                  <c:v>1</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numCache>
            </c:numRef>
          </c:val>
          <c:extLst>
            <c:ext xmlns:c16="http://schemas.microsoft.com/office/drawing/2014/chart" uri="{C3380CC4-5D6E-409C-BE32-E72D297353CC}">
              <c16:uniqueId val="{00000001-31CF-4024-BBF4-29DDE527EFFE}"/>
            </c:ext>
          </c:extLst>
        </c:ser>
        <c:dLbls>
          <c:showLegendKey val="0"/>
          <c:showVal val="0"/>
          <c:showCatName val="0"/>
          <c:showSerName val="0"/>
          <c:showPercent val="0"/>
          <c:showBubbleSize val="0"/>
        </c:dLbls>
        <c:gapWidth val="0"/>
        <c:overlap val="-27"/>
        <c:axId val="991541951"/>
        <c:axId val="991549631"/>
      </c:barChart>
      <c:catAx>
        <c:axId val="99154195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Range of Total Operating Expences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9631"/>
        <c:crosses val="autoZero"/>
        <c:auto val="1"/>
        <c:lblAlgn val="ctr"/>
        <c:lblOffset val="100"/>
        <c:noMultiLvlLbl val="0"/>
      </c:catAx>
      <c:valAx>
        <c:axId val="99154963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a:t>
                </a:r>
                <a:r>
                  <a:rPr lang="en-US" baseline="0"/>
                  <a:t> Companies</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991541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bg2">
          <a:lumMod val="90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Revenue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3-6BB7-488F-8887-36CB990531A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2-6BB7-488F-8887-36CB990531A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6BB7-488F-8887-36CB990531A9}"/>
              </c:ext>
            </c:extLst>
          </c:dPt>
          <c:dLbls>
            <c:dLbl>
              <c:idx val="0"/>
              <c:layout>
                <c:manualLayout>
                  <c:x val="-1.4837121802209831E-16"/>
                  <c:y val="-0.2962962476152046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604446472314055"/>
                      <c:h val="0.10420446905565717"/>
                    </c:manualLayout>
                  </c15:layout>
                </c:ext>
                <c:ext xmlns:c16="http://schemas.microsoft.com/office/drawing/2014/chart" uri="{C3380CC4-5D6E-409C-BE32-E72D297353CC}">
                  <c16:uniqueId val="{00000003-6BB7-488F-8887-36CB990531A9}"/>
                </c:ext>
              </c:extLst>
            </c:dLbl>
            <c:dLbl>
              <c:idx val="1"/>
              <c:layout>
                <c:manualLayout>
                  <c:x val="6.0698948370475824E-3"/>
                  <c:y val="9.9922103353584937E-2"/>
                </c:manualLayout>
              </c:layout>
              <c:dLblPos val="bestFit"/>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2-6BB7-488F-8887-36CB990531A9}"/>
                </c:ext>
              </c:extLst>
            </c:dLbl>
            <c:dLbl>
              <c:idx val="2"/>
              <c:dLblPos val="outEnd"/>
              <c:showLegendKey val="0"/>
              <c:showVal val="1"/>
              <c:showCatName val="0"/>
              <c:showSerName val="0"/>
              <c:showPercent val="0"/>
              <c:showBubbleSize val="0"/>
              <c:extLst>
                <c:ext xmlns:c15="http://schemas.microsoft.com/office/drawing/2012/chart" uri="{CE6537A1-D6FC-4f65-9D91-7224C49458BB}">
                  <c15:layout>
                    <c:manualLayout>
                      <c:w val="0.29199793021352954"/>
                      <c:h val="0.10420446905565717"/>
                    </c:manualLayout>
                  </c15:layout>
                </c:ext>
                <c:ext xmlns:c16="http://schemas.microsoft.com/office/drawing/2014/chart" uri="{C3380CC4-5D6E-409C-BE32-E72D297353CC}">
                  <c16:uniqueId val="{00000001-6BB7-488F-8887-36CB990531A9}"/>
                </c:ext>
              </c:extLst>
            </c:dLbl>
            <c:numFmt formatCode="&quot;$&quot;\ #,##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('PNL Statement Dashboard'!$B$15,'PNL Statement Dashboard'!$B$17:$B$18)</c:f>
              <c:strCache>
                <c:ptCount val="3"/>
                <c:pt idx="0">
                  <c:v>COGS</c:v>
                </c:pt>
                <c:pt idx="1">
                  <c:v>Total Operating Expence</c:v>
                </c:pt>
                <c:pt idx="2">
                  <c:v>Operating Profit / EBIT</c:v>
                </c:pt>
              </c:strCache>
            </c:strRef>
          </c:cat>
          <c:val>
            <c:numRef>
              <c:f>('PNL Statement Dashboard'!$C$15,'PNL Statement Dashboard'!$C$17:$C$18)</c:f>
              <c:numCache>
                <c:formatCode>_("$"* #,##0_);_("$"* \(#,##0\);_("$"* "-"??_);_(@_)</c:formatCode>
                <c:ptCount val="3"/>
                <c:pt idx="0">
                  <c:v>3241668000</c:v>
                </c:pt>
                <c:pt idx="1">
                  <c:v>2591828000</c:v>
                </c:pt>
                <c:pt idx="2">
                  <c:v>660318000</c:v>
                </c:pt>
              </c:numCache>
            </c:numRef>
          </c:val>
          <c:extLst>
            <c:ext xmlns:c16="http://schemas.microsoft.com/office/drawing/2014/chart" uri="{C3380CC4-5D6E-409C-BE32-E72D297353CC}">
              <c16:uniqueId val="{00000000-6BB7-488F-8887-36CB990531A9}"/>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 Data 1.xlsm]Question 3!PivotTable1</c:name>
    <c:fmtId val="0"/>
  </c:pivotSource>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baseline="0"/>
              <a:t>GICS Sectorwise Average Revenue</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pivotFmt>
      <c:pivotFmt>
        <c:idx val="3"/>
        <c:spPr>
          <a:solidFill>
            <a:srgbClr val="00B0F0"/>
          </a:solidFill>
          <a:ln>
            <a:noFill/>
          </a:ln>
          <a:effectLst/>
        </c:spPr>
      </c:pivotFmt>
      <c:pivotFmt>
        <c:idx val="4"/>
        <c:spPr>
          <a:solidFill>
            <a:srgbClr val="00B0F0"/>
          </a:solidFill>
          <a:ln>
            <a:noFill/>
          </a:ln>
          <a:effectLst/>
        </c:spPr>
      </c:pivotFmt>
      <c:pivotFmt>
        <c:idx val="5"/>
        <c:spPr>
          <a:solidFill>
            <a:srgbClr val="00B0F0"/>
          </a:solidFill>
          <a:ln>
            <a:noFill/>
          </a:ln>
          <a:effectLst/>
        </c:spPr>
      </c:pivotFmt>
      <c:pivotFmt>
        <c:idx val="6"/>
        <c:spPr>
          <a:solidFill>
            <a:srgbClr val="00B0F0"/>
          </a:solidFill>
          <a:ln>
            <a:noFill/>
          </a:ln>
          <a:effectLst/>
        </c:spPr>
      </c:pivotFmt>
      <c:pivotFmt>
        <c:idx val="7"/>
        <c:spPr>
          <a:solidFill>
            <a:srgbClr val="00B0F0"/>
          </a:solidFill>
          <a:ln>
            <a:noFill/>
          </a:ln>
          <a:effectLst/>
        </c:spPr>
      </c:pivotFmt>
      <c:pivotFmt>
        <c:idx val="8"/>
        <c:spPr>
          <a:solidFill>
            <a:srgbClr val="00B0F0"/>
          </a:solidFill>
          <a:ln>
            <a:noFill/>
          </a:ln>
          <a:effectLst/>
        </c:spPr>
      </c:pivotFmt>
      <c:pivotFmt>
        <c:idx val="9"/>
        <c:spPr>
          <a:solidFill>
            <a:srgbClr val="00B0F0"/>
          </a:solidFill>
          <a:ln>
            <a:noFill/>
          </a:ln>
          <a:effectLst/>
        </c:spPr>
      </c:pivotFmt>
      <c:pivotFmt>
        <c:idx val="10"/>
        <c:spPr>
          <a:solidFill>
            <a:srgbClr val="00B0F0"/>
          </a:solidFill>
          <a:ln>
            <a:noFill/>
          </a:ln>
          <a:effectLst/>
        </c:spPr>
      </c:pivotFmt>
      <c:pivotFmt>
        <c:idx val="11"/>
        <c:spPr>
          <a:solidFill>
            <a:srgbClr val="00B0F0"/>
          </a:solidFill>
          <a:ln>
            <a:noFill/>
          </a:ln>
          <a:effectLst/>
        </c:spPr>
      </c:pivotFmt>
      <c:pivotFmt>
        <c:idx val="12"/>
        <c:spPr>
          <a:solidFill>
            <a:srgbClr val="00B0F0"/>
          </a:solidFill>
          <a:ln>
            <a:noFill/>
          </a:ln>
          <a:effectLst/>
        </c:spPr>
      </c:pivotFmt>
    </c:pivotFmts>
    <c:plotArea>
      <c:layout/>
      <c:barChart>
        <c:barDir val="bar"/>
        <c:grouping val="clustered"/>
        <c:varyColors val="1"/>
        <c:ser>
          <c:idx val="0"/>
          <c:order val="0"/>
          <c:tx>
            <c:strRef>
              <c:f>'Question 3'!$C$4</c:f>
              <c:strCache>
                <c:ptCount val="1"/>
                <c:pt idx="0">
                  <c:v>Total</c:v>
                </c:pt>
              </c:strCache>
            </c:strRef>
          </c:tx>
          <c:spPr>
            <a:solidFill>
              <a:srgbClr val="00B0F0"/>
            </a:solidFill>
          </c:spPr>
          <c:invertIfNegative val="0"/>
          <c:dPt>
            <c:idx val="0"/>
            <c:invertIfNegative val="0"/>
            <c:bubble3D val="0"/>
            <c:spPr>
              <a:solidFill>
                <a:srgbClr val="00B0F0"/>
              </a:solidFill>
              <a:ln>
                <a:noFill/>
              </a:ln>
              <a:effectLst/>
            </c:spPr>
            <c:extLst>
              <c:ext xmlns:c16="http://schemas.microsoft.com/office/drawing/2014/chart" uri="{C3380CC4-5D6E-409C-BE32-E72D297353CC}">
                <c16:uniqueId val="{00000001-FF27-43AF-91C4-D3DCEC32555C}"/>
              </c:ext>
            </c:extLst>
          </c:dPt>
          <c:dPt>
            <c:idx val="1"/>
            <c:invertIfNegative val="0"/>
            <c:bubble3D val="0"/>
            <c:spPr>
              <a:solidFill>
                <a:srgbClr val="00B0F0"/>
              </a:solidFill>
              <a:ln>
                <a:noFill/>
              </a:ln>
              <a:effectLst/>
            </c:spPr>
            <c:extLst>
              <c:ext xmlns:c16="http://schemas.microsoft.com/office/drawing/2014/chart" uri="{C3380CC4-5D6E-409C-BE32-E72D297353CC}">
                <c16:uniqueId val="{00000003-FF27-43AF-91C4-D3DCEC32555C}"/>
              </c:ext>
            </c:extLst>
          </c:dPt>
          <c:dPt>
            <c:idx val="2"/>
            <c:invertIfNegative val="0"/>
            <c:bubble3D val="0"/>
            <c:spPr>
              <a:solidFill>
                <a:srgbClr val="00B0F0"/>
              </a:solidFill>
              <a:ln>
                <a:noFill/>
              </a:ln>
              <a:effectLst/>
            </c:spPr>
            <c:extLst>
              <c:ext xmlns:c16="http://schemas.microsoft.com/office/drawing/2014/chart" uri="{C3380CC4-5D6E-409C-BE32-E72D297353CC}">
                <c16:uniqueId val="{00000005-FF27-43AF-91C4-D3DCEC32555C}"/>
              </c:ext>
            </c:extLst>
          </c:dPt>
          <c:dPt>
            <c:idx val="3"/>
            <c:invertIfNegative val="0"/>
            <c:bubble3D val="0"/>
            <c:spPr>
              <a:solidFill>
                <a:srgbClr val="00B0F0"/>
              </a:solidFill>
              <a:ln>
                <a:noFill/>
              </a:ln>
              <a:effectLst/>
            </c:spPr>
            <c:extLst>
              <c:ext xmlns:c16="http://schemas.microsoft.com/office/drawing/2014/chart" uri="{C3380CC4-5D6E-409C-BE32-E72D297353CC}">
                <c16:uniqueId val="{00000007-FF27-43AF-91C4-D3DCEC32555C}"/>
              </c:ext>
            </c:extLst>
          </c:dPt>
          <c:dPt>
            <c:idx val="4"/>
            <c:invertIfNegative val="0"/>
            <c:bubble3D val="0"/>
            <c:spPr>
              <a:solidFill>
                <a:srgbClr val="00B0F0"/>
              </a:solidFill>
              <a:ln>
                <a:noFill/>
              </a:ln>
              <a:effectLst/>
            </c:spPr>
            <c:extLst>
              <c:ext xmlns:c16="http://schemas.microsoft.com/office/drawing/2014/chart" uri="{C3380CC4-5D6E-409C-BE32-E72D297353CC}">
                <c16:uniqueId val="{00000009-FF27-43AF-91C4-D3DCEC32555C}"/>
              </c:ext>
            </c:extLst>
          </c:dPt>
          <c:dPt>
            <c:idx val="5"/>
            <c:invertIfNegative val="0"/>
            <c:bubble3D val="0"/>
            <c:spPr>
              <a:solidFill>
                <a:srgbClr val="00B0F0"/>
              </a:solidFill>
              <a:ln>
                <a:noFill/>
              </a:ln>
              <a:effectLst/>
            </c:spPr>
            <c:extLst>
              <c:ext xmlns:c16="http://schemas.microsoft.com/office/drawing/2014/chart" uri="{C3380CC4-5D6E-409C-BE32-E72D297353CC}">
                <c16:uniqueId val="{0000000B-FF27-43AF-91C4-D3DCEC32555C}"/>
              </c:ext>
            </c:extLst>
          </c:dPt>
          <c:dPt>
            <c:idx val="6"/>
            <c:invertIfNegative val="0"/>
            <c:bubble3D val="0"/>
            <c:spPr>
              <a:solidFill>
                <a:srgbClr val="00B0F0"/>
              </a:solidFill>
              <a:ln>
                <a:noFill/>
              </a:ln>
              <a:effectLst/>
            </c:spPr>
            <c:extLst>
              <c:ext xmlns:c16="http://schemas.microsoft.com/office/drawing/2014/chart" uri="{C3380CC4-5D6E-409C-BE32-E72D297353CC}">
                <c16:uniqueId val="{0000000D-FF27-43AF-91C4-D3DCEC32555C}"/>
              </c:ext>
            </c:extLst>
          </c:dPt>
          <c:dPt>
            <c:idx val="7"/>
            <c:invertIfNegative val="0"/>
            <c:bubble3D val="0"/>
            <c:spPr>
              <a:solidFill>
                <a:srgbClr val="00B0F0"/>
              </a:solidFill>
              <a:ln>
                <a:noFill/>
              </a:ln>
              <a:effectLst/>
            </c:spPr>
            <c:extLst>
              <c:ext xmlns:c16="http://schemas.microsoft.com/office/drawing/2014/chart" uri="{C3380CC4-5D6E-409C-BE32-E72D297353CC}">
                <c16:uniqueId val="{0000000F-FF27-43AF-91C4-D3DCEC32555C}"/>
              </c:ext>
            </c:extLst>
          </c:dPt>
          <c:dPt>
            <c:idx val="8"/>
            <c:invertIfNegative val="0"/>
            <c:bubble3D val="0"/>
            <c:spPr>
              <a:solidFill>
                <a:srgbClr val="00B0F0"/>
              </a:solidFill>
              <a:ln>
                <a:noFill/>
              </a:ln>
              <a:effectLst/>
            </c:spPr>
            <c:extLst>
              <c:ext xmlns:c16="http://schemas.microsoft.com/office/drawing/2014/chart" uri="{C3380CC4-5D6E-409C-BE32-E72D297353CC}">
                <c16:uniqueId val="{00000011-FF27-43AF-91C4-D3DCEC32555C}"/>
              </c:ext>
            </c:extLst>
          </c:dPt>
          <c:dPt>
            <c:idx val="9"/>
            <c:invertIfNegative val="0"/>
            <c:bubble3D val="0"/>
            <c:spPr>
              <a:solidFill>
                <a:srgbClr val="00B0F0"/>
              </a:solidFill>
              <a:ln>
                <a:noFill/>
              </a:ln>
              <a:effectLst/>
            </c:spPr>
            <c:extLst>
              <c:ext xmlns:c16="http://schemas.microsoft.com/office/drawing/2014/chart" uri="{C3380CC4-5D6E-409C-BE32-E72D297353CC}">
                <c16:uniqueId val="{00000013-FF27-43AF-91C4-D3DCEC32555C}"/>
              </c:ext>
            </c:extLst>
          </c:dPt>
          <c:dPt>
            <c:idx val="10"/>
            <c:invertIfNegative val="0"/>
            <c:bubble3D val="0"/>
            <c:spPr>
              <a:solidFill>
                <a:srgbClr val="00B0F0"/>
              </a:solidFill>
              <a:ln>
                <a:noFill/>
              </a:ln>
              <a:effectLst/>
            </c:spPr>
            <c:extLst>
              <c:ext xmlns:c16="http://schemas.microsoft.com/office/drawing/2014/chart" uri="{C3380CC4-5D6E-409C-BE32-E72D297353CC}">
                <c16:uniqueId val="{00000015-FF27-43AF-91C4-D3DCEC32555C}"/>
              </c:ext>
            </c:extLst>
          </c:dPt>
          <c:cat>
            <c:strRef>
              <c:f>'Question 3'!$B$5:$B$16</c:f>
              <c:strCache>
                <c:ptCount val="11"/>
                <c:pt idx="0">
                  <c:v>Consumer Discretionary</c:v>
                </c:pt>
                <c:pt idx="1">
                  <c:v>Consumer Staples</c:v>
                </c:pt>
                <c:pt idx="2">
                  <c:v>Energy</c:v>
                </c:pt>
                <c:pt idx="3">
                  <c:v>Financials</c:v>
                </c:pt>
                <c:pt idx="4">
                  <c:v>Health Care</c:v>
                </c:pt>
                <c:pt idx="5">
                  <c:v>Industrials</c:v>
                </c:pt>
                <c:pt idx="6">
                  <c:v>Information Technology</c:v>
                </c:pt>
                <c:pt idx="7">
                  <c:v>Materials</c:v>
                </c:pt>
                <c:pt idx="8">
                  <c:v>Real Estate</c:v>
                </c:pt>
                <c:pt idx="9">
                  <c:v>Telecommunications Services</c:v>
                </c:pt>
                <c:pt idx="10">
                  <c:v>Utilities</c:v>
                </c:pt>
              </c:strCache>
            </c:strRef>
          </c:cat>
          <c:val>
            <c:numRef>
              <c:f>'Question 3'!$C$5:$C$16</c:f>
              <c:numCache>
                <c:formatCode>_("$"* #,##0_);_("$"* \(#,##0\);_("$"* "-"??_);_(@_)</c:formatCode>
                <c:ptCount val="11"/>
                <c:pt idx="0">
                  <c:v>3711258990.228013</c:v>
                </c:pt>
                <c:pt idx="1">
                  <c:v>7178778007.575758</c:v>
                </c:pt>
                <c:pt idx="2">
                  <c:v>7803642637.0967741</c:v>
                </c:pt>
                <c:pt idx="3">
                  <c:v>10023490957.317074</c:v>
                </c:pt>
                <c:pt idx="4">
                  <c:v>5574778947.3684206</c:v>
                </c:pt>
                <c:pt idx="5">
                  <c:v>4148938903.2258062</c:v>
                </c:pt>
                <c:pt idx="6">
                  <c:v>4148828169.5652175</c:v>
                </c:pt>
                <c:pt idx="7">
                  <c:v>1949064178.9473684</c:v>
                </c:pt>
                <c:pt idx="8">
                  <c:v>742103105.76923072</c:v>
                </c:pt>
                <c:pt idx="9">
                  <c:v>24038147400</c:v>
                </c:pt>
                <c:pt idx="10">
                  <c:v>2242400312.5</c:v>
                </c:pt>
              </c:numCache>
            </c:numRef>
          </c:val>
          <c:extLst>
            <c:ext xmlns:c16="http://schemas.microsoft.com/office/drawing/2014/chart" uri="{C3380CC4-5D6E-409C-BE32-E72D297353CC}">
              <c16:uniqueId val="{00000002-ACAC-42A1-87E1-02534AF272CC}"/>
            </c:ext>
          </c:extLst>
        </c:ser>
        <c:dLbls>
          <c:showLegendKey val="0"/>
          <c:showVal val="0"/>
          <c:showCatName val="0"/>
          <c:showSerName val="0"/>
          <c:showPercent val="0"/>
          <c:showBubbleSize val="0"/>
        </c:dLbls>
        <c:gapWidth val="50"/>
        <c:axId val="1733541327"/>
        <c:axId val="1733544687"/>
      </c:barChart>
      <c:catAx>
        <c:axId val="17335413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4687"/>
        <c:crosses val="autoZero"/>
        <c:auto val="1"/>
        <c:lblAlgn val="ctr"/>
        <c:lblOffset val="100"/>
        <c:noMultiLvlLbl val="0"/>
      </c:catAx>
      <c:valAx>
        <c:axId val="1733544687"/>
        <c:scaling>
          <c:orientation val="minMax"/>
        </c:scaling>
        <c:delete val="0"/>
        <c:axPos val="b"/>
        <c:majorGridlines>
          <c:spPr>
            <a:ln w="9525" cap="flat" cmpd="sng" algn="ctr">
              <a:solidFill>
                <a:schemeClr val="tx1">
                  <a:lumMod val="15000"/>
                  <a:lumOff val="85000"/>
                </a:schemeClr>
              </a:solidFill>
              <a:round/>
            </a:ln>
            <a:effectLst/>
          </c:spPr>
        </c:majorGridlines>
        <c:numFmt formatCode="&quot;$&quot;#,,,&quot;B&quot;" sourceLinked="0"/>
        <c:majorTickMark val="none"/>
        <c:minorTickMark val="in"/>
        <c:tickLblPos val="nextTo"/>
        <c:spPr>
          <a:noFill/>
          <a:ln>
            <a:solidFill>
              <a:schemeClr val="accent1"/>
            </a:solid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1733541327"/>
        <c:crosses val="autoZero"/>
        <c:crossBetween val="between"/>
        <c:majorUnit val="5000000000"/>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 NYSE Data 1.xlsm]IT Pivot Table!PivotTable1</c:name>
    <c:fmtId val="7"/>
  </c:pivotSource>
  <c:chart>
    <c:title>
      <c:tx>
        <c:rich>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r>
              <a:rPr lang="en-US" sz="2000" b="1" baseline="0"/>
              <a:t>Distribution of Operating Expense Bins Across IT Sub-Industries</a:t>
            </a:r>
          </a:p>
        </c:rich>
      </c:tx>
      <c:layout>
        <c:manualLayout>
          <c:xMode val="edge"/>
          <c:yMode val="edge"/>
          <c:x val="0.3372341541592726"/>
          <c:y val="4.0216401521238419E-2"/>
        </c:manualLayout>
      </c:layout>
      <c:overlay val="0"/>
      <c:spPr>
        <a:noFill/>
        <a:ln>
          <a:noFill/>
        </a:ln>
        <a:effectLst/>
      </c:spPr>
      <c:txPr>
        <a:bodyPr rot="0" spcFirstLastPara="1" vertOverflow="ellipsis" vert="horz" wrap="square" anchor="ctr" anchorCtr="1"/>
        <a:lstStyle/>
        <a:p>
          <a:pPr>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bg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lumMod val="20000"/>
              <a:lumOff val="8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lumMod val="40000"/>
              <a:lumOff val="6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percentStacked"/>
        <c:varyColors val="0"/>
        <c:ser>
          <c:idx val="0"/>
          <c:order val="0"/>
          <c:tx>
            <c:strRef>
              <c:f>'IT Pivot Table'!$C$10:$C$11</c:f>
              <c:strCache>
                <c:ptCount val="1"/>
                <c:pt idx="0">
                  <c:v>$0-5B</c:v>
                </c:pt>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Table'!$C$12:$C$28</c:f>
              <c:numCache>
                <c:formatCode>General</c:formatCode>
                <c:ptCount val="16"/>
                <c:pt idx="0">
                  <c:v>16</c:v>
                </c:pt>
                <c:pt idx="2">
                  <c:v>8</c:v>
                </c:pt>
                <c:pt idx="3">
                  <c:v>8</c:v>
                </c:pt>
                <c:pt idx="4">
                  <c:v>8</c:v>
                </c:pt>
                <c:pt idx="5">
                  <c:v>4</c:v>
                </c:pt>
                <c:pt idx="6">
                  <c:v>4</c:v>
                </c:pt>
                <c:pt idx="7">
                  <c:v>8</c:v>
                </c:pt>
                <c:pt idx="8">
                  <c:v>61</c:v>
                </c:pt>
                <c:pt idx="9">
                  <c:v>8</c:v>
                </c:pt>
                <c:pt idx="10">
                  <c:v>8</c:v>
                </c:pt>
                <c:pt idx="11">
                  <c:v>12</c:v>
                </c:pt>
                <c:pt idx="12">
                  <c:v>40</c:v>
                </c:pt>
                <c:pt idx="13">
                  <c:v>4</c:v>
                </c:pt>
                <c:pt idx="15">
                  <c:v>4</c:v>
                </c:pt>
              </c:numCache>
            </c:numRef>
          </c:val>
          <c:extLst>
            <c:ext xmlns:c16="http://schemas.microsoft.com/office/drawing/2014/chart" uri="{C3380CC4-5D6E-409C-BE32-E72D297353CC}">
              <c16:uniqueId val="{00000000-68C6-477E-990B-015DDDC0831C}"/>
            </c:ext>
          </c:extLst>
        </c:ser>
        <c:ser>
          <c:idx val="1"/>
          <c:order val="1"/>
          <c:tx>
            <c:strRef>
              <c:f>'IT Pivot Table'!$D$10:$D$11</c:f>
              <c:strCache>
                <c:ptCount val="1"/>
                <c:pt idx="0">
                  <c:v>$10-15B</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Table'!$D$12:$D$28</c:f>
              <c:numCache>
                <c:formatCode>General</c:formatCode>
                <c:ptCount val="16"/>
                <c:pt idx="8">
                  <c:v>1</c:v>
                </c:pt>
                <c:pt idx="14">
                  <c:v>3</c:v>
                </c:pt>
              </c:numCache>
            </c:numRef>
          </c:val>
          <c:extLst>
            <c:ext xmlns:c16="http://schemas.microsoft.com/office/drawing/2014/chart" uri="{C3380CC4-5D6E-409C-BE32-E72D297353CC}">
              <c16:uniqueId val="{00000001-68C6-477E-990B-015DDDC0831C}"/>
            </c:ext>
          </c:extLst>
        </c:ser>
        <c:ser>
          <c:idx val="2"/>
          <c:order val="2"/>
          <c:tx>
            <c:strRef>
              <c:f>'IT Pivot Table'!$E$10:$E$11</c:f>
              <c:strCache>
                <c:ptCount val="1"/>
                <c:pt idx="0">
                  <c:v>$15-20B</c:v>
                </c:pt>
              </c:strCache>
            </c:strRef>
          </c:tx>
          <c:spPr>
            <a:solidFill>
              <a:schemeClr val="accent1">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Table'!$E$12:$E$28</c:f>
              <c:numCache>
                <c:formatCode>General</c:formatCode>
                <c:ptCount val="16"/>
                <c:pt idx="1">
                  <c:v>3</c:v>
                </c:pt>
                <c:pt idx="10">
                  <c:v>4</c:v>
                </c:pt>
                <c:pt idx="12">
                  <c:v>2</c:v>
                </c:pt>
              </c:numCache>
            </c:numRef>
          </c:val>
          <c:extLst>
            <c:ext xmlns:c16="http://schemas.microsoft.com/office/drawing/2014/chart" uri="{C3380CC4-5D6E-409C-BE32-E72D297353CC}">
              <c16:uniqueId val="{00000002-68C6-477E-990B-015DDDC0831C}"/>
            </c:ext>
          </c:extLst>
        </c:ser>
        <c:ser>
          <c:idx val="3"/>
          <c:order val="3"/>
          <c:tx>
            <c:strRef>
              <c:f>'IT Pivot Table'!$F$10:$F$11</c:f>
              <c:strCache>
                <c:ptCount val="1"/>
                <c:pt idx="0">
                  <c:v>$20-25B</c:v>
                </c:pt>
              </c:strCache>
            </c:strRef>
          </c:tx>
          <c:spPr>
            <a:solidFill>
              <a:schemeClr val="accent1">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Table'!$F$12:$F$28</c:f>
              <c:numCache>
                <c:formatCode>General</c:formatCode>
                <c:ptCount val="16"/>
                <c:pt idx="1">
                  <c:v>2</c:v>
                </c:pt>
                <c:pt idx="9">
                  <c:v>1</c:v>
                </c:pt>
                <c:pt idx="12">
                  <c:v>2</c:v>
                </c:pt>
              </c:numCache>
            </c:numRef>
          </c:val>
          <c:extLst>
            <c:ext xmlns:c16="http://schemas.microsoft.com/office/drawing/2014/chart" uri="{C3380CC4-5D6E-409C-BE32-E72D297353CC}">
              <c16:uniqueId val="{00000003-68C6-477E-990B-015DDDC0831C}"/>
            </c:ext>
          </c:extLst>
        </c:ser>
        <c:ser>
          <c:idx val="4"/>
          <c:order val="4"/>
          <c:tx>
            <c:strRef>
              <c:f>'IT Pivot Table'!$G$10:$G$11</c:f>
              <c:strCache>
                <c:ptCount val="1"/>
                <c:pt idx="0">
                  <c:v>$25-30B</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Table'!$G$12:$G$28</c:f>
              <c:numCache>
                <c:formatCode>General</c:formatCode>
                <c:ptCount val="16"/>
                <c:pt idx="9">
                  <c:v>3</c:v>
                </c:pt>
              </c:numCache>
            </c:numRef>
          </c:val>
          <c:extLst>
            <c:ext xmlns:c16="http://schemas.microsoft.com/office/drawing/2014/chart" uri="{C3380CC4-5D6E-409C-BE32-E72D297353CC}">
              <c16:uniqueId val="{00000004-68C6-477E-990B-015DDDC0831C}"/>
            </c:ext>
          </c:extLst>
        </c:ser>
        <c:ser>
          <c:idx val="5"/>
          <c:order val="5"/>
          <c:tx>
            <c:strRef>
              <c:f>'IT Pivot Table'!$H$10:$H$11</c:f>
              <c:strCache>
                <c:ptCount val="1"/>
                <c:pt idx="0">
                  <c:v>$30-35B</c:v>
                </c:pt>
              </c:strCache>
            </c:strRef>
          </c:tx>
          <c:spPr>
            <a:solidFill>
              <a:schemeClr val="accent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Table'!$H$12:$H$28</c:f>
              <c:numCache>
                <c:formatCode>General</c:formatCode>
                <c:ptCount val="16"/>
                <c:pt idx="13">
                  <c:v>4</c:v>
                </c:pt>
              </c:numCache>
            </c:numRef>
          </c:val>
          <c:extLst>
            <c:ext xmlns:c16="http://schemas.microsoft.com/office/drawing/2014/chart" uri="{C3380CC4-5D6E-409C-BE32-E72D297353CC}">
              <c16:uniqueId val="{00000005-68C6-477E-990B-015DDDC0831C}"/>
            </c:ext>
          </c:extLst>
        </c:ser>
        <c:ser>
          <c:idx val="6"/>
          <c:order val="6"/>
          <c:tx>
            <c:strRef>
              <c:f>'IT Pivot Table'!$I$10:$I$11</c:f>
              <c:strCache>
                <c:ptCount val="1"/>
                <c:pt idx="0">
                  <c:v>$5-10B</c:v>
                </c:pt>
              </c:strCache>
            </c:strRef>
          </c:tx>
          <c:spPr>
            <a:solidFill>
              <a:schemeClr val="accent1">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'IT Pivot Table'!$B$12:$B$28</c:f>
              <c:strCache>
                <c:ptCount val="16"/>
                <c:pt idx="0">
                  <c:v>Application Software</c:v>
                </c:pt>
                <c:pt idx="1">
                  <c:v>Computer Hardware</c:v>
                </c:pt>
                <c:pt idx="2">
                  <c:v>Computer Storage &amp; Peripherals</c:v>
                </c:pt>
                <c:pt idx="3">
                  <c:v>Data Processing &amp; Outsourced Services</c:v>
                </c:pt>
                <c:pt idx="4">
                  <c:v>Electronic Components</c:v>
                </c:pt>
                <c:pt idx="5">
                  <c:v>Electronic Equipment &amp; Instruments</c:v>
                </c:pt>
                <c:pt idx="6">
                  <c:v>Electronic Manufacturing Services</c:v>
                </c:pt>
                <c:pt idx="7">
                  <c:v>Home Entertainment Software</c:v>
                </c:pt>
                <c:pt idx="8">
                  <c:v>Internet Software &amp; Services</c:v>
                </c:pt>
                <c:pt idx="9">
                  <c:v>IT Consulting &amp; Other Services</c:v>
                </c:pt>
                <c:pt idx="10">
                  <c:v>Networking Equipment</c:v>
                </c:pt>
                <c:pt idx="11">
                  <c:v>Semiconductor Equipment</c:v>
                </c:pt>
                <c:pt idx="12">
                  <c:v>Semiconductors</c:v>
                </c:pt>
                <c:pt idx="13">
                  <c:v>Systems Software</c:v>
                </c:pt>
                <c:pt idx="14">
                  <c:v>Technology Hardware, Storage &amp; Peripherals</c:v>
                </c:pt>
                <c:pt idx="15">
                  <c:v>Telecommunications Equipment</c:v>
                </c:pt>
              </c:strCache>
            </c:strRef>
          </c:cat>
          <c:val>
            <c:numRef>
              <c:f>'IT Pivot Table'!$I$12:$I$28</c:f>
              <c:numCache>
                <c:formatCode>General</c:formatCode>
                <c:ptCount val="16"/>
                <c:pt idx="1">
                  <c:v>3</c:v>
                </c:pt>
                <c:pt idx="8">
                  <c:v>2</c:v>
                </c:pt>
                <c:pt idx="9">
                  <c:v>2</c:v>
                </c:pt>
                <c:pt idx="12">
                  <c:v>5</c:v>
                </c:pt>
              </c:numCache>
            </c:numRef>
          </c:val>
          <c:extLst>
            <c:ext xmlns:c16="http://schemas.microsoft.com/office/drawing/2014/chart" uri="{C3380CC4-5D6E-409C-BE32-E72D297353CC}">
              <c16:uniqueId val="{00000006-68C6-477E-990B-015DDDC0831C}"/>
            </c:ext>
          </c:extLst>
        </c:ser>
        <c:dLbls>
          <c:dLblPos val="inEnd"/>
          <c:showLegendKey val="0"/>
          <c:showVal val="1"/>
          <c:showCatName val="0"/>
          <c:showSerName val="0"/>
          <c:showPercent val="0"/>
          <c:showBubbleSize val="0"/>
        </c:dLbls>
        <c:gapWidth val="50"/>
        <c:overlap val="100"/>
        <c:axId val="1550273183"/>
        <c:axId val="1550273663"/>
      </c:barChart>
      <c:catAx>
        <c:axId val="1550273183"/>
        <c:scaling>
          <c:orientation val="minMax"/>
        </c:scaling>
        <c:delete val="0"/>
        <c:axPos val="l"/>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IT Sub-</a:t>
                </a:r>
                <a:r>
                  <a:rPr lang="en-US" sz="1600" baseline="0"/>
                  <a:t>Sectors</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alpha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663"/>
        <c:crosses val="autoZero"/>
        <c:auto val="1"/>
        <c:lblAlgn val="ctr"/>
        <c:lblOffset val="100"/>
        <c:noMultiLvlLbl val="0"/>
      </c:catAx>
      <c:valAx>
        <c:axId val="1550273663"/>
        <c:scaling>
          <c:orientation val="minMax"/>
        </c:scaling>
        <c:delete val="0"/>
        <c:axPos val="b"/>
        <c:majorGridlines>
          <c:spPr>
            <a:ln w="9525" cap="flat" cmpd="sng" algn="ctr">
              <a:solidFill>
                <a:schemeClr val="tx1">
                  <a:alpha val="20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sz="1600"/>
                  <a:t>Percentage</a:t>
                </a:r>
                <a:r>
                  <a:rPr lang="en-US" sz="1600" baseline="0"/>
                  <a:t> of Industries by Range of Operating Expences</a:t>
                </a:r>
                <a:endParaRPr lang="en-US" sz="1600"/>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in"/>
        <c:minorTickMark val="none"/>
        <c:tickLblPos val="nextTo"/>
        <c:spPr>
          <a:noFill/>
          <a:ln>
            <a:solidFill>
              <a:schemeClr val="tx1">
                <a:alpha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550273183"/>
        <c:crosses val="autoZero"/>
        <c:crossBetween val="between"/>
      </c:valAx>
      <c:spPr>
        <a:noFill/>
        <a:ln>
          <a:noFill/>
        </a:ln>
        <a:effectLst/>
      </c:spPr>
    </c:plotArea>
    <c:legend>
      <c:legendPos val="r"/>
      <c:overlay val="0"/>
      <c:spPr>
        <a:solidFill>
          <a:schemeClr val="bg1">
            <a:lumMod val="95000"/>
          </a:schemeClr>
        </a:solidFill>
        <a:ln>
          <a:solidFill>
            <a:schemeClr val="bg1">
              <a:lumMod val="85000"/>
            </a:schemeClr>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85000"/>
      </a:schemeClr>
    </a:solidFill>
    <a:ln w="9525" cap="flat" cmpd="sng" algn="ctr">
      <a:solidFill>
        <a:schemeClr val="bg1">
          <a:lumMod val="95000"/>
        </a:schemeClr>
      </a:solidFill>
      <a:round/>
    </a:ln>
    <a:effectLst/>
  </c:spPr>
  <c:txPr>
    <a:bodyPr/>
    <a:lstStyle/>
    <a:p>
      <a:pPr>
        <a:defRPr sz="110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_xlchart.v1.2</cx:f>
      </cx:numDim>
    </cx:data>
    <cx:data id="1">
      <cx:numDim type="val">
        <cx:f>_xlchart.v1.0</cx:f>
      </cx:numDim>
    </cx:data>
  </cx:chartData>
  <cx:chart>
    <cx:title pos="t" align="ctr" overlay="0">
      <cx:tx>
        <cx:rich>
          <a:bodyPr spcFirstLastPara="1" vertOverflow="ellipsis" horzOverflow="overflow" wrap="square" lIns="0" tIns="0" rIns="0" bIns="0" anchor="ctr" anchorCtr="1"/>
          <a:lstStyle/>
          <a:p>
            <a:pPr algn="ctr" rtl="0">
              <a:defRPr/>
            </a:pPr>
            <a:r>
              <a:rPr lang="en-US"/>
              <a:t>Box Plot of Total Revenue: Consumer Staples vs. Consumer Discretionary Sectors (Year 4)</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4-9BB7-40B1-9EC2-A2BAC051A4FC}">
          <cx:tx>
            <cx:txData>
              <cx:f>_xlchart.v1.3</cx:f>
              <cx:v>Consumer Staples</cx:v>
            </cx:txData>
          </cx:tx>
          <cx:dataId val="0"/>
          <cx:layoutPr>
            <cx:statistics quartileMethod="exclusive"/>
          </cx:layoutPr>
        </cx:series>
        <cx:series layoutId="boxWhisker" uniqueId="{00000005-9BB7-40B1-9EC2-A2BAC051A4FC}">
          <cx:tx>
            <cx:txData>
              <cx:f>_xlchart.v1.1</cx:f>
              <cx:v>Consumer Discretionary</cx:v>
            </cx:txData>
          </cx:tx>
          <cx:dataId val="1"/>
          <cx:layoutPr>
            <cx:statistics quartileMethod="exclusive"/>
          </cx:layoutPr>
        </cx:series>
      </cx:plotAreaRegion>
      <cx:axis id="0" hidden="1">
        <cx:catScaling gapWidth="1"/>
        <cx:title>
          <cx:tx>
            <cx:txData>
              <cx:v>GCIS Sector</cx:v>
            </cx:txData>
          </cx:tx>
          <cx:txPr>
            <a:bodyPr spcFirstLastPara="1" vertOverflow="ellipsis" horzOverflow="overflow" wrap="square" lIns="0" tIns="0" rIns="0" bIns="0" anchor="ctr" anchorCtr="1"/>
            <a:lstStyle/>
            <a:p>
              <a:pPr algn="ctr" rtl="0">
                <a:defRPr sz="1000" b="0" i="0" baseline="0">
                  <a:solidFill>
                    <a:sysClr val="windowText" lastClr="000000"/>
                  </a:solidFill>
                  <a:latin typeface="Aptos Narrow" panose="020B0004020202020204" pitchFamily="34" charset="0"/>
                  <a:ea typeface="Aptos Narrow" panose="020B0004020202020204" pitchFamily="34" charset="0"/>
                  <a:cs typeface="Aptos Narrow" panose="020B0004020202020204" pitchFamily="34" charset="0"/>
                </a:defRPr>
              </a:pPr>
              <a:r>
                <a:rPr lang="en-US" sz="1000" b="0" i="0" u="none" strike="noStrike" baseline="0">
                  <a:solidFill>
                    <a:sysClr val="windowText" lastClr="000000"/>
                  </a:solidFill>
                  <a:latin typeface="Aptos Narrow" panose="020B0004020202020204" pitchFamily="34" charset="0"/>
                </a:rPr>
                <a:t>GCIS Sector</a:t>
              </a:r>
            </a:p>
          </cx:txPr>
        </cx:title>
        <cx:tickLabels/>
      </cx:axis>
      <cx:axis id="1">
        <cx:valScaling/>
        <cx:title>
          <cx:tx>
            <cx:txData>
              <cx:v>Total Revenue</cx:v>
            </cx:txData>
          </cx:tx>
          <cx:txPr>
            <a:bodyPr spcFirstLastPara="1" vertOverflow="ellipsis" horzOverflow="overflow" wrap="square" lIns="0" tIns="0" rIns="0" bIns="0" anchor="ctr" anchorCtr="1"/>
            <a:lstStyle/>
            <a:p>
              <a:pPr algn="ctr" rtl="0">
                <a:defRPr b="0"/>
              </a:pPr>
              <a:r>
                <a:rPr lang="en-US" sz="900" b="0" i="0" u="none" strike="noStrike" baseline="0">
                  <a:solidFill>
                    <a:sysClr val="windowText" lastClr="000000">
                      <a:lumMod val="65000"/>
                      <a:lumOff val="35000"/>
                    </a:sysClr>
                  </a:solidFill>
                  <a:latin typeface="Aptos Narrow" panose="02110004020202020204"/>
                </a:rPr>
                <a:t>Total Revenue</a:t>
              </a:r>
            </a:p>
          </cx:txPr>
        </cx:title>
        <cx:majorGridlines/>
        <cx:tickLabels/>
      </cx:axis>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_xlchart.v1.10</cx:f>
      </cx:strDim>
      <cx:numDim type="val">
        <cx:f>_xlchart.v1.5</cx:f>
      </cx:numDim>
    </cx:data>
    <cx:data id="1">
      <cx:strDim type="cat">
        <cx:f>_xlchart.v1.10</cx:f>
      </cx:strDim>
      <cx:numDim type="val">
        <cx:f>_xlchart.v1.9</cx:f>
      </cx:numDim>
    </cx:data>
    <cx:data id="2">
      <cx:numDim type="val">
        <cx:f>_xlchart.v1.7</cx:f>
      </cx:numDim>
    </cx:data>
  </cx:chartData>
  <cx:chart>
    <cx:title pos="t" align="ctr" overlay="0">
      <cx:tx>
        <cx:rich>
          <a:bodyPr spcFirstLastPara="1" vertOverflow="ellipsis" horzOverflow="overflow" wrap="square" lIns="0" tIns="0" rIns="0" bIns="0" anchor="ctr" anchorCtr="1"/>
          <a:lstStyle/>
          <a:p>
            <a:pPr algn="ctr" rtl="0">
              <a:defRPr/>
            </a:pPr>
            <a:r>
              <a:rPr lang="en-US"/>
              <a:t>Box Plot for Year 4 Operating Expenses: Health Care, Energy, and Customer Staples</a:t>
            </a:r>
            <a:endParaRPr lang="en-US" sz="1400" b="0" i="0" u="none" strike="noStrike" baseline="0">
              <a:solidFill>
                <a:sysClr val="windowText" lastClr="000000">
                  <a:lumMod val="65000"/>
                  <a:lumOff val="35000"/>
                </a:sysClr>
              </a:solidFill>
              <a:latin typeface="Aptos Narrow" panose="02110004020202020204"/>
            </a:endParaRPr>
          </a:p>
        </cx:rich>
      </cx:tx>
    </cx:title>
    <cx:plotArea>
      <cx:plotAreaRegion>
        <cx:series layoutId="boxWhisker" uniqueId="{00000003-1FD6-4E19-B7CE-76CC6F6F6D19}" formatIdx="1">
          <cx:tx>
            <cx:txData>
              <cx:f>_xlchart.v1.4</cx:f>
              <cx:v>Consumer Staples</cx:v>
            </cx:txData>
          </cx:tx>
          <cx:spPr>
            <a:solidFill>
              <a:schemeClr val="tx2">
                <a:lumMod val="50000"/>
                <a:lumOff val="50000"/>
              </a:schemeClr>
            </a:solidFill>
            <a:ln>
              <a:solidFill>
                <a:schemeClr val="tx2">
                  <a:lumMod val="75000"/>
                  <a:lumOff val="25000"/>
                </a:schemeClr>
              </a:solidFill>
            </a:ln>
          </cx:spPr>
          <cx:dataId val="0"/>
          <cx:layoutPr>
            <cx:statistics quartileMethod="exclusive"/>
          </cx:layoutPr>
        </cx:series>
        <cx:series layoutId="boxWhisker" uniqueId="{00000004-1FD6-4E19-B7CE-76CC6F6F6D19}" formatIdx="0">
          <cx:tx>
            <cx:txData>
              <cx:f>_xlchart.v1.8</cx:f>
              <cx:v>Health Care</cx:v>
            </cx:txData>
          </cx:tx>
          <cx:spPr>
            <a:solidFill>
              <a:srgbClr val="FF5353"/>
            </a:solidFill>
            <a:ln>
              <a:solidFill>
                <a:srgbClr val="C00000"/>
              </a:solidFill>
            </a:ln>
          </cx:spPr>
          <cx:dataId val="1"/>
          <cx:layoutPr>
            <cx:statistics quartileMethod="exclusive"/>
          </cx:layoutPr>
        </cx:series>
        <cx:series layoutId="boxWhisker" uniqueId="{00000005-1FD6-4E19-B7CE-76CC6F6F6D19}">
          <cx:tx>
            <cx:txData>
              <cx:f>_xlchart.v1.6</cx:f>
              <cx:v>Energy</cx:v>
            </cx:txData>
          </cx:tx>
          <cx:spPr>
            <a:solidFill>
              <a:srgbClr val="F79646"/>
            </a:solidFill>
            <a:ln>
              <a:solidFill>
                <a:schemeClr val="accent2">
                  <a:lumMod val="75000"/>
                </a:schemeClr>
              </a:solidFill>
            </a:ln>
          </cx:spPr>
          <cx:dataId val="2"/>
          <cx:layoutPr>
            <cx:statistics quartileMethod="exclusive"/>
          </cx:layoutPr>
        </cx:series>
      </cx:plotAreaRegion>
      <cx:axis id="0" hidden="1">
        <cx:catScaling gapWidth="0.400000006"/>
        <cx:title>
          <cx:tx>
            <cx:txData>
              <cx:v>GICS Sectors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GICS Sectors</a:t>
              </a:r>
            </a:p>
          </cx:txPr>
        </cx:title>
        <cx:tickLabels/>
      </cx:axis>
      <cx:axis id="1">
        <cx:valScaling max="100000000000"/>
        <cx:title>
          <cx:tx>
            <cx:txData>
              <cx:v>Total Operating Expences</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Aptos Narrow" panose="02110004020202020204"/>
                </a:rPr>
                <a:t>Total Operating Expences</a:t>
              </a:r>
            </a:p>
          </cx:txPr>
        </cx:title>
        <cx:majorGridlines/>
        <cx:tickLabels/>
        <cx:numFmt formatCode="$#.00,,,&quot;B&quot;" sourceLinked="0"/>
        <cx:txPr>
          <a:bodyPr spcFirstLastPara="1" vertOverflow="ellipsis" horzOverflow="overflow" wrap="square" lIns="0" tIns="0" rIns="0" bIns="0" anchor="ctr" anchorCtr="1"/>
          <a:lstStyle/>
          <a:p>
            <a:pPr algn="ctr" rtl="0">
              <a:defRPr sz="1050"/>
            </a:pPr>
            <a:endParaRPr lang="en-US" sz="1050" b="0" i="0" u="none" strike="noStrike" baseline="0">
              <a:solidFill>
                <a:sysClr val="windowText" lastClr="000000">
                  <a:lumMod val="65000"/>
                  <a:lumOff val="35000"/>
                </a:sysClr>
              </a:solidFill>
              <a:latin typeface="Aptos Narrow" panose="02110004020202020204"/>
            </a:endParaRPr>
          </a:p>
        </cx:txPr>
      </cx:axis>
    </cx:plotArea>
    <cx:legend pos="t" align="ctr" overlay="0">
      <cx:spPr>
        <a:noFill/>
      </cx:spPr>
      <cx:txPr>
        <a:bodyPr spcFirstLastPara="1" vertOverflow="ellipsis" horzOverflow="overflow" wrap="square" lIns="0" tIns="0" rIns="0" bIns="0" anchor="ctr" anchorCtr="1"/>
        <a:lstStyle/>
        <a:p>
          <a:pPr algn="ctr" rtl="0">
            <a:defRPr sz="1100" baseline="0"/>
          </a:pPr>
          <a:endParaRPr lang="en-US" sz="1100" b="0" i="0" u="none" strike="noStrike" baseline="0">
            <a:solidFill>
              <a:sysClr val="windowText" lastClr="000000">
                <a:lumMod val="65000"/>
                <a:lumOff val="35000"/>
              </a:sysClr>
            </a:solidFill>
            <a:latin typeface="Aptos Narrow" panose="02110004020202020204"/>
          </a:endParaRPr>
        </a:p>
      </cx:txPr>
    </cx:legend>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numDim type="val">
        <cx:f>_xlchart.v1.36</cx:f>
      </cx:numDim>
    </cx:data>
    <cx:data id="1">
      <cx:numDim type="val">
        <cx:f>_xlchart.v1.31</cx:f>
      </cx:numDim>
    </cx:data>
    <cx:data id="2">
      <cx:numDim type="val">
        <cx:f>_xlchart.v1.35</cx:f>
      </cx:numDim>
    </cx:data>
    <cx:data id="3">
      <cx:numDim type="val">
        <cx:f>_xlchart.v1.38</cx:f>
      </cx:numDim>
    </cx:data>
    <cx:data id="4">
      <cx:numDim type="val">
        <cx:f>_xlchart.v1.39</cx:f>
      </cx:numDim>
    </cx:data>
    <cx:data id="5">
      <cx:numDim type="val">
        <cx:f>_xlchart.v1.40</cx:f>
      </cx:numDim>
    </cx:data>
    <cx:data id="6">
      <cx:numDim type="val">
        <cx:f>_xlchart.v1.41</cx:f>
      </cx:numDim>
    </cx:data>
    <cx:data id="7">
      <cx:numDim type="val">
        <cx:f>_xlchart.v1.42</cx:f>
      </cx:numDim>
    </cx:data>
    <cx:data id="8">
      <cx:numDim type="val">
        <cx:f>_xlchart.v1.43</cx:f>
      </cx:numDim>
    </cx:data>
    <cx:data id="9">
      <cx:numDim type="val">
        <cx:f>_xlchart.v1.27</cx:f>
      </cx:numDim>
    </cx:data>
    <cx:data id="10">
      <cx:numDim type="val">
        <cx:f>_xlchart.v1.28</cx:f>
      </cx:numDim>
    </cx:data>
    <cx:data id="11">
      <cx:numDim type="val">
        <cx:f>_xlchart.v1.29</cx:f>
      </cx:numDim>
    </cx:data>
    <cx:data id="12">
      <cx:numDim type="val">
        <cx:f>_xlchart.v1.30</cx:f>
      </cx:numDim>
    </cx:data>
    <cx:data id="13">
      <cx:numDim type="val">
        <cx:f>_xlchart.v1.32</cx:f>
      </cx:numDim>
    </cx:data>
    <cx:data id="14">
      <cx:numDim type="val">
        <cx:f>_xlchart.v1.33</cx:f>
      </cx:numDim>
    </cx:data>
    <cx:data id="15">
      <cx:numDim type="val">
        <cx:f>_xlchart.v1.34</cx:f>
      </cx:numDim>
    </cx:data>
    <cx:data id="16">
      <cx:numDim type="val">
        <cx:f>_xlchart.v1.37</cx:f>
      </cx:numDim>
    </cx:data>
  </cx:chartData>
  <cx:chart>
    <cx:title pos="t" align="ctr" overlay="0">
      <cx:tx>
        <cx:txData>
          <cx:v>Box Plots for sub sectors under IT sector</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Box Plots for sub sectors under IT sector</a:t>
          </a:r>
        </a:p>
      </cx:txPr>
    </cx:title>
    <cx:plotArea>
      <cx:plotAreaRegion>
        <cx:series layoutId="boxWhisker" uniqueId="{00000003-E094-4950-AC75-47AD24A373FA}" formatIdx="0">
          <cx:tx>
            <cx:txData>
              <cx:f>_xlchart.v1.16</cx:f>
              <cx:v>Application Software</cx:v>
            </cx:txData>
          </cx:tx>
          <cx:spPr>
            <a:solidFill>
              <a:schemeClr val="accent1"/>
            </a:solidFill>
            <a:ln>
              <a:solidFill>
                <a:schemeClr val="tx1"/>
              </a:solidFill>
            </a:ln>
          </cx:spPr>
          <cx:dataId val="0"/>
          <cx:layoutPr>
            <cx:statistics quartileMethod="exclusive"/>
          </cx:layoutPr>
        </cx:series>
        <cx:series layoutId="boxWhisker" uniqueId="{00000004-E094-4950-AC75-47AD24A373FA}" formatIdx="1">
          <cx:tx>
            <cx:txData>
              <cx:f>_xlchart.v1.15</cx:f>
              <cx:v>Computer Hardware</cx:v>
            </cx:txData>
          </cx:tx>
          <cx:spPr>
            <a:solidFill>
              <a:schemeClr val="accent1"/>
            </a:solidFill>
            <a:ln>
              <a:solidFill>
                <a:schemeClr val="tx1"/>
              </a:solidFill>
            </a:ln>
          </cx:spPr>
          <cx:dataId val="1"/>
          <cx:layoutPr>
            <cx:statistics quartileMethod="exclusive"/>
          </cx:layoutPr>
        </cx:series>
        <cx:series layoutId="boxWhisker" uniqueId="{00000005-E094-4950-AC75-47AD24A373FA}" formatIdx="2">
          <cx:tx>
            <cx:txData>
              <cx:f>_xlchart.v1.20</cx:f>
              <cx:v>Computer Storage &amp; Peripherals</cx:v>
            </cx:txData>
          </cx:tx>
          <cx:spPr>
            <a:solidFill>
              <a:schemeClr val="accent1"/>
            </a:solidFill>
            <a:ln>
              <a:solidFill>
                <a:schemeClr val="tx1"/>
              </a:solidFill>
            </a:ln>
          </cx:spPr>
          <cx:dataId val="2"/>
          <cx:layoutPr>
            <cx:statistics quartileMethod="exclusive"/>
          </cx:layoutPr>
        </cx:series>
        <cx:series layoutId="boxWhisker" uniqueId="{00000006-E094-4950-AC75-47AD24A373FA}" formatIdx="3">
          <cx:tx>
            <cx:txData>
              <cx:f>_xlchart.v1.21</cx:f>
              <cx:v>Data Processing &amp; Outsourced Services</cx:v>
            </cx:txData>
          </cx:tx>
          <cx:spPr>
            <a:solidFill>
              <a:schemeClr val="accent1"/>
            </a:solidFill>
            <a:ln>
              <a:solidFill>
                <a:schemeClr val="tx1"/>
              </a:solidFill>
            </a:ln>
          </cx:spPr>
          <cx:dataId val="3"/>
          <cx:layoutPr>
            <cx:statistics quartileMethod="exclusive"/>
          </cx:layoutPr>
        </cx:series>
        <cx:series layoutId="boxWhisker" uniqueId="{00000007-E094-4950-AC75-47AD24A373FA}" formatIdx="4">
          <cx:tx>
            <cx:txData>
              <cx:f>_xlchart.v1.22</cx:f>
              <cx:v>Electronic Components</cx:v>
            </cx:txData>
          </cx:tx>
          <cx:spPr>
            <a:solidFill>
              <a:schemeClr val="accent1"/>
            </a:solidFill>
            <a:ln>
              <a:solidFill>
                <a:schemeClr val="tx1"/>
              </a:solidFill>
            </a:ln>
          </cx:spPr>
          <cx:dataId val="4"/>
          <cx:layoutPr>
            <cx:statistics quartileMethod="exclusive"/>
          </cx:layoutPr>
        </cx:series>
        <cx:series layoutId="boxWhisker" uniqueId="{00000008-E094-4950-AC75-47AD24A373FA}" formatIdx="5">
          <cx:tx>
            <cx:txData>
              <cx:f>_xlchart.v1.23</cx:f>
              <cx:v>Electronic Equipment &amp; Instruments</cx:v>
            </cx:txData>
          </cx:tx>
          <cx:spPr>
            <a:solidFill>
              <a:schemeClr val="accent1"/>
            </a:solidFill>
            <a:ln>
              <a:solidFill>
                <a:schemeClr val="tx1"/>
              </a:solidFill>
            </a:ln>
          </cx:spPr>
          <cx:dataId val="5"/>
          <cx:layoutPr>
            <cx:statistics quartileMethod="exclusive"/>
          </cx:layoutPr>
        </cx:series>
        <cx:series layoutId="boxWhisker" uniqueId="{00000009-E094-4950-AC75-47AD24A373FA}" formatIdx="6">
          <cx:tx>
            <cx:txData>
              <cx:f>_xlchart.v1.24</cx:f>
              <cx:v>Electronic Manufacturing Services</cx:v>
            </cx:txData>
          </cx:tx>
          <cx:spPr>
            <a:solidFill>
              <a:schemeClr val="accent1"/>
            </a:solidFill>
            <a:ln>
              <a:solidFill>
                <a:schemeClr val="tx1"/>
              </a:solidFill>
            </a:ln>
          </cx:spPr>
          <cx:dataId val="6"/>
          <cx:layoutPr>
            <cx:statistics quartileMethod="exclusive"/>
          </cx:layoutPr>
        </cx:series>
        <cx:series layoutId="boxWhisker" uniqueId="{0000000A-E094-4950-AC75-47AD24A373FA}" formatIdx="7">
          <cx:tx>
            <cx:txData>
              <cx:f>_xlchart.v1.25</cx:f>
              <cx:v>Home Entertainment Software</cx:v>
            </cx:txData>
          </cx:tx>
          <cx:spPr>
            <a:solidFill>
              <a:schemeClr val="accent1"/>
            </a:solidFill>
            <a:ln>
              <a:solidFill>
                <a:schemeClr val="tx1"/>
              </a:solidFill>
            </a:ln>
          </cx:spPr>
          <cx:dataId val="7"/>
          <cx:layoutPr>
            <cx:statistics quartileMethod="exclusive"/>
          </cx:layoutPr>
        </cx:series>
        <cx:series layoutId="boxWhisker" uniqueId="{0000000B-E094-4950-AC75-47AD24A373FA}" formatIdx="8">
          <cx:tx>
            <cx:txData>
              <cx:f>_xlchart.v1.26</cx:f>
              <cx:v>Internet Software &amp; Services</cx:v>
            </cx:txData>
          </cx:tx>
          <cx:spPr>
            <a:solidFill>
              <a:schemeClr val="accent1"/>
            </a:solidFill>
            <a:ln>
              <a:solidFill>
                <a:schemeClr val="tx1"/>
              </a:solidFill>
            </a:ln>
          </cx:spPr>
          <cx:dataId val="8"/>
          <cx:layoutPr>
            <cx:statistics quartileMethod="exclusive"/>
          </cx:layoutPr>
        </cx:series>
        <cx:series layoutId="boxWhisker" uniqueId="{0000000C-E094-4950-AC75-47AD24A373FA}" formatIdx="9">
          <cx:tx>
            <cx:txData>
              <cx:f>_xlchart.v1.11</cx:f>
              <cx:v>IT Consulting &amp; Other Services</cx:v>
            </cx:txData>
          </cx:tx>
          <cx:spPr>
            <a:solidFill>
              <a:schemeClr val="accent1"/>
            </a:solidFill>
            <a:ln>
              <a:solidFill>
                <a:schemeClr val="tx1"/>
              </a:solidFill>
            </a:ln>
          </cx:spPr>
          <cx:dataId val="9"/>
          <cx:layoutPr>
            <cx:statistics quartileMethod="exclusive"/>
          </cx:layoutPr>
        </cx:series>
        <cx:series layoutId="boxWhisker" uniqueId="{0000000D-E094-4950-AC75-47AD24A373FA}" formatIdx="10">
          <cx:tx>
            <cx:txData>
              <cx:f>_xlchart.v1.12</cx:f>
              <cx:v>Networking Equipment</cx:v>
            </cx:txData>
          </cx:tx>
          <cx:spPr>
            <a:solidFill>
              <a:schemeClr val="accent1"/>
            </a:solidFill>
            <a:ln>
              <a:solidFill>
                <a:schemeClr val="tx1"/>
              </a:solidFill>
            </a:ln>
          </cx:spPr>
          <cx:dataId val="10"/>
          <cx:layoutPr>
            <cx:statistics quartileMethod="exclusive"/>
          </cx:layoutPr>
        </cx:series>
        <cx:series layoutId="boxWhisker" uniqueId="{0000000E-E094-4950-AC75-47AD24A373FA}" formatIdx="11">
          <cx:tx>
            <cx:txData>
              <cx:f>_xlchart.v1.13</cx:f>
              <cx:v>Semiconductor Equipment</cx:v>
            </cx:txData>
          </cx:tx>
          <cx:spPr>
            <a:solidFill>
              <a:schemeClr val="accent1"/>
            </a:solidFill>
            <a:ln>
              <a:solidFill>
                <a:schemeClr val="tx1"/>
              </a:solidFill>
            </a:ln>
          </cx:spPr>
          <cx:dataId val="11"/>
          <cx:layoutPr>
            <cx:statistics quartileMethod="exclusive"/>
          </cx:layoutPr>
        </cx:series>
        <cx:series layoutId="boxWhisker" uniqueId="{0000000F-E094-4950-AC75-47AD24A373FA}" formatIdx="12">
          <cx:tx>
            <cx:txData>
              <cx:f>_xlchart.v1.14</cx:f>
              <cx:v>Semiconductors</cx:v>
            </cx:txData>
          </cx:tx>
          <cx:spPr>
            <a:solidFill>
              <a:schemeClr val="accent1"/>
            </a:solidFill>
            <a:ln>
              <a:solidFill>
                <a:schemeClr val="tx1"/>
              </a:solidFill>
            </a:ln>
          </cx:spPr>
          <cx:dataId val="12"/>
          <cx:layoutPr>
            <cx:statistics quartileMethod="exclusive"/>
          </cx:layoutPr>
        </cx:series>
        <cx:series layoutId="boxWhisker" uniqueId="{00000010-E094-4950-AC75-47AD24A373FA}" formatIdx="13">
          <cx:tx>
            <cx:txData>
              <cx:f>_xlchart.v1.17</cx:f>
              <cx:v>Systems Software</cx:v>
            </cx:txData>
          </cx:tx>
          <cx:spPr>
            <a:solidFill>
              <a:schemeClr val="accent1"/>
            </a:solidFill>
            <a:ln>
              <a:solidFill>
                <a:schemeClr val="tx1"/>
              </a:solidFill>
            </a:ln>
          </cx:spPr>
          <cx:dataId val="13"/>
          <cx:layoutPr>
            <cx:statistics quartileMethod="exclusive"/>
          </cx:layoutPr>
        </cx:series>
        <cx:series layoutId="boxWhisker" uniqueId="{00000011-E094-4950-AC75-47AD24A373FA}" formatIdx="14">
          <cx:tx>
            <cx:txData>
              <cx:f>_xlchart.v1.18</cx:f>
              <cx:v>Technology Hardware, Storage &amp; Peripherals</cx:v>
            </cx:txData>
          </cx:tx>
          <cx:spPr>
            <a:solidFill>
              <a:schemeClr val="accent1"/>
            </a:solidFill>
            <a:ln>
              <a:solidFill>
                <a:schemeClr val="tx1"/>
              </a:solidFill>
            </a:ln>
          </cx:spPr>
          <cx:dataId val="14"/>
          <cx:layoutPr>
            <cx:statistics quartileMethod="exclusive"/>
          </cx:layoutPr>
        </cx:series>
        <cx:series layoutId="boxWhisker" uniqueId="{00000012-E094-4950-AC75-47AD24A373FA}" formatIdx="15">
          <cx:tx>
            <cx:txData>
              <cx:f>_xlchart.v1.19</cx:f>
              <cx:v>Telecommunications Equipment</cx:v>
            </cx:txData>
          </cx:tx>
          <cx:spPr>
            <a:solidFill>
              <a:schemeClr val="accent1"/>
            </a:solidFill>
            <a:ln>
              <a:solidFill>
                <a:schemeClr val="tx1"/>
              </a:solidFill>
            </a:ln>
          </cx:spPr>
          <cx:dataId val="15"/>
          <cx:layoutPr>
            <cx:statistics quartileMethod="exclusive"/>
          </cx:layoutPr>
        </cx:series>
        <cx:series layoutId="boxWhisker" uniqueId="{00000000-5FC2-4506-A085-B1113A42CD64}" formatIdx="16">
          <cx:tx>
            <cx:txData>
              <cx:f/>
              <cx:v>Grand Total</cx:v>
            </cx:txData>
          </cx:tx>
          <cx:spPr>
            <a:solidFill>
              <a:schemeClr val="tx1">
                <a:lumMod val="95000"/>
                <a:lumOff val="5000"/>
              </a:schemeClr>
            </a:solidFill>
            <a:ln>
              <a:solidFill>
                <a:schemeClr val="tx1">
                  <a:lumMod val="50000"/>
                  <a:lumOff val="50000"/>
                </a:schemeClr>
              </a:solidFill>
            </a:ln>
          </cx:spPr>
          <cx:dataId val="16"/>
          <cx:layoutPr>
            <cx:statistics quartileMethod="exclusive"/>
          </cx:layoutPr>
        </cx:series>
      </cx:plotAreaRegion>
      <cx:axis id="0" hidden="1">
        <cx:catScaling gapWidth="0"/>
        <cx:title>
          <cx:tx>
            <cx:txData>
              <cx:v>Sub Sectors</cx:v>
            </cx:txData>
          </cx:tx>
          <cx:txPr>
            <a:bodyPr spcFirstLastPara="1" vertOverflow="ellipsis" horzOverflow="overflow" wrap="square" lIns="0" tIns="0" rIns="0" bIns="0" anchor="ctr" anchorCtr="1"/>
            <a:lstStyle/>
            <a:p>
              <a:pPr algn="ctr" rtl="0">
                <a:defRPr/>
              </a:pPr>
              <a:r>
                <a:rPr lang="en-US" sz="1050" b="0" i="0" u="none" strike="noStrike" baseline="0">
                  <a:solidFill>
                    <a:sysClr val="windowText" lastClr="000000">
                      <a:lumMod val="65000"/>
                      <a:lumOff val="35000"/>
                    </a:sysClr>
                  </a:solidFill>
                  <a:latin typeface="Aptos Narrow" panose="02110004020202020204"/>
                </a:rPr>
                <a:t>Sub Sectors</a:t>
              </a:r>
            </a:p>
          </cx:txPr>
        </cx:title>
        <cx:tickLabels/>
      </cx:axis>
      <cx:axis id="1">
        <cx:valScaling/>
        <cx:title>
          <cx:tx>
            <cx:txData>
              <cx:v>Total Operating Expenditure</cx:v>
            </cx:txData>
          </cx:tx>
          <cx:txPr>
            <a:bodyPr spcFirstLastPara="1" vertOverflow="ellipsis" horzOverflow="overflow" wrap="square" lIns="0" tIns="0" rIns="0" bIns="0" anchor="ctr" anchorCtr="1"/>
            <a:lstStyle/>
            <a:p>
              <a:pPr algn="ctr" rtl="0">
                <a:defRPr sz="1050"/>
              </a:pPr>
              <a:r>
                <a:rPr lang="en-US" sz="1050" b="0" i="0" u="none" strike="noStrike" baseline="0">
                  <a:solidFill>
                    <a:sysClr val="windowText" lastClr="000000">
                      <a:lumMod val="65000"/>
                      <a:lumOff val="35000"/>
                    </a:sysClr>
                  </a:solidFill>
                  <a:latin typeface="Aptos Narrow" panose="02110004020202020204"/>
                </a:rPr>
                <a:t>Total Operating Expenditure</a:t>
              </a:r>
            </a:p>
          </cx:txPr>
        </cx:title>
        <cx:majorGridlines/>
        <cx:tickLabels/>
      </cx:axis>
    </cx:plotArea>
    <cx:legend pos="t" align="ctr" overlay="0">
      <cx:txPr>
        <a:bodyPr spcFirstLastPara="1" vertOverflow="ellipsis" horzOverflow="overflow" wrap="square" lIns="0" tIns="0" rIns="0" bIns="0" anchor="ctr" anchorCtr="1"/>
        <a:lstStyle/>
        <a:p>
          <a:pPr algn="ctr" rtl="0">
            <a:defRPr sz="1050" b="1"/>
          </a:pPr>
          <a:endParaRPr lang="en-US" sz="1050" b="1" i="0" u="none" strike="noStrike" baseline="0">
            <a:solidFill>
              <a:sysClr val="windowText" lastClr="000000">
                <a:lumMod val="65000"/>
                <a:lumOff val="35000"/>
              </a:sysClr>
            </a:solidFill>
            <a:latin typeface="Aptos Narrow" panose="02110004020202020204"/>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3" Type="http://schemas.microsoft.com/office/2014/relationships/chartEx" Target="../charts/chartEx2.xml"/><Relationship Id="rId2" Type="http://schemas.openxmlformats.org/officeDocument/2006/relationships/chart" Target="../charts/chart5.xml"/><Relationship Id="rId1" Type="http://schemas.openxmlformats.org/officeDocument/2006/relationships/chart" Target="../charts/chart4.xml"/><Relationship Id="rId5" Type="http://schemas.openxmlformats.org/officeDocument/2006/relationships/chart" Target="../charts/chart7.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microsoft.com/office/2014/relationships/chartEx" Target="../charts/chartEx3.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xdr:col>
      <xdr:colOff>14652</xdr:colOff>
      <xdr:row>30</xdr:row>
      <xdr:rowOff>6667</xdr:rowOff>
    </xdr:from>
    <xdr:to>
      <xdr:col>6</xdr:col>
      <xdr:colOff>11206</xdr:colOff>
      <xdr:row>69</xdr:row>
      <xdr:rowOff>22490</xdr:rowOff>
    </xdr:to>
    <xdr:graphicFrame macro="">
      <xdr:nvGraphicFramePr>
        <xdr:cNvPr id="2" name="Chart 1">
          <a:extLst>
            <a:ext uri="{FF2B5EF4-FFF2-40B4-BE49-F238E27FC236}">
              <a16:creationId xmlns:a16="http://schemas.microsoft.com/office/drawing/2014/main" id="{7B14CFE8-8F16-60FD-2E75-9BE14F628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156882</xdr:colOff>
      <xdr:row>30</xdr:row>
      <xdr:rowOff>1120</xdr:rowOff>
    </xdr:from>
    <xdr:to>
      <xdr:col>13</xdr:col>
      <xdr:colOff>899625</xdr:colOff>
      <xdr:row>70</xdr:row>
      <xdr:rowOff>0</xdr:rowOff>
    </xdr:to>
    <xdr:graphicFrame macro="">
      <xdr:nvGraphicFramePr>
        <xdr:cNvPr id="4" name="Chart 3">
          <a:extLst>
            <a:ext uri="{FF2B5EF4-FFF2-40B4-BE49-F238E27FC236}">
              <a16:creationId xmlns:a16="http://schemas.microsoft.com/office/drawing/2014/main" id="{7E5EF274-8DB3-99D6-1DB9-31B028E281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15</xdr:row>
      <xdr:rowOff>13604</xdr:rowOff>
    </xdr:from>
    <xdr:to>
      <xdr:col>10</xdr:col>
      <xdr:colOff>1</xdr:colOff>
      <xdr:row>49</xdr:row>
      <xdr:rowOff>23129</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5BA23355-2428-44B0-B42A-5812086FBB1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23825" y="3013979"/>
              <a:ext cx="8601076" cy="648652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13</xdr:col>
      <xdr:colOff>600074</xdr:colOff>
      <xdr:row>14</xdr:row>
      <xdr:rowOff>180974</xdr:rowOff>
    </xdr:from>
    <xdr:to>
      <xdr:col>22</xdr:col>
      <xdr:colOff>609599</xdr:colOff>
      <xdr:row>47</xdr:row>
      <xdr:rowOff>190499</xdr:rowOff>
    </xdr:to>
    <xdr:graphicFrame macro="">
      <xdr:nvGraphicFramePr>
        <xdr:cNvPr id="3" name="Chart 2">
          <a:extLst>
            <a:ext uri="{FF2B5EF4-FFF2-40B4-BE49-F238E27FC236}">
              <a16:creationId xmlns:a16="http://schemas.microsoft.com/office/drawing/2014/main" id="{4EC05C60-B064-4025-4AC3-7B896D8A19E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4291</xdr:colOff>
      <xdr:row>48</xdr:row>
      <xdr:rowOff>188462</xdr:rowOff>
    </xdr:from>
    <xdr:to>
      <xdr:col>10</xdr:col>
      <xdr:colOff>78250</xdr:colOff>
      <xdr:row>72</xdr:row>
      <xdr:rowOff>188462</xdr:rowOff>
    </xdr:to>
    <xdr:graphicFrame macro="">
      <xdr:nvGraphicFramePr>
        <xdr:cNvPr id="6" name="Chart 5">
          <a:extLst>
            <a:ext uri="{FF2B5EF4-FFF2-40B4-BE49-F238E27FC236}">
              <a16:creationId xmlns:a16="http://schemas.microsoft.com/office/drawing/2014/main" id="{D5C73F14-F743-7860-4B84-09EAF245C4B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1682</xdr:colOff>
      <xdr:row>25</xdr:row>
      <xdr:rowOff>3546</xdr:rowOff>
    </xdr:from>
    <xdr:to>
      <xdr:col>10</xdr:col>
      <xdr:colOff>75641</xdr:colOff>
      <xdr:row>49</xdr:row>
      <xdr:rowOff>3546</xdr:rowOff>
    </xdr:to>
    <xdr:graphicFrame macro="">
      <xdr:nvGraphicFramePr>
        <xdr:cNvPr id="2" name="Chart 1">
          <a:extLst>
            <a:ext uri="{FF2B5EF4-FFF2-40B4-BE49-F238E27FC236}">
              <a16:creationId xmlns:a16="http://schemas.microsoft.com/office/drawing/2014/main" id="{46D10FBF-243A-BFF8-26FA-A5A53C337D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14</xdr:row>
      <xdr:rowOff>1242</xdr:rowOff>
    </xdr:from>
    <xdr:to>
      <xdr:col>20</xdr:col>
      <xdr:colOff>1115785</xdr:colOff>
      <xdr:row>67</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7069CF7B-B2F6-468D-B4F1-909C98053E92}"/>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11182350" y="2782542"/>
              <a:ext cx="12145735" cy="1009525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xdr:col>
      <xdr:colOff>19355</xdr:colOff>
      <xdr:row>132</xdr:row>
      <xdr:rowOff>171144</xdr:rowOff>
    </xdr:from>
    <xdr:to>
      <xdr:col>17</xdr:col>
      <xdr:colOff>902581</xdr:colOff>
      <xdr:row>175</xdr:row>
      <xdr:rowOff>47879</xdr:rowOff>
    </xdr:to>
    <xdr:graphicFrame macro="">
      <xdr:nvGraphicFramePr>
        <xdr:cNvPr id="7" name="Chart 6">
          <a:extLst>
            <a:ext uri="{FF2B5EF4-FFF2-40B4-BE49-F238E27FC236}">
              <a16:creationId xmlns:a16="http://schemas.microsoft.com/office/drawing/2014/main" id="{3587AD7F-579F-4DD1-8A88-325255AADC6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73</xdr:row>
      <xdr:rowOff>38100</xdr:rowOff>
    </xdr:from>
    <xdr:to>
      <xdr:col>10</xdr:col>
      <xdr:colOff>73959</xdr:colOff>
      <xdr:row>97</xdr:row>
      <xdr:rowOff>38100</xdr:rowOff>
    </xdr:to>
    <xdr:graphicFrame macro="">
      <xdr:nvGraphicFramePr>
        <xdr:cNvPr id="4" name="Chart 3">
          <a:extLst>
            <a:ext uri="{FF2B5EF4-FFF2-40B4-BE49-F238E27FC236}">
              <a16:creationId xmlns:a16="http://schemas.microsoft.com/office/drawing/2014/main" id="{1BEE855E-81F0-4732-90CC-BED73814C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4762</xdr:colOff>
      <xdr:row>13</xdr:row>
      <xdr:rowOff>4761</xdr:rowOff>
    </xdr:from>
    <xdr:to>
      <xdr:col>8</xdr:col>
      <xdr:colOff>0</xdr:colOff>
      <xdr:row>29</xdr:row>
      <xdr:rowOff>9524</xdr:rowOff>
    </xdr:to>
    <xdr:graphicFrame macro="">
      <xdr:nvGraphicFramePr>
        <xdr:cNvPr id="2" name="Chart 1">
          <a:extLst>
            <a:ext uri="{FF2B5EF4-FFF2-40B4-BE49-F238E27FC236}">
              <a16:creationId xmlns:a16="http://schemas.microsoft.com/office/drawing/2014/main" id="{1BF09F7B-7D2C-8615-1CE9-88EBB65A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9525</xdr:colOff>
      <xdr:row>3</xdr:row>
      <xdr:rowOff>9522</xdr:rowOff>
    </xdr:from>
    <xdr:to>
      <xdr:col>7</xdr:col>
      <xdr:colOff>1933575</xdr:colOff>
      <xdr:row>29</xdr:row>
      <xdr:rowOff>0</xdr:rowOff>
    </xdr:to>
    <xdr:graphicFrame macro="">
      <xdr:nvGraphicFramePr>
        <xdr:cNvPr id="2" name="Chart 1">
          <a:extLst>
            <a:ext uri="{FF2B5EF4-FFF2-40B4-BE49-F238E27FC236}">
              <a16:creationId xmlns:a16="http://schemas.microsoft.com/office/drawing/2014/main" id="{E8E7F9E7-9450-AC7F-5A3F-F04F032C48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31</xdr:row>
      <xdr:rowOff>0</xdr:rowOff>
    </xdr:from>
    <xdr:to>
      <xdr:col>13</xdr:col>
      <xdr:colOff>200025</xdr:colOff>
      <xdr:row>80</xdr:row>
      <xdr:rowOff>0</xdr:rowOff>
    </xdr:to>
    <xdr:graphicFrame macro="">
      <xdr:nvGraphicFramePr>
        <xdr:cNvPr id="2" name="Chart 1">
          <a:extLst>
            <a:ext uri="{FF2B5EF4-FFF2-40B4-BE49-F238E27FC236}">
              <a16:creationId xmlns:a16="http://schemas.microsoft.com/office/drawing/2014/main" id="{FEC0BE04-CB14-3892-5AEA-73AFD166C5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109</xdr:row>
      <xdr:rowOff>13607</xdr:rowOff>
    </xdr:from>
    <xdr:to>
      <xdr:col>10</xdr:col>
      <xdr:colOff>0</xdr:colOff>
      <xdr:row>155</xdr:row>
      <xdr:rowOff>13607</xdr:rowOff>
    </xdr:to>
    <mc:AlternateContent xmlns:mc="http://schemas.openxmlformats.org/markup-compatibility/2006">
      <mc:Choice xmlns:cx1="http://schemas.microsoft.com/office/drawing/2015/9/8/chartex" Requires="cx1">
        <xdr:graphicFrame macro="">
          <xdr:nvGraphicFramePr>
            <xdr:cNvPr id="3" name="Chart 2">
              <a:extLst>
                <a:ext uri="{FF2B5EF4-FFF2-40B4-BE49-F238E27FC236}">
                  <a16:creationId xmlns:a16="http://schemas.microsoft.com/office/drawing/2014/main" id="{0E31CDD8-D9D2-4361-A4A5-569435887861}"/>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200025" y="22664057"/>
              <a:ext cx="15916275" cy="87630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28.483703587961" createdVersion="8" refreshedVersion="8" minRefreshableVersion="3" recordCount="1710" xr:uid="{673B94E0-B9F4-4CF0-8319-B9759A3869EA}">
  <cacheSource type="worksheet">
    <worksheetSource ref="A1:J1711" sheet="projectdata-nyse"/>
  </cacheSource>
  <cacheFields count="10">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ount="4">
        <s v="Year 1"/>
        <s v="Year 2"/>
        <s v="Year 3"/>
        <s v="Year 4"/>
      </sharedItems>
    </cacheField>
    <cacheField name="Period Ending" numFmtId="14">
      <sharedItems containsSemiMixedTypes="0" containsNonDate="0" containsDate="1" containsString="0" minDate="2003-06-30T00:00:00" maxDate="2017-01-02T00:00:00"/>
    </cacheField>
    <cacheField name=" Total Revenue " numFmtId="164">
      <sharedItems containsSemiMixedTypes="0" containsString="0" containsNumber="1" containsInteger="1" minValue="1514000" maxValue="485651000000" count="1690">
        <n v="24855000000"/>
        <n v="26743000000"/>
        <n v="42650000000"/>
        <n v="40990000000"/>
        <n v="6205003000"/>
        <n v="6493814000"/>
        <n v="9843861000"/>
        <n v="9737018000"/>
        <n v="170910000000"/>
        <n v="182795000000"/>
        <n v="233715000000"/>
        <n v="215639000000"/>
        <n v="18380000000"/>
        <n v="18790000000"/>
        <n v="19960000000"/>
        <n v="22859000000"/>
        <n v="87959167000"/>
        <n v="119569127000"/>
        <n v="135961803000"/>
        <n v="146849686000"/>
        <n v="19050000000"/>
        <n v="19657000000"/>
        <n v="20247000000"/>
        <n v="20405000000"/>
        <n v="4055240000"/>
        <n v="4147065000"/>
        <n v="4795511000"/>
        <n v="5854430000"/>
        <n v="2633689000"/>
        <n v="2864773000"/>
        <n v="3435092000"/>
        <n v="3421409000"/>
        <n v="90559000000"/>
        <n v="89804000000"/>
        <n v="81201000000"/>
        <n v="67702000000"/>
        <n v="3641390000"/>
        <n v="4319063000"/>
        <n v="5302940000"/>
        <n v="6439746000"/>
        <n v="2312200000"/>
        <n v="2273900000"/>
        <n v="2512200000"/>
        <n v="2504100000"/>
        <n v="5781000000"/>
        <n v="5838000000"/>
        <n v="6053000000"/>
        <n v="6098000000"/>
        <n v="14945000000"/>
        <n v="14813500000"/>
        <n v="16378600000"/>
        <n v="16453200000"/>
        <n v="25364000000"/>
        <n v="23939000000"/>
        <n v="22728000000"/>
        <n v="20872000000"/>
        <n v="71214000000"/>
        <n v="68874000000"/>
        <n v="64406000000"/>
        <n v="58327000000"/>
        <n v="958511000"/>
        <n v="974053000"/>
        <n v="984363000"/>
        <n v="981310000"/>
        <n v="9047657000"/>
        <n v="10381653000"/>
        <n v="10325494000"/>
        <n v="7531780000"/>
        <n v="1373947000"/>
        <n v="1577922000"/>
        <n v="1963874000"/>
        <n v="2197448000"/>
        <n v="2519154000"/>
        <n v="2394270000"/>
        <n v="2445548000"/>
        <n v="3651335000"/>
        <n v="4657000000"/>
        <n v="5156000000"/>
        <n v="5368000000"/>
        <n v="5598000000"/>
        <n v="33315000000"/>
        <n v="34507000000"/>
        <n v="35239000000"/>
        <n v="35653000000"/>
        <n v="2069600000"/>
        <n v="2118300000"/>
        <n v="2068100000"/>
        <n v="2238000000"/>
        <n v="1551346000"/>
        <n v="2234000000"/>
        <n v="2604000000"/>
        <n v="3084000000"/>
        <n v="7509000000"/>
        <n v="9072000000"/>
        <n v="9659000000"/>
        <n v="10825000000"/>
        <n v="3334213000"/>
        <n v="3594136000"/>
        <n v="4021964000"/>
        <n v="3974295000"/>
        <n v="18676000000"/>
        <n v="20063000000"/>
        <n v="21662000000"/>
        <n v="22991000000"/>
        <n v="10259000000"/>
        <n v="11230000000"/>
        <n v="12296000000"/>
        <n v="12200000000"/>
        <n v="2875960000"/>
        <n v="3361407000"/>
        <n v="4100048000"/>
        <n v="4771516000"/>
        <n v="74452000000"/>
        <n v="88988000000"/>
        <n v="107006000000"/>
        <n v="135987000000"/>
        <n v="17517600000"/>
        <n v="19108800000"/>
        <n v="20862000000"/>
        <n v="21609000000"/>
        <n v="61497200000"/>
        <n v="71023500000"/>
        <n v="73874100000"/>
        <n v="79156500000"/>
        <n v="16428000000"/>
        <n v="14771000000"/>
        <n v="12691000000"/>
        <n v="6383000000"/>
        <n v="14581000000"/>
        <n v="18470000000"/>
        <n v="8698000000"/>
        <n v="7869000000"/>
        <n v="10180400000"/>
        <n v="10439000000"/>
        <n v="9894900000"/>
        <n v="9524400000"/>
        <n v="4292100000"/>
        <n v="4614700000"/>
        <n v="5345500000"/>
        <n v="5568700000"/>
        <n v="23700000000"/>
        <n v="23032000000"/>
        <n v="23906000000"/>
        <n v="22534000000"/>
        <n v="4856000000"/>
        <n v="4583000000"/>
        <n v="4408000000"/>
        <n v="4664000000"/>
        <n v="6824000000"/>
        <n v="13240000000"/>
        <n v="5863500000"/>
        <n v="6140000000"/>
        <n v="6330300000"/>
        <n v="5966900000"/>
        <n v="2853926000"/>
        <n v="2879000000"/>
        <n v="3011000000"/>
        <n v="3159000000"/>
        <n v="33781000000"/>
        <n v="34828000000"/>
        <n v="35895000000"/>
        <n v="34441000000"/>
        <n v="2089100000"/>
        <n v="2393500000"/>
        <n v="2706700000"/>
        <n v="3291300000"/>
        <n v="9147530000"/>
        <n v="9475313000"/>
        <n v="10187340000"/>
        <n v="10635676000"/>
        <n v="86623000000"/>
        <n v="90762000000"/>
        <n v="96114000000"/>
        <n v="94571000000"/>
        <n v="100078000000"/>
        <n v="101697000000"/>
        <n v="95181000000"/>
        <n v="93056000000"/>
        <n v="13936000000"/>
        <n v="9413000000"/>
        <n v="10719000000"/>
        <n v="9968000000"/>
        <n v="10914585000"/>
        <n v="11503963000"/>
        <n v="11881176000"/>
        <n v="12103887000"/>
        <n v="10737000000"/>
        <n v="10543000000"/>
        <n v="9998000000"/>
        <n v="10346000000"/>
        <n v="45457000000"/>
        <n v="40611000000"/>
        <n v="40339000000"/>
        <n v="39528000000"/>
        <n v="3049500000"/>
        <n v="3323600000"/>
        <n v="3416000000"/>
        <n v="3714000000"/>
        <n v="8054000000"/>
        <n v="8446000000"/>
        <n v="10282000000"/>
        <n v="12483000000"/>
        <n v="22364000000"/>
        <n v="24551000000"/>
        <n v="15742000000"/>
        <n v="9841000000"/>
        <n v="6932200000"/>
        <n v="9703300000"/>
        <n v="10763800000"/>
        <n v="11448800000"/>
        <n v="8735700000"/>
        <n v="8468100000"/>
        <n v="8570000000"/>
        <n v="7997000000"/>
        <n v="17621000000"/>
        <n v="16385000000"/>
        <n v="15879000000"/>
        <n v="16560000000"/>
        <n v="7249000000"/>
        <n v="7143000000"/>
        <n v="7380000000"/>
        <n v="7477000000"/>
        <n v="7436600000"/>
        <n v="8305100000"/>
        <n v="8023200000"/>
        <n v="9071000000"/>
        <n v="1847186000"/>
        <n v="2135539000"/>
        <n v="2396998000"/>
        <n v="2490821000"/>
        <n v="13469300000"/>
        <n v="11838200000"/>
        <n v="11937000000"/>
        <n v="11642900000"/>
        <n v="101093000000"/>
        <n v="91084000000"/>
        <n v="102531000000"/>
        <n v="121546000000"/>
        <n v="55656000000"/>
        <n v="55184000000"/>
        <n v="47011000000"/>
        <n v="38537000000"/>
        <n v="17936000000"/>
        <n v="19261000000"/>
        <n v="19171000000"/>
        <n v="18987000000"/>
        <n v="6514099000"/>
        <n v="7184794000"/>
        <n v="9049918000"/>
        <n v="10855810000"/>
        <n v="2432680000"/>
        <n v="2865751000"/>
        <n v="3538756000"/>
        <n v="3663851000"/>
        <n v="15456000000"/>
        <n v="15884000000"/>
        <n v="15714000000"/>
        <n v="16389000000"/>
        <n v="6493900000"/>
        <n v="7670400000"/>
        <n v="9256000000"/>
        <n v="11229200000"/>
        <n v="2910748000"/>
        <n v="3402703000"/>
        <n v="4425267000"/>
        <n v="4796473000"/>
        <n v="6104000000"/>
        <n v="5474700000"/>
        <n v="4743200000"/>
        <n v="4308300000"/>
        <n v="5513000000"/>
        <n v="5133000000"/>
        <n v="5342000000"/>
        <n v="5276000000"/>
        <n v="2921900000"/>
        <n v="3194300000"/>
        <n v="3297600000"/>
        <n v="3394800000"/>
        <n v="12316000000"/>
        <n v="19080000000"/>
        <n v="23125000000"/>
        <n v="12764000000"/>
        <n v="11359113000"/>
        <n v="12752076000"/>
        <n v="13470067000"/>
        <n v="13476084000"/>
        <n v="8155000000"/>
        <n v="9108000000"/>
        <n v="9754000000"/>
        <n v="29003000000"/>
        <n v="29119000000"/>
        <n v="32380000000"/>
        <n v="34914000000"/>
        <n v="37876000000"/>
        <n v="4111000000"/>
        <n v="4531000000"/>
        <n v="4945000000"/>
        <n v="5142000000"/>
        <n v="17085000000"/>
        <n v="17420000000"/>
        <n v="17277000000"/>
        <n v="16034000000"/>
        <n v="5533000000"/>
        <n v="5514000000"/>
        <n v="5655000000"/>
        <n v="5761000000"/>
        <n v="2666000000"/>
        <n v="2607000000"/>
        <n v="2819000000"/>
        <n v="2960000000"/>
        <n v="3214591000"/>
        <n v="4108269000"/>
        <n v="4501223000"/>
        <n v="3904384000"/>
        <n v="17301000000"/>
        <n v="19221000000"/>
        <n v="19110000000"/>
        <n v="17509000000"/>
        <n v="6566000000"/>
        <n v="7179000000"/>
        <n v="6456000000"/>
        <n v="6399000000"/>
        <n v="8110000000"/>
        <n v="10863000000"/>
        <n v="22760000000"/>
        <n v="7452000000"/>
        <n v="8106000000"/>
        <n v="9226000000"/>
        <n v="7386000000"/>
        <n v="23771000000"/>
        <n v="24176000000"/>
        <n v="23869000000"/>
        <n v="25038000000"/>
        <n v="1204546000"/>
        <n v="1746278000"/>
        <n v="2173011000"/>
        <n v="1357150000"/>
        <n v="4474000000"/>
        <n v="4979000000"/>
        <n v="5244000000"/>
        <n v="5259000000"/>
        <n v="1587725000"/>
        <n v="1717776000"/>
        <n v="1797060000"/>
        <n v="1966814000"/>
        <n v="105156000000"/>
        <n v="112640000000"/>
        <n v="116199000000"/>
        <n v="118719000000"/>
        <n v="1577000"/>
        <n v="1514000"/>
        <n v="79562000"/>
        <n v="99642000"/>
        <n v="8052000000"/>
        <n v="8268000000"/>
        <n v="8082000000"/>
        <n v="7961000000"/>
        <n v="3050195000"/>
        <n v="4071003000"/>
        <n v="5373586000"/>
        <n v="6667216000"/>
        <n v="48607000000"/>
        <n v="47142000000"/>
        <n v="49161000000"/>
        <n v="49247000000"/>
        <n v="4069746000"/>
        <n v="4250447000"/>
        <n v="12026000000"/>
        <n v="12669000000"/>
        <n v="11811000000"/>
        <n v="11069000000"/>
        <n v="4245964000"/>
        <n v="4193844000"/>
        <n v="4476886000"/>
        <n v="4905458000"/>
        <n v="18376000000"/>
        <n v="18095000000"/>
        <n v="18031000000"/>
        <n v="17900000000"/>
        <n v="7346472000"/>
        <n v="8843200000"/>
        <n v="10262700000"/>
        <n v="12416000000"/>
        <n v="2918434000"/>
        <n v="3142856000"/>
        <n v="3275594000"/>
        <n v="3418265000"/>
        <n v="126761000000"/>
        <n v="139367000000"/>
        <n v="153290000000"/>
        <n v="177526000000"/>
        <n v="230590000000"/>
        <n v="220156000000"/>
        <n v="200494000000"/>
        <n v="129925000000"/>
        <n v="1819814000"/>
        <n v="2319919000"/>
        <n v="2660147000"/>
        <n v="1803573000"/>
        <n v="12835000000"/>
        <n v="13120000000"/>
        <n v="12436000000"/>
        <n v="11683000000"/>
        <n v="37773000000"/>
        <n v="40362000000"/>
        <n v="40704000000"/>
        <n v="39639000000"/>
        <n v="28998000000"/>
        <n v="28406000000"/>
        <n v="25130000000"/>
        <n v="24594000000"/>
        <n v="37795400000"/>
        <n v="36066900000"/>
        <n v="28862800000"/>
        <n v="26644000000"/>
        <n v="8984000000"/>
        <n v="9370000000"/>
        <n v="9611000000"/>
        <n v="10002000000"/>
        <n v="16022128000"/>
        <n v="17504167000"/>
        <n v="18909588000"/>
        <n v="20368562000"/>
        <n v="7383000000"/>
        <n v="7146000000"/>
        <n v="7435000000"/>
        <n v="7493000000"/>
        <n v="6259300000"/>
        <n v="8024900000"/>
        <n v="10824000000"/>
        <n v="12157400000"/>
        <n v="18260400000"/>
        <n v="18283100000"/>
        <n v="19154000000"/>
        <n v="20563100000"/>
        <n v="45041000000"/>
        <n v="48813000000"/>
        <n v="52465000000"/>
        <n v="55632000000"/>
        <n v="5535000000"/>
        <n v="6265000000"/>
        <n v="6394000000"/>
        <n v="6497000000"/>
        <n v="15051000000"/>
        <n v="15499000000"/>
        <n v="15165000000"/>
        <n v="16661000000"/>
        <n v="1279067000"/>
        <n v="1482259000"/>
        <n v="1616438000"/>
        <n v="1763336000"/>
        <n v="7394500000"/>
        <n v="7840300000"/>
        <n v="8602200000"/>
        <n v="15498400000"/>
        <n v="1663000000"/>
        <n v="1558400000"/>
        <n v="1584500000"/>
        <n v="1637100000"/>
        <n v="7155096000"/>
        <n v="7752728000"/>
        <n v="6956311000"/>
        <n v="6794342000"/>
        <n v="5997000000"/>
        <n v="6121000000"/>
        <n v="6282000000"/>
        <n v="6440000000"/>
        <n v="5921000000"/>
        <n v="6285600000"/>
        <n v="6764000000"/>
        <n v="6933500000"/>
        <n v="17912000000"/>
        <n v="22756000000"/>
        <n v="23925000000"/>
        <n v="23459000000"/>
        <n v="8186280000"/>
        <n v="11764050000"/>
        <n v="12795106000"/>
        <n v="13781837000"/>
        <n v="10397000000"/>
        <n v="20638000000"/>
        <n v="13145000000"/>
        <n v="12197000000"/>
        <n v="3797000000"/>
        <n v="3575000000"/>
        <n v="4515000000"/>
        <n v="4396000000"/>
        <n v="8257000000"/>
        <n v="8790000000"/>
        <n v="8592000000"/>
        <n v="8979000000"/>
        <n v="11838700000"/>
        <n v="13253400000"/>
        <n v="14280500000"/>
        <n v="13545100000"/>
        <n v="12354000000"/>
        <n v="12919000000"/>
        <n v="12554000000"/>
        <n v="12075000000"/>
        <n v="2073000000"/>
        <n v="2303900000"/>
        <n v="2436400000"/>
        <n v="2663600000"/>
        <n v="11862000000"/>
        <n v="12581000000"/>
        <n v="13413000000"/>
        <n v="11524000000"/>
        <n v="10181700000"/>
        <n v="10968800000"/>
        <n v="10780400000"/>
        <n v="11262300000"/>
        <n v="8102000000"/>
        <n v="9350000000"/>
        <n v="9527000000"/>
        <n v="9648000000"/>
        <n v="24669000000"/>
        <n v="17733000000"/>
        <n v="16249000000"/>
        <n v="14522000000"/>
        <n v="11682636000"/>
        <n v="14487118000"/>
        <n v="18035340000"/>
        <n v="8757428000"/>
        <n v="1887376000"/>
        <n v="2152766000"/>
        <n v="2443776000"/>
        <n v="2725867000"/>
        <n v="1747502000"/>
        <n v="2387702000"/>
        <n v="2614748000"/>
        <n v="2744965000"/>
        <n v="1859177000"/>
        <n v="2388768000"/>
        <n v="1954000000"/>
        <n v="1857339000"/>
        <n v="6273787000"/>
        <n v="7301204000"/>
        <n v="7741856000"/>
        <n v="7954827000"/>
        <n v="535153000"/>
        <n v="610590000"/>
        <n v="970938000"/>
        <n v="1194407000"/>
        <n v="1365000000"/>
        <n v="1466000000"/>
        <n v="1665000000"/>
        <n v="1403000000"/>
        <n v="16311000000"/>
        <n v="22046000000"/>
        <n v="22552000000"/>
        <n v="20855000000"/>
        <n v="10302079000"/>
        <n v="11390947000"/>
        <n v="12494921000"/>
        <n v="11513251000"/>
        <n v="1899600000"/>
        <n v="2045500000"/>
        <n v="2322900000"/>
        <n v="2493700000"/>
        <n v="24888000000"/>
        <n v="27429000000"/>
        <n v="29447000000"/>
        <n v="31360000000"/>
        <n v="5992215000"/>
        <n v="6080257000"/>
        <n v="6564721000"/>
        <n v="6616632000"/>
        <n v="4771259000"/>
        <n v="5763485000"/>
        <n v="6672317000"/>
        <n v="8773564000"/>
        <n v="409396000"/>
        <n v="520613000"/>
        <n v="647155000"/>
        <n v="782270000"/>
        <n v="146917000000"/>
        <n v="144077000000"/>
        <n v="149558000000"/>
        <n v="151800000000"/>
        <n v="3326106000"/>
        <n v="3733507000"/>
        <n v="3869187000"/>
        <n v="3962036000"/>
        <n v="7872000000"/>
        <n v="12466000000"/>
        <n v="17928000000"/>
        <n v="27638000000"/>
        <n v="3134800000"/>
        <n v="3703600000"/>
        <n v="4013600000"/>
        <n v="4579400000"/>
        <n v="18010000000"/>
        <n v="20921000000"/>
        <n v="21438000000"/>
        <n v="15877000000"/>
        <n v="44287000000"/>
        <n v="45567000000"/>
        <n v="47453000000"/>
        <n v="50365000000"/>
        <n v="15255000000"/>
        <n v="14892000000"/>
        <n v="15049000000"/>
        <n v="15026000000"/>
        <n v="1481314000"/>
        <n v="1732046000"/>
        <n v="1919823000"/>
        <n v="1995034000"/>
        <n v="5795800000"/>
        <n v="6063400000"/>
        <n v="6413800000"/>
        <n v="6595200000"/>
        <n v="4436000000"/>
        <n v="4814000000"/>
        <n v="5066000000"/>
        <n v="5254000000"/>
        <n v="6182000000"/>
        <n v="6505000000"/>
        <n v="7151000000"/>
        <n v="7412000000"/>
        <n v="1405358000"/>
        <n v="1496372000"/>
        <n v="1530654000"/>
        <n v="1557067000"/>
        <n v="27351573000"/>
        <n v="21531577000"/>
        <n v="18114048000"/>
        <n v="19036525000"/>
        <n v="4954619000"/>
        <n v="4877885000"/>
        <n v="4561030000"/>
        <n v="3991462000"/>
        <n v="3409900000"/>
        <n v="3130700000"/>
        <n v="3258700000"/>
        <n v="3276500000"/>
        <n v="637413000"/>
        <n v="686090000"/>
        <n v="744012000"/>
        <n v="801591000"/>
        <n v="3368545000"/>
        <n v="3309616000"/>
        <n v="3391187000"/>
        <n v="3578995000"/>
        <n v="5011853000"/>
        <n v="4762000000"/>
        <n v="4772000000"/>
        <n v="5576000000"/>
        <n v="30930000000"/>
        <n v="30852000000"/>
        <n v="31469000000"/>
        <n v="31353000000"/>
        <n v="2426301000"/>
        <n v="2486017000"/>
        <n v="2535559000"/>
        <n v="2403906000"/>
        <n v="9702000000"/>
        <n v="11202000000"/>
        <n v="24890000000"/>
        <n v="32639000000"/>
        <n v="17774100000"/>
        <n v="17909600000"/>
        <n v="17630300000"/>
        <n v="16563100000"/>
        <n v="7819000000"/>
        <n v="9715000000"/>
        <n v="9111000000"/>
        <n v="9390000000"/>
        <n v="155427000000"/>
        <n v="155929000000"/>
        <n v="152356000000"/>
        <n v="166380000000"/>
        <n v="13013868000"/>
        <n v="14077843000"/>
        <n v="15341647000"/>
        <n v="15280044000"/>
        <n v="2375923000"/>
        <n v="2554236000"/>
        <n v="2773718000"/>
        <n v="2898150000"/>
        <n v="15651000000"/>
        <n v="16148000000"/>
        <n v="16435000000"/>
        <n v="15797000000"/>
        <n v="2715675000"/>
        <n v="2631851000"/>
        <n v="2870658000"/>
        <n v="2820270000"/>
        <n v="19540000000"/>
        <n v="18138000000"/>
        <n v="16443000000"/>
        <n v="15158000000"/>
        <n v="8950045000"/>
        <n v="9437758000"/>
        <n v="9964953000"/>
        <n v="9973384000"/>
        <n v="29402000000"/>
        <n v="32870000000"/>
        <n v="23633000000"/>
        <n v="15887000000"/>
        <n v="4297842000"/>
        <n v="5348483000"/>
        <n v="6155297000"/>
        <n v="6911676000"/>
        <n v="4088983000"/>
        <n v="4082157000"/>
        <n v="4277207000"/>
        <n v="4447509000"/>
        <n v="3036584000"/>
        <n v="2872833000"/>
        <n v="2955641000"/>
        <n v="3153251000"/>
        <n v="4627802000"/>
        <n v="5324746000"/>
        <n v="5731549000"/>
        <n v="6028199000"/>
        <n v="33013000000"/>
        <n v="34182000000"/>
        <n v="36918000000"/>
        <n v="39678000000"/>
        <n v="1765979000"/>
        <n v="2847945000"/>
        <n v="3305879000"/>
        <n v="3775685000"/>
        <n v="2013719000"/>
        <n v="1563210000"/>
        <n v="1828305000"/>
        <n v="2040486000"/>
        <n v="74754000000"/>
        <n v="78812000000"/>
        <n v="83176000000"/>
        <n v="88519000000"/>
        <n v="12245000000"/>
        <n v="11905000000"/>
        <n v="6636000000"/>
        <n v="22086000000"/>
        <n v="20673000000"/>
        <n v="18614000000"/>
        <n v="18377000000"/>
        <n v="5580506000"/>
        <n v="5899872000"/>
        <n v="6228508000"/>
        <n v="5995402000"/>
        <n v="2492300000"/>
        <n v="2530700000"/>
        <n v="2705000000"/>
        <n v="2832700000"/>
        <n v="39055000000"/>
        <n v="40306000000"/>
        <n v="38581000000"/>
        <n v="39302000000"/>
        <n v="3387614000"/>
        <n v="3715968000"/>
        <n v="3161702000"/>
        <n v="1624232000"/>
        <n v="55123000000"/>
        <n v="52107000000"/>
        <n v="50123000000"/>
        <n v="112298000000"/>
        <n v="56651000000"/>
        <n v="51463000000"/>
        <n v="48238000000"/>
        <n v="2807114000"/>
        <n v="3024295000"/>
        <n v="3078658000"/>
        <n v="3038153000"/>
        <n v="8751654000"/>
        <n v="9316256000"/>
        <n v="9263863000"/>
        <n v="9523224000"/>
        <n v="5112000000"/>
        <n v="5012000000"/>
        <n v="5083000000"/>
        <n v="7467000000"/>
        <n v="8939967000"/>
        <n v="9560647000"/>
        <n v="10371390000"/>
        <n v="10629719000"/>
        <n v="5059000000"/>
        <n v="5166000000"/>
        <n v="5354000000"/>
        <n v="5387000000"/>
        <n v="6644252000"/>
        <n v="7146079000"/>
        <n v="7421768000"/>
        <n v="7386626000"/>
        <n v="41313000000"/>
        <n v="48500000000"/>
        <n v="54289000000"/>
        <n v="54379000000"/>
        <n v="102874000000"/>
        <n v="98367000000"/>
        <n v="92793000000"/>
        <n v="81741000000"/>
        <n v="1293338000"/>
        <n v="1377058000"/>
        <n v="1485807000"/>
        <n v="1601892000"/>
        <n v="2821446000"/>
        <n v="2952896000"/>
        <n v="3088533000"/>
        <n v="3023189000"/>
        <n v="1421178000"/>
        <n v="1861358000"/>
        <n v="2219762000"/>
        <n v="2398373000"/>
        <n v="52708000000"/>
        <n v="55870000000"/>
        <n v="55355000000"/>
        <n v="59387000000"/>
        <n v="3946000000"/>
        <n v="4243000000"/>
        <n v="4192000000"/>
        <n v="4694000000"/>
        <n v="21852000000"/>
        <n v="23483000000"/>
        <n v="23617000000"/>
        <n v="22365000000"/>
        <n v="6956200000"/>
        <n v="7122300000"/>
        <n v="7537100000"/>
        <n v="7613800000"/>
        <n v="3003955000"/>
        <n v="3024623000"/>
        <n v="3117693000"/>
        <n v="3007976000"/>
        <n v="2265100000"/>
        <n v="2131700000"/>
        <n v="2384400000"/>
        <n v="2704400000"/>
        <n v="14135000000"/>
        <n v="14484000000"/>
        <n v="13405000000"/>
        <n v="13599000000"/>
        <n v="4050400000"/>
        <n v="4644600000"/>
        <n v="5147100000"/>
        <n v="5122900000"/>
        <n v="5054980000"/>
        <n v="5584571000"/>
        <n v="6165441000"/>
        <n v="6187646000"/>
        <n v="11818376000"/>
        <n v="12695157000"/>
        <n v="12114832000"/>
        <n v="10964157000"/>
        <n v="4365400000"/>
        <n v="4669100000"/>
        <n v="4627100000"/>
        <n v="4857800000"/>
        <n v="93646000000"/>
        <n v="97142000000"/>
        <n v="91973000000"/>
        <n v="89716000000"/>
        <n v="12134000000"/>
        <n v="12540000000"/>
        <n v="13506000000"/>
        <n v="14437000000"/>
        <n v="14197000000"/>
        <n v="14792000000"/>
        <n v="14580000000"/>
        <n v="13525000000"/>
        <n v="1287577000"/>
        <n v="1463767000"/>
        <n v="1627413000"/>
        <n v="1822114000"/>
        <n v="793373000"/>
        <n v="861527000"/>
        <n v="993897000"/>
        <n v="1166769000"/>
        <n v="2842781000"/>
        <n v="2929408000"/>
        <n v="2814049000"/>
        <n v="2984493000"/>
        <n v="19561000000"/>
        <n v="19724000000"/>
        <n v="18591000000"/>
        <n v="18202000000"/>
        <n v="14070000000"/>
        <n v="16226000000"/>
        <n v="14403000000"/>
        <n v="13058000000"/>
        <n v="10962818000"/>
        <n v="12574299000"/>
        <n v="14268716000"/>
        <n v="15149675000"/>
        <n v="48017000000"/>
        <n v="46854000000"/>
        <n v="45998000000"/>
        <n v="44294000000"/>
        <n v="2181732000"/>
        <n v="3310800000"/>
        <n v="4371500000"/>
        <n v="4712100000"/>
        <n v="96619000000"/>
        <n v="98375000000"/>
        <n v="108465000000"/>
        <n v="109830000000"/>
        <n v="19279000000"/>
        <n v="19031000000"/>
        <n v="19023000000"/>
        <n v="19204000000"/>
        <n v="2369300000"/>
        <n v="2577100000"/>
        <n v="2418800000"/>
        <n v="2334200000"/>
        <n v="10459000000"/>
        <n v="10773000000"/>
        <n v="11454000000"/>
        <n v="12154000000"/>
        <n v="3414500000"/>
        <n v="3477200000"/>
        <n v="3782300000"/>
        <n v="3917200000"/>
        <n v="5935095000"/>
        <n v="7779812000"/>
        <n v="9474008000"/>
        <n v="10949999000"/>
        <n v="5671400000"/>
        <n v="5808300000"/>
        <n v="6011600000"/>
        <n v="8680100000"/>
        <n v="4122930000"/>
        <n v="5062528000"/>
        <n v="6740064000"/>
        <n v="7192633000"/>
        <n v="13107000000"/>
        <n v="11420000000"/>
        <n v="10986000000"/>
        <n v="10466000000"/>
        <n v="1282236000"/>
        <n v="1388386000"/>
        <n v="1475139000"/>
        <n v="1423936000"/>
        <n v="22603400000"/>
        <n v="23113100000"/>
        <n v="19615600000"/>
        <n v="19958700000"/>
        <n v="45358000000"/>
        <n v="39946000000"/>
        <n v="40536000000"/>
        <n v="47248000000"/>
        <n v="3094500000"/>
        <n v="3276800000"/>
        <n v="3350300000"/>
        <n v="3253600000"/>
        <n v="50521000000"/>
        <n v="53417000000"/>
        <n v="56223000000"/>
        <n v="59074000000"/>
        <n v="3598916000"/>
        <n v="4607309000"/>
        <n v="5259312000"/>
        <n v="5885893000"/>
        <n v="7810610000"/>
        <n v="9531778000"/>
        <n v="10681897000"/>
        <n v="10116502000"/>
        <n v="17699000000"/>
        <n v="18605000000"/>
        <n v="19820000000"/>
        <n v="20425000000"/>
        <n v="6376000000"/>
        <n v="6313000000"/>
        <n v="6777000000"/>
        <n v="8229000000"/>
        <n v="45352000000"/>
        <n v="44062000000"/>
        <n v="45608000000"/>
        <n v="32735000000"/>
        <n v="27686000000"/>
        <n v="27931000000"/>
        <n v="28105000000"/>
        <n v="27079000000"/>
        <n v="8312000000"/>
        <n v="9441000000"/>
        <n v="9667000000"/>
        <n v="10776000000"/>
        <n v="475888000"/>
        <n v="635490000"/>
        <n v="992332000"/>
        <n v="1042779000"/>
        <n v="797517000"/>
        <n v="1029475000"/>
        <n v="1105247000"/>
        <n v="1288149000"/>
        <n v="11814000000"/>
        <n v="12784000000"/>
        <n v="13796000000"/>
        <n v="14486000000"/>
        <n v="6761000000"/>
        <n v="7006000000"/>
        <n v="7142000000"/>
        <n v="7357000000"/>
        <n v="6420881000"/>
        <n v="6484892000"/>
        <n v="6023819000"/>
        <n v="5702613000"/>
        <n v="27567000000"/>
        <n v="28105700000"/>
        <n v="27441300000"/>
        <n v="25413000000"/>
        <n v="1581623000"/>
        <n v="1931217000"/>
        <n v="2147036000"/>
        <n v="2173334000"/>
        <n v="122196000000"/>
        <n v="137392000000"/>
        <n v="179045000000"/>
        <n v="190884000000"/>
        <n v="2730300000"/>
        <n v="2972500000"/>
        <n v="3334300000"/>
        <n v="3484500000"/>
        <n v="35015000000"/>
        <n v="35299000000"/>
        <n v="34244000000"/>
        <n v="29636000000"/>
        <n v="68150000000"/>
        <n v="68199000000"/>
        <n v="73316000000"/>
        <n v="69951000000"/>
        <n v="5787980000"/>
        <n v="7348754000"/>
        <n v="7803446000"/>
        <n v="8071563000"/>
        <n v="3901300000"/>
        <n v="4200700000"/>
        <n v="4409300000"/>
        <n v="4071300000"/>
        <n v="4123400000"/>
        <n v="4243200000"/>
        <n v="4296300000"/>
        <n v="4411500000"/>
        <n v="2031901000"/>
        <n v="2155551000"/>
        <n v="2957951000"/>
        <n v="3539570000"/>
        <n v="11924000000"/>
        <n v="12261000000"/>
        <n v="12951000000"/>
        <n v="12893000000"/>
        <n v="30871000000"/>
        <n v="31821000000"/>
        <n v="30274000000"/>
        <n v="30109000000"/>
        <n v="2060702000"/>
        <n v="2246428000"/>
        <n v="2464867000"/>
        <n v="2722564000"/>
        <n v="24618000000"/>
        <n v="24466000000"/>
        <n v="24522000000"/>
        <n v="25434000000"/>
        <n v="14861000000"/>
        <n v="15855000000"/>
        <n v="15001000000"/>
        <n v="13502000000"/>
        <n v="9974100000"/>
        <n v="9055800000"/>
        <n v="8895300000"/>
        <n v="7162800000"/>
        <n v="82243000000"/>
        <n v="100160000000"/>
        <n v="97817000000"/>
        <n v="72051000000"/>
        <n v="47267000000"/>
        <n v="44033000000"/>
        <n v="42237000000"/>
        <n v="39498000000"/>
        <n v="11966000000"/>
        <n v="11325000000"/>
        <n v="10846000000"/>
        <n v="5522000000"/>
        <n v="77849000000"/>
        <n v="86833000000"/>
        <n v="93580000000"/>
        <n v="85320000000"/>
        <n v="4608955000"/>
        <n v="4822539000"/>
        <n v="4736150000"/>
        <n v="4995881000"/>
        <n v="2378972000"/>
        <n v="2485983000"/>
        <n v="2395447000"/>
        <n v="2508257000"/>
        <n v="9073000000"/>
        <n v="16358000000"/>
        <n v="16192000000"/>
        <n v="12399000000"/>
        <n v="4608563000"/>
        <n v="5312686000"/>
        <n v="5288933000"/>
        <n v="2787116000"/>
        <n v="7719600000"/>
        <n v="9429300000"/>
        <n v="5015000000"/>
        <n v="5115000000"/>
        <n v="3183000000"/>
        <n v="3491000000"/>
        <n v="3023000000"/>
        <n v="3100000000"/>
        <n v="3383000000"/>
        <n v="3292000000"/>
        <n v="14256000000"/>
        <n v="15136000000"/>
        <n v="17021000000"/>
        <n v="17486000000"/>
        <n v="9964000000"/>
        <n v="8414000000"/>
        <n v="7292000000"/>
        <n v="7729000000"/>
        <n v="4374562000"/>
        <n v="5504656000"/>
        <n v="6779511000"/>
        <n v="8830669000"/>
        <n v="1562000000"/>
        <n v="1857000000"/>
        <n v="2288000000"/>
        <n v="1557000000"/>
        <n v="25313000000"/>
        <n v="27799000000"/>
        <n v="30601000000"/>
        <n v="32376000000"/>
        <n v="5703000000"/>
        <n v="6288000000"/>
        <n v="6172000000"/>
        <n v="6309000000"/>
        <n v="17194000000"/>
        <n v="21440000000"/>
        <n v="14757000000"/>
        <n v="11245000000"/>
        <n v="11624000000"/>
        <n v="10511000000"/>
        <n v="9888000000"/>
        <n v="6332400000"/>
        <n v="6325000000"/>
        <n v="6123000000"/>
        <n v="5546000000"/>
        <n v="19429273000"/>
        <n v="19052046000"/>
        <n v="21105141000"/>
        <n v="16439276000"/>
        <n v="4280159000"/>
        <n v="4130000000"/>
        <n v="4682000000"/>
        <n v="5010000000"/>
        <n v="5508500000"/>
        <n v="5607000000"/>
        <n v="5727000000"/>
        <n v="5915700000"/>
        <n v="484581000"/>
        <n v="780209000"/>
        <n v="933505000"/>
        <n v="1023285000"/>
        <n v="10184121000"/>
        <n v="11871879000"/>
        <n v="12195091000"/>
        <n v="7763206000"/>
        <n v="15317800000"/>
        <n v="15134400000"/>
        <n v="15416900000"/>
        <n v="6182184000"/>
        <n v="6649237000"/>
        <n v="7216081000"/>
        <n v="7966674000"/>
        <n v="20100000000"/>
        <n v="20170000000"/>
        <n v="19312000000"/>
        <n v="12480000000"/>
        <n v="1355300000"/>
        <n v="1346100000"/>
        <n v="1381400000"/>
        <n v="1421300000"/>
        <n v="3823713000"/>
        <n v="3791335000"/>
        <n v="3821504000"/>
        <n v="3578060000"/>
        <n v="16596800000"/>
        <n v="18534400000"/>
        <n v="18671300000"/>
        <n v="15598000000"/>
        <n v="17090000000"/>
        <n v="16833000000"/>
        <n v="17666000000"/>
        <n v="5260956000"/>
        <n v="6793306000"/>
        <n v="8441971000"/>
        <n v="9223987000"/>
        <n v="3637212000"/>
        <n v="3585141000"/>
        <n v="3910865000"/>
        <n v="5386703000"/>
        <n v="9781000000"/>
        <n v="10886000000"/>
        <n v="10415000000"/>
        <n v="66415000000"/>
        <n v="66683000000"/>
        <n v="63056000000"/>
        <n v="62799000000"/>
        <n v="54657000000"/>
        <n v="51584000000"/>
        <n v="49605000000"/>
        <n v="48851000000"/>
        <n v="9289500000"/>
        <n v="10477600000"/>
        <n v="11964400000"/>
        <n v="12394100000"/>
        <n v="2104745000"/>
        <n v="2819557000"/>
        <n v="4103728000"/>
        <n v="4860427000"/>
        <n v="17083900000"/>
        <n v="18170900000"/>
        <n v="19391400000"/>
        <n v="20853800000"/>
        <n v="13015704000"/>
        <n v="13215971000"/>
        <n v="12711744000"/>
        <n v="11360753000"/>
        <n v="5679595000"/>
        <n v="5822363000"/>
        <n v="5981964000"/>
        <n v="7668476000"/>
        <n v="2105188000"/>
        <n v="2157586000"/>
        <n v="2237219000"/>
        <n v="2262359000"/>
        <n v="80029000000"/>
        <n v="80106000000"/>
        <n v="73908000000"/>
        <n v="74953000000"/>
        <n v="16606000000"/>
        <n v="16872000000"/>
        <n v="16281000000"/>
        <n v="16270000000"/>
        <n v="4306800000"/>
        <n v="6999700000"/>
        <n v="7039000000"/>
        <n v="6449000000"/>
        <n v="3301804000"/>
        <n v="3454628000"/>
        <n v="3491632000"/>
        <n v="3495443000"/>
        <n v="14265000000"/>
        <n v="14791000000"/>
        <n v="14766000000"/>
        <n v="14751000000"/>
        <n v="12132000000"/>
        <n v="7263000000"/>
        <n v="7852000000"/>
        <n v="7669000000"/>
        <n v="84847000000"/>
        <n v="41461000000"/>
        <n v="54105000000"/>
        <n v="57119000000"/>
        <n v="179290000000"/>
        <n v="171596000000"/>
        <n v="161212000000"/>
        <n v="98975000000"/>
        <n v="6043000000"/>
        <n v="8186400000"/>
        <n v="8241200000"/>
        <n v="8020300000"/>
        <n v="5920269000"/>
        <n v="6411577000"/>
        <n v="7747229000"/>
        <n v="7572436000"/>
        <n v="11224000000"/>
        <n v="11925000000"/>
        <n v="12273000000"/>
        <n v="24866000000"/>
        <n v="26487000000"/>
        <n v="25281000000"/>
        <n v="23554000000"/>
        <n v="1148231000"/>
        <n v="1710966000"/>
        <n v="2610726000"/>
        <n v="6419285000"/>
        <n v="6638774000"/>
        <n v="6571893000"/>
        <n v="6786984000"/>
        <n v="7688024000"/>
        <n v="7959894000"/>
        <n v="8073855000"/>
        <n v="8299074000"/>
        <n v="4245895000"/>
        <n v="4695014000"/>
        <n v="5094933000"/>
        <n v="5250399000"/>
        <n v="1328817000"/>
        <n v="1534615000"/>
        <n v="1789489000"/>
        <n v="2052230000"/>
        <n v="6945000000"/>
        <n v="7450000000"/>
        <n v="7620000000"/>
        <n v="7405000000"/>
        <n v="6351900000"/>
        <n v="6623500000"/>
        <n v="6307900000"/>
        <n v="5879500000"/>
        <n v="2993489000"/>
        <n v="3238128000"/>
        <n v="3549494000"/>
        <n v="3582395000"/>
        <n v="9721065000"/>
        <n v="10230353000"/>
        <n v="11041677000"/>
        <n v="11939999000"/>
        <n v="1367135000"/>
        <n v="1832253000"/>
        <n v="2042537000"/>
        <n v="1181704000"/>
        <n v="8417200000"/>
        <n v="8803300000"/>
        <n v="9115000000"/>
        <n v="9387700000"/>
        <n v="14866800000"/>
        <n v="16447800000"/>
        <n v="19162700000"/>
        <n v="21315900000"/>
        <n v="4176000000"/>
        <n v="4495000000"/>
        <n v="4951000000"/>
        <n v="4380000000"/>
        <n v="5075000000"/>
        <n v="5518000000"/>
        <n v="5903000000"/>
        <n v="5234000000"/>
        <n v="7690800000"/>
        <n v="7750500000"/>
        <n v="7031500000"/>
        <n v="6778300000"/>
        <n v="9534462000"/>
        <n v="10185532000"/>
        <n v="11129533000"/>
        <n v="11339304000"/>
        <n v="3983400000"/>
        <n v="4209200000"/>
        <n v="5736300000"/>
        <n v="6550200000"/>
        <n v="5897700000"/>
        <n v="5610600000"/>
        <n v="5692700000"/>
        <n v="7811200000"/>
        <n v="1290052000"/>
        <n v="1371065000"/>
        <n v="1519978000"/>
        <n v="1662829000"/>
        <n v="3237500000"/>
        <n v="3492600000"/>
        <n v="3593100000"/>
        <n v="3711800000"/>
        <n v="2307182000"/>
        <n v="2530809000"/>
        <n v="2665456000"/>
        <n v="3018227000"/>
        <n v="16537000000"/>
        <n v="17087000000"/>
        <n v="18467000000"/>
        <n v="17489000000"/>
        <n v="4256157000"/>
        <n v="4543849000"/>
        <n v="4870818000"/>
        <n v="5266103000"/>
        <n v="24380510000"/>
        <n v="23114000000"/>
        <n v="22492000000"/>
        <n v="21059000000"/>
        <n v="1913149000"/>
        <n v="2142807000"/>
        <n v="2555601000"/>
        <n v="2985908000"/>
        <n v="9647000000"/>
        <n v="10557000000"/>
        <n v="11035000000"/>
        <n v="10231000000"/>
        <n v="11240000000"/>
        <n v="8602000000"/>
        <n v="8707000000"/>
        <n v="8533000000"/>
        <n v="14351000000"/>
        <n v="13724000000"/>
        <n v="13739000000"/>
        <n v="11160000000"/>
        <n v="2796100000"/>
        <n v="4867700000"/>
        <n v="6028000000"/>
        <n v="6548400000"/>
        <n v="10889500000"/>
        <n v="11338600000"/>
        <n v="11171800000"/>
        <n v="11406900000"/>
        <n v="1792000000"/>
        <n v="2291500000"/>
        <n v="3258400000"/>
        <n v="3289000000"/>
        <n v="2730000000"/>
        <n v="3371000000"/>
        <n v="4038000000"/>
        <n v="3133000000"/>
        <n v="10793000000"/>
        <n v="11813000000"/>
        <n v="12727000000"/>
        <n v="13620000000"/>
        <n v="9021000000"/>
        <n v="9675000000"/>
        <n v="9946000000"/>
        <n v="6906000000"/>
        <n v="4183000000"/>
        <n v="3956000000"/>
        <n v="3600000000"/>
        <n v="44411233000"/>
        <n v="46516712000"/>
        <n v="48680752000"/>
        <n v="50366919000"/>
        <n v="127434000000"/>
        <n v="128752000000"/>
        <n v="132447000000"/>
        <n v="146801000000"/>
        <n v="4206100000"/>
        <n v="4146300000"/>
        <n v="3567500000"/>
        <n v="4885000000"/>
        <n v="2665000000"/>
        <n v="2692000000"/>
        <n v="2732000000"/>
        <n v="2530000000"/>
        <n v="1924400000"/>
        <n v="2372906000"/>
        <n v="2707115000"/>
        <n v="3171411000"/>
        <n v="11390000000"/>
        <n v="11973000000"/>
        <n v="12233000000"/>
        <n v="12238000000"/>
        <n v="5353197000"/>
        <n v="1603123000"/>
        <n v="2626141000"/>
        <n v="3050945000"/>
        <n v="73301000000"/>
        <n v="71279000000"/>
        <n v="72618000000"/>
        <n v="73785000000"/>
        <n v="3794249000"/>
        <n v="4031100000"/>
        <n v="4249900000"/>
        <n v="4104900000"/>
        <n v="25878372000"/>
        <n v="27422696000"/>
        <n v="29078407000"/>
        <n v="30944938000"/>
        <n v="3589516000"/>
        <n v="3494253000"/>
        <n v="3620095000"/>
        <n v="3766065000"/>
        <n v="12509900000"/>
        <n v="13090300000"/>
        <n v="16889600000"/>
        <n v="16965400000"/>
        <n v="763000000"/>
        <n v="945000000"/>
        <n v="1246000000"/>
        <n v="1492000000"/>
        <n v="26191000000"/>
        <n v="27174000000"/>
        <n v="26815000000"/>
        <n v="27625000000"/>
        <n v="4664120000"/>
        <n v="5164784000"/>
        <n v="5711715000"/>
        <n v="6226507000"/>
        <n v="34374000000"/>
        <n v="37580000000"/>
        <n v="41373000000"/>
        <n v="36881000000"/>
        <n v="29809000000"/>
        <n v="37601000000"/>
        <n v="40633000000"/>
        <n v="28711000000"/>
        <n v="1793557000"/>
        <n v="2064305000"/>
        <n v="2446877000"/>
        <n v="2779541000"/>
        <n v="12825000000"/>
        <n v="12205000000"/>
        <n v="13045000000"/>
        <n v="13000000000"/>
        <n v="12237000000"/>
        <n v="12104000000"/>
        <n v="13878000000"/>
        <n v="13423000000"/>
        <n v="1834921000"/>
        <n v="2332051000"/>
        <n v="3084370000"/>
        <n v="3963313000"/>
        <n v="37152000000"/>
        <n v="38279000000"/>
        <n v="38901000000"/>
        <n v="37864000000"/>
        <n v="716612000"/>
        <n v="758926000"/>
        <n v="818046000"/>
        <n v="894638000"/>
        <n v="2220256000"/>
        <n v="2670573000"/>
        <n v="3241369000"/>
        <n v="3924116000"/>
        <n v="122489000000"/>
        <n v="130474000000"/>
        <n v="157107000000"/>
        <n v="184840000000"/>
        <n v="10515400000"/>
        <n v="10368600000"/>
        <n v="10524500000"/>
        <n v="10731300000"/>
        <n v="21963000000"/>
        <n v="23988000000"/>
        <n v="21813000000"/>
        <n v="19941000000"/>
        <n v="54127000000"/>
        <n v="55438000000"/>
        <n v="58232000000"/>
        <n v="58363000000"/>
        <n v="2794925000"/>
        <n v="3086608000"/>
        <n v="3323077000"/>
        <n v="3445134000"/>
        <n v="2436948000"/>
        <n v="2473500000"/>
        <n v="2371200000"/>
        <n v="2220300000"/>
        <n v="56600000000"/>
        <n v="57900000000"/>
        <n v="56098000000"/>
        <n v="57244000000"/>
        <n v="11778000000"/>
        <n v="12702000000"/>
        <n v="13880000000"/>
        <n v="15082000000"/>
        <n v="2942897000"/>
        <n v="3049800000"/>
        <n v="3099100000"/>
        <n v="3217800000"/>
        <n v="10879855000"/>
        <n v="11419648000"/>
        <n v="12282161000"/>
        <n v="12376744000"/>
        <n v="13794000000"/>
        <n v="13783000000"/>
        <n v="13268000000"/>
        <n v="12488000000"/>
        <n v="138393000000"/>
        <n v="138074000000"/>
        <n v="130844000000"/>
        <n v="87804000000"/>
        <n v="2567310000"/>
        <n v="2770709000"/>
        <n v="2994169000"/>
        <n v="3422181000"/>
        <n v="2299176000"/>
        <n v="2312512000"/>
        <n v="2502267000"/>
        <n v="2506202000"/>
        <n v="1407848000"/>
        <n v="1595703000"/>
        <n v="1746726000"/>
        <n v="2068010000"/>
        <n v="873592000"/>
        <n v="965087000"/>
        <n v="1010117000"/>
        <n v="1059366000"/>
        <n v="1527042000"/>
        <n v="1211975000"/>
        <n v="580415000"/>
        <n v="1032336000"/>
        <n v="2514595000"/>
        <n v="2772550000"/>
        <n v="3285346000"/>
        <n v="3442646000"/>
        <n v="115846000000"/>
        <n v="120550000000"/>
        <n v="127079000000"/>
        <n v="131620000000"/>
        <n v="1843641000"/>
        <n v="1904218000"/>
        <n v="1989344000"/>
        <n v="2042332000"/>
        <n v="15351000000"/>
        <n v="15130000000"/>
        <n v="14572000000"/>
        <n v="12994000000"/>
        <n v="4246400000"/>
        <n v="4519000000"/>
        <n v="4997100000"/>
        <n v="5926100000"/>
        <n v="91247000000"/>
        <n v="88069000000"/>
        <n v="88372000000"/>
        <n v="90033000000"/>
        <n v="12917000000"/>
        <n v="14194000000"/>
        <n v="15389000000"/>
        <n v="15724000000"/>
        <n v="18769000000"/>
        <n v="19872000000"/>
        <n v="20891000000"/>
        <n v="20718000000"/>
        <n v="13983000000"/>
        <n v="13996000000"/>
        <n v="12961000000"/>
        <n v="13609000000"/>
        <n v="7486000000"/>
        <n v="6860000000"/>
        <n v="7637000000"/>
        <n v="7360000000"/>
        <n v="468651000000"/>
        <n v="476294000000"/>
        <n v="485651000000"/>
        <n v="482130000000"/>
        <n v="9895100000"/>
        <n v="11124800000"/>
        <n v="14171800000"/>
        <n v="5664800000"/>
        <n v="5542000000"/>
        <n v="5607200000"/>
        <n v="5483700000"/>
        <n v="5989000000"/>
        <n v="7254000000"/>
        <n v="7403000000"/>
        <n v="7082000000"/>
        <n v="4534000000"/>
        <n v="5009000000"/>
        <n v="5281000000"/>
        <n v="5536000000"/>
        <n v="5154284000"/>
        <n v="5620936000"/>
        <n v="5433661000"/>
        <n v="4075883000"/>
        <n v="1623938000"/>
        <n v="1998051000"/>
        <n v="2424176000"/>
        <n v="1452619000"/>
        <n v="10128223000"/>
        <n v="10914922000"/>
        <n v="11686135000"/>
        <n v="11024486000"/>
        <n v="7232397000"/>
        <n v="7541234000"/>
        <n v="6602267000"/>
        <n v="9308926000"/>
        <n v="2168652000"/>
        <n v="2382531000"/>
        <n v="2377344000"/>
        <n v="2213881000"/>
        <n v="451509000000"/>
        <n v="420836000000"/>
        <n v="394105000000"/>
        <n v="259488000000"/>
        <n v="2928429000"/>
        <n v="2950800000"/>
        <n v="2922600000"/>
        <n v="2674300000"/>
        <n v="20421000000"/>
        <n v="20006000000"/>
        <n v="18045000000"/>
        <n v="3791000000"/>
        <n v="3837000000"/>
        <n v="3916000000"/>
        <n v="3653000000"/>
        <n v="4986566000"/>
        <n v="4680380000"/>
        <n v="4618133000"/>
        <n v="4968301000"/>
        <n v="13633000000"/>
        <n v="13084000000"/>
        <n v="13279000000"/>
        <n v="13105000000"/>
        <n v="4471700000"/>
        <n v="4623400000"/>
        <n v="4673300000"/>
        <n v="5997800000"/>
        <n v="2458592000"/>
        <n v="2278812000"/>
        <n v="2361631000"/>
        <n v="2210591000"/>
        <n v="4561000000"/>
        <n v="4785000000"/>
        <n v="4765000000"/>
        <n v="4888000000"/>
      </sharedItems>
    </cacheField>
    <cacheField name=" Cost of Goods Sold " numFmtId="164">
      <sharedItems containsString="0" containsBlank="1" containsNumber="1" containsInteger="1" minValue="142000" maxValue="365086000000" count="1650">
        <n v="10499000000"/>
        <n v="11019000000"/>
        <n v="15620000000"/>
        <n v="11096000000"/>
        <n v="3106967000"/>
        <n v="3241668000"/>
        <n v="5390248000"/>
        <n v="5314246000"/>
        <n v="106606000000"/>
        <n v="112258000000"/>
        <n v="140089000000"/>
        <n v="131376000000"/>
        <n v="4508000000"/>
        <n v="4581000000"/>
        <n v="4426000000"/>
        <n v="4500000000"/>
        <n v="85451348000"/>
        <n v="116586761000"/>
        <n v="132432490000"/>
        <n v="142577080000"/>
        <n v="8899000000"/>
        <n v="9193000000"/>
        <n v="9218000000"/>
        <n v="8747000000"/>
        <n v="586557000"/>
        <n v="622080000"/>
        <n v="744317000"/>
        <n v="819908000"/>
        <n v="941278000"/>
        <n v="1034585000"/>
        <n v="1175830000"/>
        <n v="1194236000"/>
        <n v="86936000000"/>
        <n v="85915000000"/>
        <n v="76433000000"/>
        <n v="63682000000"/>
        <n v="2392091000"/>
        <n v="2894917000"/>
        <n v="3643979000"/>
        <n v="4482700000"/>
        <n v="238500000"/>
        <n v="274300000"/>
        <n v="342100000"/>
        <n v="370700000"/>
        <n v="3477000000"/>
        <n v="3490000000"/>
        <n v="3586000000"/>
        <n v="3501000000"/>
        <n v="6395000000"/>
        <n v="6722300000"/>
        <n v="7685700000"/>
        <n v="7433500000"/>
        <n v="17074000000"/>
        <n v="15341000000"/>
        <n v="14373000000"/>
        <n v="13049000000"/>
        <n v="37745000000"/>
        <n v="34660000000"/>
        <n v="33611000000"/>
        <n v="36581000000"/>
        <n v="386355000"/>
        <n v="380051000"/>
        <n v="380964000"/>
        <n v="365248000"/>
        <n v="6709936000"/>
        <n v="8093563000"/>
        <n v="8666624000"/>
        <n v="5251228000"/>
        <n v="529900000"/>
        <n v="511087000"/>
        <n v="610943000"/>
        <n v="725620000"/>
        <n v="1620311000"/>
        <n v="1543799000"/>
        <n v="1674700000"/>
        <n v="2454463000"/>
        <n v="2319000000"/>
        <n v="2355000000"/>
        <n v="2325000000"/>
        <n v="1935000000"/>
        <n v="21618000000"/>
        <n v="19828000000"/>
        <n v="21193000000"/>
        <n v="22837000000"/>
        <n v="1208100000"/>
        <n v="1264600000"/>
        <n v="1199000000"/>
        <n v="1252700000"/>
        <n v="177556000"/>
        <n v="174000000"/>
        <n v="233000000"/>
        <n v="258000000"/>
        <n v="4518000000"/>
        <n v="5229000000"/>
        <n v="5707000000"/>
        <n v="6314000000"/>
        <n v="2154132000"/>
        <n v="2323642000"/>
        <n v="2597017000"/>
        <n v="2549280000"/>
        <n v="3346000000"/>
        <n v="4422000000"/>
        <n v="4227000000"/>
        <n v="4162000000"/>
        <n v="1899000000"/>
        <n v="1954000000"/>
        <n v="1982000000"/>
        <n v="2261000000"/>
        <n v="722479000"/>
        <n v="859873000"/>
        <n v="1094265000"/>
        <n v="1308868000"/>
        <n v="54181000000"/>
        <n v="62752000000"/>
        <n v="71651000000"/>
        <n v="88265000000"/>
        <n v="14757700000"/>
        <n v="16120100000"/>
        <n v="17600500000"/>
        <n v="18295800000"/>
        <n v="48213600000"/>
        <n v="56237100000"/>
        <n v="56854900000"/>
        <n v="61116900000"/>
        <n v="3079000000"/>
        <n v="2938000000"/>
        <n v="2511000000"/>
        <n v="2065000000"/>
        <n v="2942000000"/>
        <n v="3317000000"/>
        <n v="3185000000"/>
        <n v="2900000000"/>
        <n v="7472100000"/>
        <n v="7629900000"/>
        <n v="6939000000"/>
        <n v="6402700000"/>
        <n v="2948900000"/>
        <n v="3163900000"/>
        <n v="3651700000"/>
        <n v="3789200000"/>
        <n v="20401000000"/>
        <n v="19286000000"/>
        <n v="19137000000"/>
        <n v="18069000000"/>
        <n v="1662000000"/>
        <n v="1531000000"/>
        <n v="1525000000"/>
        <n v="1585000000"/>
        <n v="3271000000"/>
        <n v="7300000000"/>
        <n v="4335300000"/>
        <n v="4502300000"/>
        <n v="4679100000"/>
        <n v="4321100000"/>
        <n v="1329500000"/>
        <n v="1289000000"/>
        <n v="1350000000"/>
        <n v="1404000000"/>
        <n v="480000000"/>
        <n v="442000000"/>
        <n v="373000000"/>
        <n v="475000000"/>
        <n v="1251500000"/>
        <n v="1414300000"/>
        <n v="1561100000"/>
        <n v="1855100000"/>
        <n v="4406595000"/>
        <n v="4540406000"/>
        <n v="4860309000"/>
        <n v="5026940000"/>
        <n v="73268000000"/>
        <n v="76752000000"/>
        <n v="82088000000"/>
        <n v="80790000000"/>
        <n v="3753000000"/>
        <n v="3034000000"/>
        <n v="2656000000"/>
        <n v="2204000000"/>
        <n v="6802000000"/>
        <n v="5251000000"/>
        <n v="6138000000"/>
        <n v="5822000000"/>
        <n v="6525830000"/>
        <n v="6938381000"/>
        <n v="7261397000"/>
        <n v="7483577000"/>
        <n v="429000000"/>
        <n v="301000000"/>
        <n v="239000000"/>
        <n v="34473000000"/>
        <n v="31212000000"/>
        <n v="31292000000"/>
        <n v="30337000000"/>
        <n v="1194400000"/>
        <n v="1258600000"/>
        <n v="1301200000"/>
        <n v="1371700000"/>
        <n v="3883000000"/>
        <n v="4145000000"/>
        <n v="5587000000"/>
        <n v="6492000000"/>
        <n v="18553000000"/>
        <n v="19746000000"/>
        <n v="14415000000"/>
        <n v="9973000000"/>
        <n v="857700000"/>
        <n v="1171000000"/>
        <n v="1240400000"/>
        <n v="1478700000"/>
        <n v="7174000000"/>
        <n v="6875400000"/>
        <n v="6903500000"/>
        <n v="6460300000"/>
        <n v="4610000000"/>
        <n v="4619000000"/>
        <n v="3932000000"/>
        <n v="3909000000"/>
        <n v="2349000000"/>
        <n v="2174000000"/>
        <n v="2210000000"/>
        <n v="2173000000"/>
        <n v="5879100000"/>
        <n v="6548700000"/>
        <n v="6320100000"/>
        <n v="7137900000"/>
        <n v="667208000"/>
        <n v="771403000"/>
        <n v="864526000"/>
        <n v="904336000"/>
        <n v="10104400000"/>
        <n v="8910800000"/>
        <n v="9061400000"/>
        <n v="8552100000"/>
        <n v="96172000000"/>
        <n v="85923000000"/>
        <n v="96819000000"/>
        <n v="115003000000"/>
        <n v="41454000000"/>
        <n v="41342000000"/>
        <n v="34133000000"/>
        <n v="28905000000"/>
        <n v="12620000000"/>
        <n v="12522000000"/>
        <n v="13241000000"/>
        <n v="12968000000"/>
        <n v="5745428000"/>
        <n v="6293699000"/>
        <n v="8050222000"/>
        <n v="9716541000"/>
        <n v="728989000"/>
        <n v="991017000"/>
        <n v="1306606000"/>
        <n v="1321426000"/>
        <n v="10645000000"/>
        <n v="10421000000"/>
        <n v="9447000000"/>
        <n v="9383000000"/>
        <n v="340400000"/>
        <n v="385900000"/>
        <n v="420100000"/>
        <n v="438000000"/>
        <n v="514722000"/>
        <n v="604377000"/>
        <n v="750781000"/>
        <n v="779116000"/>
        <n v="2990700000"/>
        <n v="2954500000"/>
        <n v="2964700000"/>
        <n v="2761200000"/>
        <n v="375000000"/>
        <n v="216000000"/>
        <n v="160000000"/>
        <n v="237000000"/>
        <n v="1630500000"/>
        <n v="1756300000"/>
        <n v="1844700000"/>
        <n v="1883000000"/>
        <n v="7081000000"/>
        <n v="12930000000"/>
        <n v="16049000000"/>
        <n v="10295000000"/>
        <n v="9641542000"/>
        <n v="10915981000"/>
        <n v="11462415000"/>
        <n v="11207604000"/>
        <n v="5345000000"/>
        <n v="5973000000"/>
        <n v="6426000000"/>
        <n v="18655000000"/>
        <n v="17900000000"/>
        <n v="20865000000"/>
        <n v="21334000000"/>
        <n v="23290000000"/>
        <n v="3748000000"/>
        <n v="4157000000"/>
        <n v="4195000000"/>
        <n v="7153000000"/>
        <n v="7219000000"/>
        <n v="7168000000"/>
        <n v="6635000000"/>
        <n v="3142000000"/>
        <n v="3158000000"/>
        <n v="3190000000"/>
        <n v="3163000000"/>
        <n v="55000000"/>
        <n v="45000000"/>
        <n v="43000000"/>
        <n v="40000000"/>
        <n v="2359822000"/>
        <n v="2990513000"/>
        <n v="3326936000"/>
        <n v="3406170000"/>
        <n v="13021000000"/>
        <n v="14360000000"/>
        <n v="14163000000"/>
        <n v="13057000000"/>
        <n v="4562000000"/>
        <n v="5090000000"/>
        <n v="4281000000"/>
        <n v="4010000000"/>
        <n v="6781000000"/>
        <n v="8995000000"/>
        <n v="12678000000"/>
        <n v="17242000000"/>
        <n v="4747000000"/>
        <n v="5755000000"/>
        <n v="6890000000"/>
        <n v="5109000000"/>
        <n v="1403000000"/>
        <n v="1241000000"/>
        <n v="1088000000"/>
        <n v="1091000000"/>
        <n v="290054000"/>
        <n v="400281000"/>
        <n v="524880000"/>
        <n v="580994000"/>
        <n v="3103000000"/>
        <n v="3469000000"/>
        <n v="3630000000"/>
        <n v="3642000000"/>
        <n v="560917000"/>
        <n v="626206000"/>
        <n v="726798000"/>
        <n v="793735000"/>
        <n v="91948000000"/>
        <n v="98458000000"/>
        <n v="101065000000"/>
        <n v="102901000000"/>
        <n v="258000"/>
        <n v="142000"/>
        <n v="75508000"/>
        <n v="84477000"/>
        <n v="5140000000"/>
        <n v="5297000000"/>
        <n v="5300000000"/>
        <n v="5181000000"/>
        <n v="683579000"/>
        <n v="968428000"/>
        <n v="1289270000"/>
        <n v="1654548000"/>
        <n v="19167000000"/>
        <n v="19373000000"/>
        <n v="19480000000"/>
        <n v="18287000000"/>
        <n v="3282301000"/>
        <n v="3575631000"/>
        <n v="3931000000"/>
        <n v="4100000000"/>
        <n v="3293000000"/>
        <n v="2782000000"/>
        <n v="2492655000"/>
        <n v="2444085000"/>
        <n v="2555549000"/>
        <n v="2775588000"/>
        <n v="7639000000"/>
        <n v="7507000000"/>
        <n v="7846000000"/>
        <n v="7778000000"/>
        <n v="4278241000"/>
        <n v="5265500000"/>
        <n v="6141100000"/>
        <n v="7440200000"/>
        <n v="502795000"/>
        <n v="620219000"/>
        <n v="614364000"/>
        <n v="559541000"/>
        <n v="102978000000"/>
        <n v="114000000000"/>
        <n v="126762000000"/>
        <n v="148669000000"/>
        <n v="163336000000"/>
        <n v="159323000000"/>
        <n v="144956000000"/>
        <n v="92785000000"/>
        <n v="343743000"/>
        <n v="455436000"/>
        <n v="538374000"/>
        <n v="541359000"/>
        <n v="8300000000"/>
        <n v="8033000000"/>
        <n v="7881000000"/>
        <n v="6201000000"/>
        <n v="20964000000"/>
        <n v="22967000000"/>
        <n v="17096000000"/>
        <n v="15940000000"/>
        <n v="17642000000"/>
        <n v="17023000000"/>
        <n v="15112000000"/>
        <n v="14469000000"/>
        <n v="25667300000"/>
        <n v="24775800000"/>
        <n v="20143200000"/>
        <n v="18248900000"/>
        <n v="845000000"/>
        <n v="698000000"/>
        <n v="614000000"/>
        <n v="623000000"/>
        <n v="10936727000"/>
        <n v="12068425000"/>
        <n v="13107081000"/>
        <n v="14062471000"/>
        <n v="4365000000"/>
        <n v="4326000000"/>
        <n v="4637000000"/>
        <n v="4657000000"/>
        <n v="4853500000"/>
        <n v="6268600000"/>
        <n v="8535700000"/>
        <n v="9502600000"/>
        <n v="8846100000"/>
        <n v="8941100000"/>
        <n v="9261400000"/>
        <n v="9800600000"/>
        <n v="25034000000"/>
        <n v="26420000000"/>
        <n v="28364000000"/>
        <n v="29993000000"/>
        <n v="1689000000"/>
        <n v="2124000000"/>
        <n v="2343000000"/>
        <n v="2432000000"/>
        <n v="12274000000"/>
        <n v="12471000000"/>
        <n v="12155000000"/>
        <n v="13107000000"/>
        <n v="461898000"/>
        <n v="555660000"/>
        <n v="603321000"/>
        <n v="651282000"/>
        <n v="4741800000"/>
        <n v="5050500000"/>
        <n v="5568200000"/>
        <n v="10841700000"/>
        <m/>
        <n v="4376505000"/>
        <n v="4778479000"/>
        <n v="4388167000"/>
        <n v="4322373000"/>
        <n v="2499000000"/>
        <n v="2491000000"/>
        <n v="2559000000"/>
        <n v="2582000000"/>
        <n v="4616600000"/>
        <n v="4990500000"/>
        <n v="5341500000"/>
        <n v="5392400000"/>
        <n v="11235000000"/>
        <n v="13545000000"/>
        <n v="14323000000"/>
        <n v="13728000000"/>
        <n v="5583549000"/>
        <n v="8198377000"/>
        <n v="9119305000"/>
        <n v="9824834000"/>
        <n v="2268000000"/>
        <n v="2332000000"/>
        <n v="2104000000"/>
        <n v="1582000000"/>
        <n v="1388000000"/>
        <n v="1347000000"/>
        <n v="1429000000"/>
        <n v="1354000000"/>
        <n v="1492000000"/>
        <n v="1663000000"/>
        <n v="1771000000"/>
        <n v="2007000000"/>
        <n v="6385400000"/>
        <n v="7161200000"/>
        <n v="7679100000"/>
        <n v="7223500000"/>
        <n v="7191000000"/>
        <n v="7807000000"/>
        <n v="7060000000"/>
        <n v="6357000000"/>
        <n v="759500000"/>
        <n v="787300000"/>
        <n v="844700000"/>
        <n v="887400000"/>
        <n v="7747000000"/>
        <n v="8364000000"/>
        <n v="8742000000"/>
        <n v="7256000000"/>
        <n v="2025900000"/>
        <n v="2158200000"/>
        <n v="2100600000"/>
        <n v="2181100000"/>
        <n v="6340000000"/>
        <n v="6574000000"/>
        <n v="7306000000"/>
        <n v="7068000000"/>
        <n v="14717000000"/>
        <n v="9971000000"/>
        <n v="9241000000"/>
        <n v="8260000000"/>
        <n v="1699428000"/>
        <n v="2066893000"/>
        <n v="2534389000"/>
        <n v="2177757000"/>
        <n v="944617000"/>
        <n v="1064403000"/>
        <n v="1197885000"/>
        <n v="1291506000"/>
        <n v="625507000"/>
        <n v="834228000"/>
        <n v="883564000"/>
        <n v="905168000"/>
        <n v="354561000"/>
        <n v="443974000"/>
        <n v="523043000"/>
        <n v="613909000"/>
        <n v="3667434000"/>
        <n v="3997940000"/>
        <n v="4449139000"/>
        <n v="4416194000"/>
        <n v="172167000"/>
        <n v="197336000"/>
        <n v="312546000"/>
        <n v="363508000"/>
        <n v="11448000000"/>
        <n v="15369000000"/>
        <n v="15646000000"/>
        <n v="14292000000"/>
        <n v="6583627000"/>
        <n v="7588885000"/>
        <n v="8126187000"/>
        <n v="7449273000"/>
        <n v="491000000"/>
        <n v="516600000"/>
        <n v="625600000"/>
        <n v="617200000"/>
        <n v="17994000000"/>
        <n v="21571000000"/>
        <n v="21406000000"/>
        <n v="22688000000"/>
        <n v="4156845000"/>
        <n v="4197404000"/>
        <n v="4583294000"/>
        <n v="4428855000"/>
        <n v="1038034000"/>
        <n v="1179081000"/>
        <n v="1309559000"/>
        <n v="1596698000"/>
        <n v="114028000"/>
        <n v="140012000"/>
        <n v="172416000"/>
        <n v="203965000"/>
        <n v="123050000000"/>
        <n v="131903000000"/>
        <n v="131409000000"/>
        <n v="135488000000"/>
        <n v="1606661000"/>
        <n v="1836105000"/>
        <n v="1920253000"/>
        <n v="1997259000"/>
        <n v="1875000000"/>
        <n v="2153000000"/>
        <n v="2867000000"/>
        <n v="3789000000"/>
        <n v="2093200000"/>
        <n v="2408500000"/>
        <n v="2646700000"/>
        <n v="2997500000"/>
        <n v="11561000000"/>
        <n v="14637000000"/>
        <n v="19504000000"/>
        <n v="28524000000"/>
        <n v="16448000000"/>
        <n v="17052000000"/>
        <n v="16984000000"/>
        <n v="17327000000"/>
        <n v="6717000000"/>
        <n v="6459000000"/>
        <n v="6996000000"/>
        <n v="6173000000"/>
        <n v="253047000"/>
        <n v="309959000"/>
        <n v="332261000"/>
        <n v="337205000"/>
        <n v="3956200000"/>
        <n v="4092700000"/>
        <n v="4328300000"/>
        <n v="4393200000"/>
        <n v="2564000000"/>
        <n v="2776000000"/>
        <n v="2881000000"/>
        <n v="2909000000"/>
        <n v="4148000000"/>
        <n v="4372000000"/>
        <n v="4777000000"/>
        <n v="4907000000"/>
        <n v="670174000"/>
        <n v="759362000"/>
        <n v="780281000"/>
        <n v="803506000"/>
        <n v="25986382000"/>
        <n v="20132544000"/>
        <n v="17019352000"/>
        <n v="18246209000"/>
        <n v="3266524000"/>
        <n v="3163268000"/>
        <n v="3073712000"/>
        <n v="2759908000"/>
        <n v="2141600000"/>
        <n v="1929800000"/>
        <n v="2047800000"/>
        <n v="2201100000"/>
        <n v="190454000"/>
        <n v="211923000"/>
        <n v="233417000"/>
        <n v="253612000"/>
        <n v="2515796000"/>
        <n v="2444984000"/>
        <n v="2566246000"/>
        <n v="2659728000"/>
        <n v="25202000000"/>
        <n v="24979000000"/>
        <n v="25339000000"/>
        <n v="25104000000"/>
        <n v="800336000"/>
        <n v="815095000"/>
        <n v="783602000"/>
        <n v="747276000"/>
        <n v="2471000000"/>
        <n v="2859000000"/>
        <n v="3788000000"/>
        <n v="4006000000"/>
        <n v="11350200000"/>
        <n v="11539800000"/>
        <n v="11681100000"/>
        <n v="10733600000"/>
        <n v="4495000000"/>
        <n v="5663000000"/>
        <n v="5458000000"/>
        <n v="5644000000"/>
        <n v="137373000000"/>
        <n v="142121000000"/>
        <n v="134054000000"/>
        <n v="145125000000"/>
        <n v="9235777000"/>
        <n v="9857923000"/>
        <n v="10747886000"/>
        <n v="10724192000"/>
        <n v="862075000"/>
        <n v="952225000"/>
        <n v="1022107000"/>
        <n v="1147639000"/>
        <n v="9480000000"/>
        <n v="9855000000"/>
        <n v="10146000000"/>
        <n v="10077000000"/>
        <n v="1277195000"/>
        <n v="1224551000"/>
        <n v="1266246000"/>
        <n v="1281566000"/>
        <n v="15422000000"/>
        <n v="13906000000"/>
        <n v="12164000000"/>
        <n v="10972000000"/>
        <n v="5033885000"/>
        <n v="5301275000"/>
        <n v="5650711000"/>
        <n v="5741956000"/>
        <n v="24931000000"/>
        <n v="27334000000"/>
        <n v="21113000000"/>
        <n v="15023000000"/>
        <n v="3193722000"/>
        <n v="3891816000"/>
        <n v="4338193000"/>
        <n v="4818585000"/>
        <n v="1671980000"/>
        <n v="1672901000"/>
        <n v="1698372000"/>
        <n v="1677033000"/>
        <n v="162167000"/>
        <n v="116241000"/>
        <n v="86453000"/>
        <n v="82175000"/>
        <n v="3016109000"/>
        <n v="3420339000"/>
        <n v="3595217000"/>
        <n v="3752151000"/>
        <n v="5717000000"/>
        <n v="5970000000"/>
        <n v="6262000000"/>
        <n v="6638000000"/>
        <n v="567989000"/>
        <n v="1206813000"/>
        <n v="1403358000"/>
        <n v="1622257000"/>
        <n v="48912000000"/>
        <n v="51897000000"/>
        <n v="54787000000"/>
        <n v="58254000000"/>
        <n v="3535000000"/>
        <n v="3969000000"/>
        <n v="3323000000"/>
        <n v="13195000000"/>
        <n v="11048000000"/>
        <n v="10805000000"/>
        <n v="10775000000"/>
        <n v="3440623000"/>
        <n v="3621417000"/>
        <n v="3788023000"/>
        <n v="3619612000"/>
        <n v="1330900000"/>
        <n v="1285200000"/>
        <n v="1272300000"/>
        <n v="1269400000"/>
        <n v="28957000000"/>
        <n v="26747000000"/>
        <n v="27150000000"/>
        <n v="1852768000"/>
        <n v="2006715000"/>
        <n v="1703476000"/>
        <n v="898805000"/>
        <n v="39486000000"/>
        <n v="37168000000"/>
        <n v="35507000000"/>
        <n v="86380000000"/>
        <n v="45431000000"/>
        <n v="41524000000"/>
        <n v="39240000000"/>
        <n v="1123773000"/>
        <n v="1179405000"/>
        <n v="1231104000"/>
        <n v="1250320000"/>
        <n v="7338838000"/>
        <n v="7751273000"/>
        <n v="7455282000"/>
        <n v="7365049000"/>
        <n v="3385000000"/>
        <n v="3310000000"/>
        <n v="3348000000"/>
        <n v="5132000000"/>
        <n v="6432454000"/>
        <n v="6904633000"/>
        <n v="7460075000"/>
        <n v="7617460000"/>
        <n v="1885000000"/>
        <n v="1989000000"/>
        <n v="2033000000"/>
        <n v="2012000000"/>
        <n v="3784370000"/>
        <n v="3865231000"/>
        <n v="4085602000"/>
        <n v="4003951000"/>
        <n v="32564000000"/>
        <n v="38166000000"/>
        <n v="44269000000"/>
        <n v="45007000000"/>
        <n v="52513000000"/>
        <n v="49683000000"/>
        <n v="46386000000"/>
        <n v="41057000000"/>
        <n v="594190000"/>
        <n v="620940000"/>
        <n v="669691000"/>
        <n v="711622000"/>
        <n v="1645912000"/>
        <n v="1668691000"/>
        <n v="1726383000"/>
        <n v="1671590000"/>
        <n v="509291000"/>
        <n v="563648000"/>
        <n v="670472000"/>
        <n v="731925000"/>
        <n v="21187000000"/>
        <n v="20261000000"/>
        <n v="20676000000"/>
        <n v="23196000000"/>
        <n v="527000000"/>
        <n v="603000000"/>
        <n v="695000000"/>
        <n v="730000000"/>
        <n v="15287000000"/>
        <n v="16282000000"/>
        <n v="16254000000"/>
        <n v="15468000000"/>
        <n v="1277113000"/>
        <n v="1288878000"/>
        <n v="1344636000"/>
        <n v="1290025000"/>
        <n v="670900000"/>
        <n v="717900000"/>
        <n v="806500000"/>
        <n v="814300000"/>
        <n v="8554000000"/>
        <n v="8673000000"/>
        <n v="7888000000"/>
        <n v="7896000000"/>
        <n v="3230857000"/>
        <n v="3570801000"/>
        <n v="3898403000"/>
        <n v="3665578000"/>
        <n v="9976057000"/>
        <n v="10621373000"/>
        <n v="10146494000"/>
        <n v="9196326000"/>
        <n v="1656600000"/>
        <n v="1727700000"/>
        <n v="1768900000"/>
        <n v="1779200000"/>
        <n v="7432000000"/>
        <n v="7737000000"/>
        <n v="8406000000"/>
        <n v="9168000000"/>
        <n v="8763000000"/>
        <n v="8689000000"/>
        <n v="9517000000"/>
        <n v="8844000000"/>
        <n v="1073447000"/>
        <n v="1200308000"/>
        <n v="1354969000"/>
        <n v="1524907000"/>
        <n v="206974000"/>
        <n v="221498000"/>
        <n v="258617000"/>
        <n v="304477000"/>
        <n v="1237452000"/>
        <n v="1232962000"/>
        <n v="1215229000"/>
        <n v="1163391000"/>
        <n v="12952000000"/>
        <n v="13041000000"/>
        <n v="11967000000"/>
        <n v="11551000000"/>
        <n v="7365000000"/>
        <n v="8435000000"/>
        <n v="6452000000"/>
        <n v="5801000000"/>
        <n v="9498456000"/>
        <n v="10925598000"/>
        <n v="12381189000"/>
        <n v="13130915000"/>
        <n v="19053000000"/>
        <n v="18421000000"/>
        <n v="17889000000"/>
        <n v="17482000000"/>
        <n v="875166000"/>
        <n v="1294700000"/>
        <n v="1723800000"/>
        <n v="1914900000"/>
        <n v="76726000000"/>
        <n v="78138000000"/>
        <n v="85512000000"/>
        <n v="85496000000"/>
        <n v="12289000000"/>
        <n v="12087000000"/>
        <n v="12098000000"/>
        <n v="12265000000"/>
        <n v="805300000"/>
        <n v="877900000"/>
        <n v="759200000"/>
        <n v="691100000"/>
        <n v="6073000000"/>
        <n v="6344000000"/>
        <n v="6646000000"/>
        <n v="6950000000"/>
        <n v="2718900000"/>
        <n v="2767300000"/>
        <n v="2991900000"/>
        <n v="2994000000"/>
        <n v="4920664000"/>
        <n v="6336272000"/>
        <n v="7757571000"/>
        <n v="8923519000"/>
        <n v="3421700000"/>
        <n v="3585100000"/>
        <n v="3808500000"/>
        <n v="5776800000"/>
        <n v="2398790000"/>
        <n v="2987126000"/>
        <n v="4088151000"/>
        <n v="4359104000"/>
        <n v="11799000000"/>
        <n v="10303000000"/>
        <n v="9974000000"/>
        <n v="9576000000"/>
        <n v="322516000"/>
        <n v="338580000"/>
        <n v="355727000"/>
        <n v="343801000"/>
        <n v="4796500000"/>
        <n v="4908100000"/>
        <n v="4932500000"/>
        <n v="5037200000"/>
        <n v="41171000000"/>
        <n v="35263000000"/>
        <n v="36044000000"/>
        <n v="42186000000"/>
        <n v="2144200000"/>
        <n v="2272400000"/>
        <n v="2317500000"/>
        <n v="2171600000"/>
        <n v="33194000000"/>
        <n v="34941000000"/>
        <n v="36665000000"/>
        <n v="38504000000"/>
        <n v="2195857000"/>
        <n v="2599828000"/>
        <n v="2974976000"/>
        <n v="3266971000"/>
        <n v="7479746000"/>
        <n v="7567707000"/>
        <n v="8024286000"/>
        <n v="7677233000"/>
        <n v="8307000000"/>
        <n v="7677000000"/>
        <n v="6025000000"/>
        <n v="6132000000"/>
        <n v="3851000000"/>
        <n v="3685000000"/>
        <n v="3775000000"/>
        <n v="4265000000"/>
        <n v="39595000000"/>
        <n v="37940000000"/>
        <n v="38939000000"/>
        <n v="25683000000"/>
        <n v="16538000000"/>
        <n v="16725000000"/>
        <n v="16863000000"/>
        <n v="16496000000"/>
        <n v="117275000"/>
        <n v="172050000"/>
        <n v="275379000"/>
        <n v="280901000"/>
        <n v="337533000"/>
        <n v="423256000"/>
        <n v="441929000"/>
        <n v="497359000"/>
        <n v="10190000000"/>
        <n v="11020000000"/>
        <n v="11830000000"/>
        <n v="12363000000"/>
        <n v="4802000000"/>
        <n v="4946000000"/>
        <n v="4889000000"/>
        <n v="4901000000"/>
        <n v="3011684000"/>
        <n v="3006009000"/>
        <n v="3022797000"/>
        <n v="2896255000"/>
        <n v="16750700000"/>
        <n v="17203000000"/>
        <n v="16985600000"/>
        <n v="15623800000"/>
        <n v="743164000"/>
        <n v="802474000"/>
        <n v="917472000"/>
        <n v="967870000"/>
        <n v="115315000000"/>
        <n v="129040000000"/>
        <n v="167634000000"/>
        <n v="179468000000"/>
        <n v="795000000"/>
        <n v="822400000"/>
        <n v="930300000"/>
        <n v="976300000"/>
        <n v="21939000000"/>
        <n v="22189000000"/>
        <n v="21647000000"/>
        <n v="18124000000"/>
        <n v="37987000000"/>
        <n v="38107000000"/>
        <n v="39102000000"/>
        <n v="38714000000"/>
        <n v="4297922000"/>
        <n v="5427945000"/>
        <n v="5649254000"/>
        <n v="5660877000"/>
        <n v="1503800000"/>
        <n v="1528500000"/>
        <n v="1700600000"/>
        <n v="1455300000"/>
        <n v="2457600000"/>
        <n v="2513000000"/>
        <n v="2579800000"/>
        <n v="1704767000"/>
        <n v="1791594000"/>
        <n v="2435591000"/>
        <n v="2817803000"/>
        <n v="16106000000"/>
        <n v="16447000000"/>
        <n v="15383000000"/>
        <n v="15040000000"/>
        <n v="995046000"/>
        <n v="1073497000"/>
        <n v="1125057000"/>
        <n v="1090263000"/>
        <n v="15055000000"/>
        <n v="14009000000"/>
        <n v="14362000000"/>
        <n v="14320000000"/>
        <n v="7208000000"/>
        <n v="7281000000"/>
        <n v="6819000000"/>
        <n v="6485000000"/>
        <n v="7213900000"/>
        <n v="7129200000"/>
        <n v="7177400000"/>
        <n v="6352800000"/>
        <n v="68948000000"/>
        <n v="87758000000"/>
        <n v="84275000000"/>
        <n v="55891000000"/>
        <n v="16446000000"/>
        <n v="16954000000"/>
        <n v="16768000000"/>
        <n v="14934000000"/>
        <n v="2079000000"/>
        <n v="2156000000"/>
        <n v="2246000000"/>
        <n v="1694000000"/>
        <n v="20385000000"/>
        <n v="27078000000"/>
        <n v="33038000000"/>
        <n v="32780000000"/>
        <n v="116586000"/>
        <n v="83692000"/>
        <n v="63083000"/>
        <n v="73814000"/>
        <n v="1097041000"/>
        <n v="1127233000"/>
        <n v="1043454000"/>
        <n v="1072670000"/>
        <n v="7226000000"/>
        <n v="10921000000"/>
        <n v="10977000000"/>
        <n v="9894000000"/>
        <n v="1079136000"/>
        <n v="1252812000"/>
        <n v="1089888000"/>
        <n v="832306000"/>
        <n v="4191600000"/>
        <n v="5213200000"/>
        <n v="844000000"/>
        <n v="945000000"/>
        <n v="979000000"/>
        <n v="1083000000"/>
        <n v="1446000000"/>
        <n v="1316000000"/>
        <n v="1433000000"/>
        <n v="1313000000"/>
        <n v="8276000000"/>
        <n v="8152000000"/>
        <n v="8751000000"/>
        <n v="8596000000"/>
        <n v="4334000000"/>
        <n v="5299000000"/>
        <n v="4457000000"/>
        <n v="4312000000"/>
        <n v="3117203000"/>
        <n v="3752760000"/>
        <n v="4591476000"/>
        <n v="6029901000"/>
        <n v="413000000"/>
        <n v="411000000"/>
        <n v="485000000"/>
        <n v="497000000"/>
        <n v="14279000000"/>
        <n v="15353000000"/>
        <n v="16534000000"/>
        <n v="17405000000"/>
        <n v="2398000000"/>
        <n v="2620000000"/>
        <n v="2539000000"/>
        <n v="2607000000"/>
        <n v="12151000000"/>
        <n v="14117000000"/>
        <n v="15631000000"/>
        <n v="11694000000"/>
        <n v="4070000000"/>
        <n v="4201000000"/>
        <n v="3662000000"/>
        <n v="3045000000"/>
        <n v="2571300000"/>
        <n v="2406000000"/>
        <n v="2290000000"/>
        <n v="17915735000"/>
        <n v="17641421000"/>
        <n v="19198615000"/>
        <n v="14858014000"/>
        <n v="2053816000"/>
        <n v="1862000000"/>
        <n v="2083000000"/>
        <n v="2199000000"/>
        <n v="3414400000"/>
        <n v="3482100000"/>
        <n v="3523600000"/>
        <n v="3611100000"/>
        <n v="21306000"/>
        <n v="38851000"/>
        <n v="53871000"/>
        <n v="55352000"/>
        <n v="8540319000"/>
        <n v="10222213000"/>
        <n v="10088548000"/>
        <n v="5641052000"/>
        <n v="12602100000"/>
        <n v="12491400000"/>
        <n v="12671200000"/>
        <n v="3084766000"/>
        <n v="3280236000"/>
        <n v="3507180000"/>
        <n v="3804031000"/>
        <n v="6530000000"/>
        <n v="6497000000"/>
        <n v="6803000000"/>
        <n v="5804000000"/>
        <n v="90800000"/>
        <n v="81100000"/>
        <n v="80900000"/>
        <n v="95500000"/>
        <n v="1582398000"/>
        <n v="1650622000"/>
        <n v="1680791000"/>
        <n v="1558591000"/>
        <n v="13908300000"/>
        <n v="13900700000"/>
        <n v="15481600000"/>
        <n v="15292100000"/>
        <n v="11759000000"/>
        <n v="12207000000"/>
        <n v="12713000000"/>
        <n v="12734000000"/>
        <n v="1177275000"/>
        <n v="1077420000"/>
        <n v="857841000"/>
        <n v="632180000"/>
        <n v="2446443000"/>
        <n v="2566444000"/>
        <n v="2850316000"/>
        <n v="4063955000"/>
        <n v="6351000000"/>
        <n v="6423000000"/>
        <n v="7036000000"/>
        <n v="6239000000"/>
        <n v="31243000000"/>
        <n v="31238000000"/>
        <n v="28731000000"/>
        <n v="28209000000"/>
        <n v="9821000000"/>
        <n v="9586000000"/>
        <n v="9577000000"/>
        <n v="9648000000"/>
        <n v="4683600000"/>
        <n v="5231000000"/>
        <n v="6697700000"/>
        <n v="6913200000"/>
        <n v="155355000"/>
        <n v="205018000"/>
        <n v="392709000"/>
        <n v="299694000"/>
        <n v="15590900000"/>
        <n v="16275100000"/>
        <n v="17297300000"/>
        <n v="18705900000"/>
        <n v="10086675000"/>
        <n v="10188227000"/>
        <n v="9655245000"/>
        <n v="8823384000"/>
        <n v="4507196000"/>
        <n v="4244479000"/>
        <n v="4353850000"/>
        <n v="5728662000"/>
        <n v="1143659000"/>
        <n v="1181444000"/>
        <n v="1232611000"/>
        <n v="1237859000"/>
        <n v="59222000000"/>
        <n v="60775000000"/>
        <n v="56479000000"/>
        <n v="57659000000"/>
        <n v="386000000"/>
        <n v="344000000"/>
        <n v="325000000"/>
        <n v="403000000"/>
        <n v="3040900000"/>
        <n v="4629600000"/>
        <n v="4576000000"/>
        <n v="4263200000"/>
        <n v="1879559000"/>
        <n v="2020436000"/>
        <n v="2087854000"/>
        <n v="1969675000"/>
        <n v="8314000000"/>
        <n v="8348000000"/>
        <n v="8206000000"/>
        <n v="8063000000"/>
        <n v="4876000000"/>
        <n v="1751000000"/>
        <n v="1889000000"/>
        <n v="1718000000"/>
        <n v="66635000000"/>
        <n v="26973000000"/>
        <n v="33560000000"/>
        <n v="32747000000"/>
        <n v="158446000000"/>
        <n v="152451000000"/>
        <n v="140183000000"/>
        <n v="77693000000"/>
        <n v="2793800000"/>
        <n v="3967100000"/>
        <n v="3914500000"/>
        <n v="3858700000"/>
        <n v="4982562000"/>
        <n v="5424644000"/>
        <n v="6578435000"/>
        <n v="6648771000"/>
        <n v="6396000000"/>
        <n v="6744000000"/>
        <n v="6962000000"/>
        <n v="5960000000"/>
        <n v="9820000000"/>
        <n v="10686000000"/>
        <n v="10378000000"/>
        <n v="9749000000"/>
        <n v="743304000"/>
        <n v="1021658000"/>
        <n v="1561173000"/>
        <n v="5099484000"/>
        <n v="5253040000"/>
        <n v="5086449000"/>
        <n v="5285568000"/>
        <n v="5157434000"/>
        <n v="5305270000"/>
        <n v="5306281000"/>
        <n v="5099393000"/>
        <n v="2522803000"/>
        <n v="2772098000"/>
        <n v="2980462000"/>
        <n v="3089723000"/>
        <n v="200600000"/>
        <n v="232600000"/>
        <n v="273199000"/>
        <n v="309629000"/>
        <n v="2789000000"/>
        <n v="3140000000"/>
        <n v="3242000000"/>
        <n v="3218000000"/>
        <n v="3778100000"/>
        <n v="3869600000"/>
        <n v="3604800000"/>
        <n v="3404000000"/>
        <n v="1321772000"/>
        <n v="1355200000"/>
        <n v="1447595000"/>
        <n v="1417749000"/>
        <n v="7011428000"/>
        <n v="7360924000"/>
        <n v="7937956000"/>
        <n v="8576873000"/>
        <n v="328784000"/>
        <n v="516119000"/>
        <n v="605752000"/>
        <n v="648968000"/>
        <n v="5234700000"/>
        <n v="5643100000"/>
        <n v="5518600000"/>
        <n v="5764000000"/>
        <n v="6382300000"/>
        <n v="6858800000"/>
        <n v="7787500000"/>
        <n v="8511100000"/>
        <n v="2754000000"/>
        <n v="2987000000"/>
        <n v="3331000000"/>
        <n v="2714000000"/>
        <n v="2417000000"/>
        <n v="2707000000"/>
        <n v="2790000000"/>
        <n v="2335000000"/>
        <n v="5100900000"/>
        <n v="5062900000"/>
        <n v="4444900000"/>
        <n v="4246700000"/>
        <n v="5328236000"/>
        <n v="5568966000"/>
        <n v="5965049000"/>
        <n v="5780078000"/>
        <n v="2446000000"/>
        <n v="2628700000"/>
        <n v="3662100000"/>
        <n v="4109800000"/>
        <n v="3870100000"/>
        <n v="3579600000"/>
        <n v="3724000000"/>
        <n v="4843400000"/>
        <n v="470243000"/>
        <n v="479665000"/>
        <n v="500126000"/>
        <n v="534326000"/>
        <n v="1638900000"/>
        <n v="1759200000"/>
        <n v="1774600000"/>
        <n v="1803500000"/>
        <n v="610836000"/>
        <n v="699294000"/>
        <n v="778896000"/>
        <n v="987357000"/>
        <n v="9373000000"/>
        <n v="9817000000"/>
        <n v="11031000000"/>
        <n v="9811000000"/>
        <n v="800380000"/>
        <n v="837946000"/>
        <n v="882803000"/>
        <n v="960192000"/>
        <n v="17889249000"/>
        <n v="17082000000"/>
        <n v="16691000000"/>
        <n v="15545000000"/>
        <n v="1055844000"/>
        <n v="1178173000"/>
        <n v="1461190000"/>
        <n v="1719723000"/>
        <n v="7186000000"/>
        <n v="7689000000"/>
        <n v="6648000000"/>
        <n v="291000000"/>
        <n v="235000000"/>
        <n v="219000000"/>
        <n v="10411000000"/>
        <n v="9878000000"/>
        <n v="9930000000"/>
        <n v="8545000000"/>
        <n v="1687800000"/>
        <n v="2876000000"/>
        <n v="3449400000"/>
        <n v="3606100000"/>
        <n v="6985800000"/>
        <n v="7235900000"/>
        <n v="7099800000"/>
        <n v="7139700000"/>
        <n v="1025400000"/>
        <n v="1268800000"/>
        <n v="1703900000"/>
        <n v="1623800000"/>
        <n v="245000000"/>
        <n v="328000000"/>
        <n v="427000000"/>
        <n v="689000000"/>
        <n v="362000000"/>
        <n v="374000000"/>
        <n v="470000000"/>
        <n v="607000000"/>
        <n v="3002000000"/>
        <n v="3319000000"/>
        <n v="3344000000"/>
        <n v="3830000000"/>
        <n v="1175000000"/>
        <n v="791000000"/>
        <n v="727000000"/>
        <n v="615000000"/>
        <n v="36414626000"/>
        <n v="38335677000"/>
        <n v="40129236000"/>
        <n v="41326447000"/>
        <n v="55228000000"/>
        <n v="51191000000"/>
        <n v="60145000000"/>
        <n v="67046000000"/>
        <n v="2545600000"/>
        <n v="2493300000"/>
        <n v="2163500000"/>
        <n v="3003100000"/>
        <n v="1174000000"/>
        <n v="1219000000"/>
        <n v="1253000000"/>
        <n v="1254000000"/>
        <n v="874838000"/>
        <n v="1105032000"/>
        <n v="1257270000"/>
        <n v="1443348000"/>
        <n v="7739000000"/>
        <n v="8001000000"/>
        <n v="8146000000"/>
        <n v="8205000000"/>
        <n v="2943847000"/>
        <n v="662769000"/>
        <n v="954990000"/>
        <n v="923336000"/>
        <n v="50568000000"/>
        <n v="50039000000"/>
        <n v="51278000000"/>
        <n v="51997000000"/>
        <n v="1630965000"/>
        <n v="1690700000"/>
        <n v="1712700000"/>
        <n v="1613600000"/>
        <n v="18521400000"/>
        <n v="19605037000"/>
        <n v="20776522000"/>
        <n v="22034523000"/>
        <n v="1955682000"/>
        <n v="1838766000"/>
        <n v="1903384000"/>
        <n v="2016212000"/>
        <n v="7214400000"/>
        <n v="7561200000"/>
        <n v="9397600000"/>
        <n v="9209500000"/>
        <n v="12000000"/>
        <n v="18000000"/>
        <n v="58000000"/>
        <n v="13307000000"/>
        <n v="13870000000"/>
        <n v="13723000000"/>
        <n v="15070000000"/>
        <n v="3098066000"/>
        <n v="3411175000"/>
        <n v="3761300000"/>
        <n v="4083333000"/>
        <n v="32016000000"/>
        <n v="34895000000"/>
        <n v="37456000000"/>
        <n v="32184000000"/>
        <n v="26045000000"/>
        <n v="34085000000"/>
        <n v="35673000000"/>
        <n v="22466000000"/>
        <n v="1189341000"/>
        <n v="1369438000"/>
        <n v="1668892000"/>
        <n v="1855181000"/>
        <n v="6457000000"/>
        <n v="5841000000"/>
        <n v="5618000000"/>
        <n v="5440000000"/>
        <n v="10019000000"/>
        <n v="10131000000"/>
        <n v="11421000000"/>
        <n v="10979000000"/>
        <n v="955624000"/>
        <n v="1195381000"/>
        <n v="1572164000"/>
        <n v="2057766000"/>
        <n v="17820000000"/>
        <n v="17192000000"/>
        <n v="16611000000"/>
        <n v="12130000000"/>
        <n v="245316000"/>
        <n v="258612000"/>
        <n v="270741000"/>
        <n v="282037000"/>
        <n v="1436582000"/>
        <n v="1729325000"/>
        <n v="2104582000"/>
        <n v="2539783000"/>
        <n v="89659000000"/>
        <n v="93633000000"/>
        <n v="103875000000"/>
        <n v="117038000000"/>
        <n v="7172100000"/>
        <n v="7038400000"/>
        <n v="7722100000"/>
        <n v="7209400000"/>
        <n v="5849000000"/>
        <n v="6097000000"/>
        <n v="4434000000"/>
        <n v="3747000000"/>
        <n v="13574000000"/>
        <n v="13703000000"/>
        <n v="14758000000"/>
        <n v="12947000000"/>
        <n v="1763394000"/>
        <n v="1925266000"/>
        <n v="2148147000"/>
        <n v="2243232000"/>
        <n v="1589821000"/>
        <n v="1595700000"/>
        <n v="1562600000"/>
        <n v="1465500000"/>
        <n v="40468000000"/>
        <n v="40898000000"/>
        <n v="40431000000"/>
        <n v="41460000000"/>
        <n v="1932000000"/>
        <n v="2226000000"/>
        <n v="1693210000"/>
        <n v="1748100000"/>
        <n v="1816400000"/>
        <n v="1856500000"/>
        <n v="5817880000"/>
        <n v="5931469000"/>
        <n v="6288190000"/>
        <n v="6393800000"/>
        <n v="6799000000"/>
        <n v="6542000000"/>
        <n v="6868000000"/>
        <n v="6684000000"/>
        <n v="126485000000"/>
        <n v="127316000000"/>
        <n v="118141000000"/>
        <n v="74651000000"/>
        <n v="2233284000"/>
        <n v="2343829000"/>
        <n v="2406587000"/>
        <n v="2564648000"/>
        <n v="928565000"/>
        <n v="953611000"/>
        <n v="1011249000"/>
        <n v="1024336000"/>
        <n v="516708000"/>
        <n v="622523000"/>
        <n v="716598000"/>
        <n v="803274000"/>
        <n v="167600000"/>
        <n v="187013000"/>
        <n v="188425000"/>
        <n v="192788000"/>
        <n v="279885000"/>
        <n v="130277000"/>
        <n v="60987000"/>
        <n v="124512000"/>
        <n v="1118240000"/>
        <n v="1212480000"/>
        <n v="1410205000"/>
        <n v="1442073000"/>
        <n v="46275000000"/>
        <n v="44887000000"/>
        <n v="49931000000"/>
        <n v="52557000000"/>
        <n v="737614000"/>
        <n v="783456000"/>
        <n v="824913000"/>
        <n v="842672000"/>
        <n v="10988000000"/>
        <n v="10770000000"/>
        <n v="10351000000"/>
        <n v="9559000000"/>
        <n v="2760500000"/>
        <n v="2982100000"/>
        <n v="3371800000"/>
        <n v="3949400000"/>
        <n v="1727000000"/>
        <n v="1337000000"/>
        <n v="1096000000"/>
        <n v="963000000"/>
        <n v="8288000000"/>
        <n v="9150000000"/>
        <n v="10313000000"/>
        <n v="15471000000"/>
        <n v="16477000000"/>
        <n v="17201000000"/>
        <n v="17036000000"/>
        <n v="9112000000"/>
        <n v="9002000000"/>
        <n v="8231000000"/>
        <n v="8486000000"/>
        <n v="4523000000"/>
        <n v="4124000000"/>
        <n v="3434000000"/>
        <n v="352297000000"/>
        <n v="358069000000"/>
        <n v="365086000000"/>
        <n v="360984000000"/>
        <n v="7961500000"/>
        <n v="8986500000"/>
        <n v="11413200000"/>
        <n v="3194200000"/>
        <n v="3235000000"/>
        <n v="3297400000"/>
        <n v="3199400000"/>
        <n v="4993000000"/>
        <n v="5716000000"/>
        <n v="5763000000"/>
        <n v="5694000000"/>
        <n v="2093000000"/>
        <n v="2394000000"/>
        <n v="2504000000"/>
        <n v="2700000000"/>
        <n v="3251575000"/>
        <n v="3478822000"/>
        <n v="3316311000"/>
        <n v="2530374000"/>
        <n v="337903000"/>
        <n v="406198000"/>
        <n v="572831000"/>
        <n v="519874000"/>
        <n v="6710036000"/>
        <n v="7408278000"/>
        <n v="7951352000"/>
        <n v="7033633000"/>
        <n v="5165169000"/>
        <n v="5106489000"/>
        <n v="4239474000"/>
        <n v="6199645000"/>
        <n v="737206000"/>
        <n v="743253000"/>
        <n v="708823000"/>
        <n v="671907000"/>
        <n v="302056000000"/>
        <n v="284681000000"/>
        <n v="266831000000"/>
        <n v="165590000000"/>
        <n v="1372042000"/>
        <n v="1373400000"/>
        <n v="1322800000"/>
        <n v="1157100000"/>
        <n v="13634000000"/>
        <n v="13521000000"/>
        <n v="13294000000"/>
        <n v="12782000000"/>
        <n v="2289000000"/>
        <n v="2338000000"/>
        <n v="2403000000"/>
        <n v="2249000000"/>
        <n v="1620566000"/>
        <n v="1349380000"/>
        <n v="1387375000"/>
        <n v="2077748000"/>
        <n v="9852000000"/>
        <n v="9501000000"/>
        <n v="9682000000"/>
        <n v="9359000000"/>
        <n v="1125200000"/>
        <n v="1266700000"/>
        <n v="1242800000"/>
        <n v="1800600000"/>
        <n v="80146000"/>
        <n v="58913000"/>
        <n v="49736000"/>
        <n v="49344000"/>
        <n v="1669000000"/>
        <n v="1717000000"/>
        <n v="1738000000"/>
        <n v="1666000000"/>
      </sharedItems>
    </cacheField>
    <cacheField name=" Sales, General and Admin. " numFmtId="164">
      <sharedItems containsMixedTypes="1" containsNumber="1" containsInteger="1" minValue="0" maxValue="97041000000" count="1587">
        <n v="12977000000"/>
        <n v="12913000000"/>
        <n v="20686000000"/>
        <n v="21275000000"/>
        <n v="2440721000"/>
        <n v="2591828000"/>
        <n v="3601903000"/>
        <n v="3596992000"/>
        <n v="10830000000"/>
        <n v="11993000000"/>
        <n v="14329000000"/>
        <n v="14194000000"/>
        <n v="4989000000"/>
        <n v="5352000000"/>
        <n v="8474000000"/>
        <n v="6387000000"/>
        <n v="1447234000"/>
        <n v="2011595000"/>
        <n v="2858458000"/>
        <n v="2382097000"/>
        <n v="6735000000"/>
        <n v="6372000000"/>
        <n v="6530000000"/>
        <n v="6785000000"/>
        <n v="2140578000"/>
        <n v="2195640000"/>
        <n v="2215161000"/>
        <n v="2487907000"/>
        <n v="396233000"/>
        <n v="454676000"/>
        <n v="702644000"/>
        <n v="461438000"/>
        <n v="1665000000"/>
        <n v="1759000000"/>
        <n v="1907000000"/>
        <n v="2010000000"/>
        <n v="108059000"/>
        <n v="109115000"/>
        <n v="247412000"/>
        <n v="203046000"/>
        <n v="1081800000"/>
        <n v="1054400000"/>
        <n v="1281300000"/>
        <n v="1308900000"/>
        <n v="443000000"/>
        <n v="458000000"/>
        <n v="468000000"/>
        <n v="542000000"/>
        <n v="3812000000"/>
        <n v="3329800000"/>
        <n v="3667900000"/>
        <n v="3676500000"/>
        <n v="0"/>
        <n v="21491000000"/>
        <n v="22005000000"/>
        <n v="18491000000"/>
        <n v="16417000000"/>
        <n v="61732000"/>
        <n v="53073000"/>
        <n v="56621000"/>
        <n v="53546000"/>
        <n v="433448000"/>
        <n v="535598000"/>
        <n v="704880000"/>
        <n v="829253000"/>
        <n v="308456000"/>
        <n v="158189000"/>
        <n v="355135000"/>
        <n v="512274000"/>
        <n v="1542000000"/>
        <n v="1693000000"/>
        <n v="1817000000"/>
        <n v="2013000000"/>
        <n v="1278000000"/>
        <n v="919000000"/>
        <n v="761000000"/>
        <n v="483100000"/>
        <n v="527400000"/>
        <n v="510500000"/>
        <n v="559800000"/>
        <n v="493726000"/>
        <n v="650000000"/>
        <n v="927000000"/>
        <n v="990000000"/>
        <n v="898000000"/>
        <n v="895000000"/>
        <n v="808000000"/>
        <n v="819000000"/>
        <n v="380532000"/>
        <n v="398177000"/>
        <n v="462637000"/>
        <n v="448592000"/>
        <n v="5380000000"/>
        <n v="5153000000"/>
        <n v="4895000000"/>
        <n v="5195000000"/>
        <n v="3927000000"/>
        <n v="3862000000"/>
        <n v="3808000000"/>
        <n v="3750000000"/>
        <n v="389486000"/>
        <n v="487084000"/>
        <n v="515059000"/>
        <n v="564531000"/>
        <n v="19526000000"/>
        <n v="26058000000"/>
        <n v="33122000000"/>
        <n v="43536000000"/>
        <n v="1924300000"/>
        <n v="2061000000"/>
        <n v="2245600000"/>
        <n v="2280300000"/>
        <n v="8680500000"/>
        <n v="9952900000"/>
        <n v="11748400000"/>
        <n v="12534800000"/>
        <n v="1333000000"/>
        <n v="1286000000"/>
        <n v="1095000000"/>
        <n v="791000000"/>
        <n v="2256000000"/>
        <n v="2725000000"/>
        <n v="2000000000"/>
        <n v="2094000000"/>
        <n v="1018600000"/>
        <n v="1007400000"/>
        <n v="895300000"/>
        <n v="797600000"/>
        <n v="512900000"/>
        <n v="548000000"/>
        <n v="645100000"/>
        <n v="669100000"/>
        <n v="997000000"/>
        <n v="1008000000"/>
        <n v="995000000"/>
        <n v="979000000"/>
        <n v="1139000000"/>
        <n v="1096000000"/>
        <n v="1129000000"/>
        <n v="1114000000"/>
        <n v="486000000"/>
        <n v="806000000"/>
        <n v="1148900000"/>
        <n v="1174200000"/>
        <n v="1158900000"/>
        <n v="1108100000"/>
        <n v="220758000"/>
        <n v="234000000"/>
        <n v="236000000"/>
        <n v="243000000"/>
        <n v="23392000000"/>
        <n v="23150000000"/>
        <n v="23153000000"/>
        <n v="22892000000"/>
        <n v="607600000"/>
        <n v="680300000"/>
        <n v="756900000"/>
        <n v="946000000"/>
        <n v="2967837000"/>
        <n v="3104684000"/>
        <n v="3373980000"/>
        <n v="3548341000"/>
        <n v="3742000000"/>
        <n v="3480000000"/>
        <n v="3251000000"/>
        <n v="3313000000"/>
        <n v="70829000000"/>
        <n v="68128000000"/>
        <n v="74181000000"/>
        <n v="56358000000"/>
        <n v="3283000000"/>
        <n v="3084000000"/>
        <n v="3315000000"/>
        <n v="3094000000"/>
        <n v="2750537000"/>
        <n v="2950995000"/>
        <n v="3065486000"/>
        <n v="3205407000"/>
        <n v="5650000000"/>
        <n v="5625000000"/>
        <n v="5715000000"/>
        <n v="5996000000"/>
        <n v="8755000000"/>
        <n v="8106000000"/>
        <n v="7592000000"/>
        <n v="7618000000"/>
        <n v="920300000"/>
        <n v="981500000"/>
        <n v="1012100000"/>
        <n v="1101900000"/>
        <n v="2422000000"/>
        <n v="2145000000"/>
        <n v="2563000000"/>
        <n v="3005000000"/>
        <n v="1306000000"/>
        <n v="969000000"/>
        <n v="815000000"/>
        <n v="1797000000"/>
        <n v="2193400000"/>
        <n v="2143600000"/>
        <n v="1972900000"/>
        <n v="488300000"/>
        <n v="497400000"/>
        <n v="547000000"/>
        <n v="646000000"/>
        <n v="5017000000"/>
        <n v="4939000000"/>
        <n v="4822000000"/>
        <n v="4841000000"/>
        <n v="2529000000"/>
        <n v="2678000000"/>
        <n v="2817000000"/>
        <n v="2996000000"/>
        <n v="702300000"/>
        <n v="792700000"/>
        <n v="763400000"/>
        <n v="1707200000"/>
        <n v="93782000"/>
        <n v="117073000"/>
        <n v="102077000"/>
        <n v="97578000"/>
        <n v="2065900000"/>
        <n v="1778900000"/>
        <n v="1545300000"/>
        <n v="2209400000"/>
        <n v="2875000000"/>
        <n v="3028000000"/>
        <n v="3240000000"/>
        <n v="3648000000"/>
        <n v="6528000000"/>
        <n v="8148000000"/>
        <n v="6974000000"/>
        <n v="6588000000"/>
        <n v="2096000000"/>
        <n v="2211000000"/>
        <n v="2245000000"/>
        <n v="2270000000"/>
        <n v="212572000"/>
        <n v="213519000"/>
        <n v="257296000"/>
        <n v="310921000"/>
        <n v="1879000000"/>
        <n v="2054000000"/>
        <n v="2067000000"/>
        <n v="2197000000"/>
        <n v="1684500000"/>
        <n v="2027900000"/>
        <n v="2305400000"/>
        <n v="2657700000"/>
        <n v="1468434000"/>
        <n v="1628961000"/>
        <n v="2262024000"/>
        <n v="2464380000"/>
        <n v="200900000"/>
        <n v="150200000"/>
        <n v="205200000"/>
        <n v="319000000"/>
        <n v="3380000000"/>
        <n v="3142000000"/>
        <n v="3247000000"/>
        <n v="3113000000"/>
        <n v="746300000"/>
        <n v="815800000"/>
        <n v="811700000"/>
        <n v="837600000"/>
        <n v="723000000"/>
        <n v="686000000"/>
        <n v="554000000"/>
        <n v="334000000"/>
        <n v="1042251000"/>
        <n v="1153445000"/>
        <n v="1259234000"/>
        <n v="1410170000"/>
        <n v="47000000"/>
        <n v="62000000"/>
        <n v="89000000"/>
        <n v="86000000"/>
        <n v="6043000000"/>
        <n v="6645000000"/>
        <n v="6552000000"/>
        <n v="6610000000"/>
        <n v="1291000000"/>
        <n v="1254000000"/>
        <n v="1321000000"/>
        <n v="1393000000"/>
        <n v="1670000000"/>
        <n v="1611000000"/>
        <n v="1859000000"/>
        <n v="1836000000"/>
        <n v="203733000"/>
        <n v="273897000"/>
        <n v="250214000"/>
        <n v="276240000"/>
        <n v="1827000000"/>
        <n v="2112000000"/>
        <n v="2169000000"/>
        <n v="2189000000"/>
        <n v="252000000"/>
        <n v="262000000"/>
        <n v="281000000"/>
        <n v="1105000000"/>
        <n v="1264000000"/>
        <n v="2012000000"/>
        <n v="2977000000"/>
        <n v="365000000"/>
        <n v="387000000"/>
        <n v="388000000"/>
        <n v="374000000"/>
        <n v="11188000000"/>
        <n v="11682000000"/>
        <n v="11648000000"/>
        <n v="12566000000"/>
        <n v="170113000"/>
        <n v="147651000"/>
        <n v="129602000"/>
        <n v="112253000"/>
        <n v="495000000"/>
        <n v="594000000"/>
        <n v="606000000"/>
        <n v="638000000"/>
        <n v="610735000"/>
        <n v="683115000"/>
        <n v="712543000"/>
        <n v="722798000"/>
        <n v="10104000000"/>
        <n v="10899000000"/>
        <n v="11445000000"/>
        <n v="12068000000"/>
        <n v="2410000"/>
        <n v="3940000"/>
        <n v="15359000"/>
        <n v="25853000"/>
        <n v="1653000000"/>
        <n v="1527000000"/>
        <n v="1509000000"/>
        <n v="2047847000"/>
        <n v="2764851000"/>
        <n v="3437032000"/>
        <n v="3951445000"/>
        <n v="11802000000"/>
        <n v="11437000000"/>
        <n v="11861000000"/>
        <n v="11433000000"/>
        <n v="194207000"/>
        <n v="187244000"/>
        <n v="3518000000"/>
        <n v="3805000000"/>
        <n v="3726000000"/>
        <n v="3597000000"/>
        <n v="1187331000"/>
        <n v="1147039000"/>
        <n v="1224930000"/>
        <n v="1348122000"/>
        <n v="3244000000"/>
        <n v="3502000000"/>
        <n v="3347000000"/>
        <n v="3328000000"/>
        <n v="1557646000"/>
        <n v="1727600000"/>
        <n v="2037000000"/>
        <n v="2508600000"/>
        <n v="1476916000"/>
        <n v="1600187000"/>
        <n v="1538027000"/>
        <n v="1620006000"/>
        <n v="17100000000"/>
        <n v="17573000000"/>
        <n v="17034000000"/>
        <n v="16473000000"/>
        <n v="133796000"/>
        <n v="169815000"/>
        <n v="204161000"/>
        <n v="230734000"/>
        <n v="550000000"/>
        <n v="563000000"/>
        <n v="551000000"/>
        <n v="11349000000"/>
        <n v="12702000000"/>
        <n v="13936000000"/>
        <n v="14845000000"/>
        <n v="6564000000"/>
        <n v="5536000000"/>
        <n v="5074000000"/>
        <n v="5005000000"/>
        <n v="4426100000"/>
        <n v="4377700000"/>
        <n v="3834400000"/>
        <n v="4018300000"/>
        <n v="3052000000"/>
        <n v="3194000000"/>
        <n v="3340000000"/>
        <n v="3615000000"/>
        <n v="3430125000"/>
        <n v="3699557000"/>
        <n v="4033414000"/>
        <n v="4365797000"/>
        <n v="1742000000"/>
        <n v="1740000000"/>
        <n v="1721000000"/>
        <n v="1356000000"/>
        <n v="649900000"/>
        <n v="826900000"/>
        <n v="1003000000"/>
        <n v="1100300000"/>
        <n v="5181200000"/>
        <n v="5117100000"/>
        <n v="5389000000"/>
        <n v="6054300000"/>
        <n v="8365000000"/>
        <n v="8565000000"/>
        <n v="8523000000"/>
        <n v="8754000000"/>
        <n v="1598000000"/>
        <n v="1692000000"/>
        <n v="1669000000"/>
        <n v="1690000000"/>
        <n v="916000000"/>
        <n v="1036000000"/>
        <n v="1017000000"/>
        <n v="1145000000"/>
        <n v="68538000"/>
        <n v="69323000"/>
        <n v="89468000"/>
        <n v="139616000"/>
        <n v="1732600000"/>
        <n v="1819500000"/>
        <n v="1993800000"/>
        <n v="3607000000"/>
        <n v="1123200000"/>
        <n v="1058000000"/>
        <n v="1105700000"/>
        <n v="1209100000"/>
        <n v="1616921000"/>
        <n v="1758765000"/>
        <n v="1647382000"/>
        <n v="1757523000"/>
        <n v="2337000000"/>
        <n v="2335000000"/>
        <n v="2320000000"/>
        <n v="2326000000"/>
        <n v="625200000"/>
        <n v="665400000"/>
        <n v="673500000"/>
        <n v="622900000"/>
        <n v="965000000"/>
        <n v="1274000000"/>
        <n v="1213000000"/>
        <n v="1135000000"/>
        <n v="889879000"/>
        <n v="1516508000"/>
        <n v="1278506000"/>
        <n v="1947135000"/>
        <n v="2743000000"/>
        <n v="8290000000"/>
        <n v="7741000000"/>
        <n v="6476000000"/>
        <n v="1078000000"/>
        <n v="1055000000"/>
        <n v="1030000000"/>
        <n v="1028000000"/>
        <n v="3260000000"/>
        <n v="3593000000"/>
        <n v="3660000000"/>
        <n v="3499000000"/>
        <n v="4360300000"/>
        <n v="4577600000"/>
        <n v="4345500000"/>
        <n v="1895000000"/>
        <n v="1877000000"/>
        <n v="1937000000"/>
        <n v="2031000000"/>
        <n v="715800000"/>
        <n v="751700000"/>
        <n v="884300000"/>
        <n v="296000000"/>
        <n v="309000000"/>
        <n v="322000000"/>
        <n v="336000000"/>
        <n v="6597000000"/>
        <n v="6985900000"/>
        <n v="7073500000"/>
        <n v="7337800000"/>
        <n v="644000000"/>
        <n v="645000000"/>
        <n v="755000000"/>
        <n v="762000000"/>
        <n v="6010000000"/>
        <n v="4375000000"/>
        <n v="4065000000"/>
        <n v="3758000000"/>
        <n v="3862434000"/>
        <n v="4621096000"/>
        <n v="5285634000"/>
        <n v="3174320000"/>
        <n v="531180000"/>
        <n v="621413000"/>
        <n v="734119000"/>
        <n v="825296000"/>
        <n v="47233000"/>
        <n v="62179000"/>
        <n v="50948000"/>
        <n v="65082000"/>
        <n v="200849000"/>
        <n v="238134000"/>
        <n v="249925000"/>
        <n v="272747000"/>
        <n v="747356000"/>
        <n v="914149000"/>
        <n v="1034507000"/>
        <n v="1086274000"/>
        <n v="24573000"/>
        <n v="26684000"/>
        <n v="40878000"/>
        <n v="40090000"/>
        <n v="921000000"/>
        <n v="888000000"/>
        <n v="958000000"/>
        <n v="1048000000"/>
        <n v="2894000000"/>
        <n v="3886000000"/>
        <n v="3810000000"/>
        <n v="3596000000"/>
        <n v="917162000"/>
        <n v="888051000"/>
        <n v="863455000"/>
        <n v="1074998000"/>
        <n v="697400000"/>
        <n v="749700000"/>
        <n v="928700000"/>
        <n v="850700000"/>
        <n v="1154000000"/>
        <n v="1200000000"/>
        <n v="1576000000"/>
        <n v="1264632000"/>
        <n v="1282709000"/>
        <n v="1337487000"/>
        <n v="1420281000"/>
        <n v="3151043000"/>
        <n v="3919856000"/>
        <n v="4785243000"/>
        <n v="6280728000"/>
        <n v="58323000"/>
        <n v="63268000"/>
        <n v="71369000"/>
        <n v="80791000"/>
        <n v="10850000000"/>
        <n v="11842000000"/>
        <n v="10502000000"/>
        <n v="12196000000"/>
        <n v="1007431000"/>
        <n v="1110776000"/>
        <n v="1121590000"/>
        <n v="1169470000"/>
        <n v="1778000000"/>
        <n v="2653000000"/>
        <n v="4020000000"/>
        <n v="5503000000"/>
        <n v="873100000"/>
        <n v="938700000"/>
        <n v="943300000"/>
        <n v="1047600000"/>
        <n v="431000000"/>
        <n v="657000000"/>
        <n v="592000000"/>
        <n v="569000000"/>
        <n v="20359000000"/>
        <n v="22113000000"/>
        <n v="25715000000"/>
        <n v="27330000000"/>
        <n v="5353000000"/>
        <n v="4315000000"/>
        <n v="5759000000"/>
        <n v="4969000000"/>
        <n v="587835000"/>
        <n v="664738000"/>
        <n v="738080000"/>
        <n v="767174000"/>
        <n v="763300000"/>
        <n v="907800000"/>
        <n v="814900000"/>
        <n v="1102800000"/>
        <n v="824000000"/>
        <n v="977000000"/>
        <n v="975000000"/>
        <n v="1034000000"/>
        <n v="1294000000"/>
        <n v="1334000000"/>
        <n v="1426000000"/>
        <n v="1415000000"/>
        <n v="292500000"/>
        <n v="322739000"/>
        <n v="331995000"/>
        <n v="313544000"/>
        <n v="175148000"/>
        <n v="182711000"/>
        <n v="408225000"/>
        <n v="191073000"/>
        <n v="966829000"/>
        <n v="936900000"/>
        <n v="971611000"/>
        <n v="965322000"/>
        <n v="489700000"/>
        <n v="496100000"/>
        <n v="589800000"/>
        <n v="737900000"/>
        <n v="31970000"/>
        <n v="32316000"/>
        <n v="35645000"/>
        <n v="33399000"/>
        <n v="280928000"/>
        <n v="270261000"/>
        <n v="253827000"/>
        <n v="255192000"/>
        <n v="2676141000"/>
        <n v="2616000000"/>
        <n v="2671000000"/>
        <n v="3275000000"/>
        <n v="2039000000"/>
        <n v="1984000000"/>
        <n v="1952000000"/>
        <n v="1940000000"/>
        <n v="72163000"/>
        <n v="76864000"/>
        <n v="88705000"/>
        <n v="72363000"/>
        <n v="1461000000"/>
        <n v="1699000000"/>
        <n v="2983000000"/>
        <n v="3426000000"/>
        <n v="3552300000"/>
        <n v="3474300000"/>
        <n v="3118900000"/>
        <n v="1126000000"/>
        <n v="1202000000"/>
        <n v="1508000000"/>
        <n v="1472000000"/>
        <n v="12382000000"/>
        <n v="12158000000"/>
        <n v="13405000000"/>
        <n v="11710000000"/>
        <n v="2656530000"/>
        <n v="3028028000"/>
        <n v="3314030000"/>
        <n v="3277390000"/>
        <n v="1156635000"/>
        <n v="1196512000"/>
        <n v="1295014000"/>
        <n v="1325567000"/>
        <n v="508547000"/>
        <n v="468345000"/>
        <n v="518665000"/>
        <n v="562080000"/>
        <n v="2816000000"/>
        <n v="2815000000"/>
        <n v="2728000000"/>
        <n v="2617000000"/>
        <n v="2785035000"/>
        <n v="2839629000"/>
        <n v="2967125000"/>
        <n v="2931108000"/>
        <n v="293000000"/>
        <n v="200000000"/>
        <n v="228000000"/>
        <n v="902869000"/>
        <n v="1126940000"/>
        <n v="1347510000"/>
        <n v="1513064000"/>
        <n v="1269586000"/>
        <n v="1269777000"/>
        <n v="1315793000"/>
        <n v="1370183000"/>
        <n v="1789327000"/>
        <n v="1716639000"/>
        <n v="1843069000"/>
        <n v="1948041000"/>
        <n v="1096507000"/>
        <n v="1340453000"/>
        <n v="1541214000"/>
        <n v="1500399000"/>
        <n v="20801000000"/>
        <n v="21667000000"/>
        <n v="23271000000"/>
        <n v="25171000000"/>
        <n v="158950000"/>
        <n v="241719000"/>
        <n v="212481000"/>
        <n v="258342000"/>
        <n v="401324000"/>
        <n v="463059000"/>
        <n v="706644000"/>
        <n v="842010000"/>
        <n v="16508000000"/>
        <n v="16122000000"/>
        <n v="16280000000"/>
        <n v="16801000000"/>
        <n v="1045000000"/>
        <n v="863000000"/>
        <n v="703000000"/>
        <n v="1111232000"/>
        <n v="1124753000"/>
        <n v="1159502000"/>
        <n v="1220095000"/>
        <n v="661100000"/>
        <n v="591500000"/>
        <n v="624000000"/>
        <n v="682400000"/>
        <n v="5190000000"/>
        <n v="5518000000"/>
        <n v="5006000000"/>
        <n v="5469000000"/>
        <n v="126250000"/>
        <n v="116190000"/>
        <n v="122878000"/>
        <n v="136287000"/>
        <n v="8717000000"/>
        <n v="9047000000"/>
        <n v="8419000000"/>
        <n v="13267000000"/>
        <n v="5361000000"/>
        <n v="4663000000"/>
        <n v="4019000000"/>
        <n v="828095000"/>
        <n v="830789000"/>
        <n v="818091000"/>
        <n v="905648000"/>
        <n v="627340000"/>
        <n v="650948000"/>
        <n v="743611000"/>
        <n v="871974000"/>
        <n v="914000000"/>
        <n v="820000000"/>
        <n v="976000000"/>
        <n v="1186000000"/>
        <n v="1873360000"/>
        <n v="1978960000"/>
        <n v="2196173000"/>
        <n v="2243356000"/>
        <n v="2101000000"/>
        <n v="1968000000"/>
        <n v="1920000000"/>
        <n v="2011000000"/>
        <n v="1703796000"/>
        <n v="1924132000"/>
        <n v="1898284000"/>
        <n v="1969308000"/>
        <n v="22389000000"/>
        <n v="22629000000"/>
        <n v="22438000000"/>
        <n v="19748000000"/>
        <n v="354571000"/>
        <n v="401353000"/>
        <n v="457598000"/>
        <n v="482465000"/>
        <n v="453535000"/>
        <n v="505877000"/>
        <n v="514891000"/>
        <n v="509557000"/>
        <n v="397285000"/>
        <n v="471921000"/>
        <n v="522046000"/>
        <n v="584491000"/>
        <n v="8088000000"/>
        <n v="8136000000"/>
        <n v="7930000000"/>
        <n v="8397000000"/>
        <n v="1534000000"/>
        <n v="1601000000"/>
        <n v="1771000000"/>
        <n v="1807000000"/>
        <n v="3303000000"/>
        <n v="3557000000"/>
        <n v="3494000000"/>
        <n v="3219000000"/>
        <n v="6279100000"/>
        <n v="6463400000"/>
        <n v="6748500000"/>
        <n v="6742700000"/>
        <n v="850371000"/>
        <n v="924031000"/>
        <n v="869572000"/>
        <n v="844960000"/>
        <n v="574000000"/>
        <n v="691000000"/>
        <n v="640500000"/>
        <n v="705300000"/>
        <n v="2417000000"/>
        <n v="2415000000"/>
        <n v="3207800000"/>
        <n v="3524400000"/>
        <n v="3870200000"/>
        <n v="3764500000"/>
        <n v="1064757000"/>
        <n v="1183682000"/>
        <n v="1341000000"/>
        <n v="1466761000"/>
        <n v="1173340000"/>
        <n v="1545716000"/>
        <n v="1522811000"/>
        <n v="1429233000"/>
        <n v="1252300000"/>
        <n v="1293200000"/>
        <n v="1254700000"/>
        <n v="1172700000"/>
        <n v="64729000000"/>
        <n v="70467000000"/>
        <n v="61274000000"/>
        <n v="59014000000"/>
        <n v="3357000000"/>
        <n v="3453000000"/>
        <n v="3777000000"/>
        <n v="4168000000"/>
        <n v="3872000000"/>
        <n v="3266000000"/>
        <n v="4039000000"/>
        <n v="3590000000"/>
        <n v="174085000"/>
        <n v="194491000"/>
        <n v="207519000"/>
        <n v="224088000"/>
        <n v="123524000"/>
        <n v="127470000"/>
        <n v="122201000"/>
        <n v="122735000"/>
        <n v="387812000"/>
        <n v="384907000"/>
        <n v="406864000"/>
        <n v="379399000"/>
        <n v="3706000000"/>
        <n v="4162000000"/>
        <n v="5011000000"/>
        <n v="3334000000"/>
        <n v="1007000000"/>
        <n v="1029000000"/>
        <n v="1089000000"/>
        <n v="731767000"/>
        <n v="819048000"/>
        <n v="890431000"/>
        <n v="959899000"/>
        <n v="18185000000"/>
        <n v="18205000000"/>
        <n v="18401000000"/>
        <n v="18084000000"/>
        <n v="621536000"/>
        <n v="926900000"/>
        <n v="1251500000"/>
        <n v="1428000000"/>
        <n v="15477000000"/>
        <n v="15809000000"/>
        <n v="17868000000"/>
        <n v="18669000000"/>
        <n v="4267000000"/>
        <n v="4313000000"/>
        <n v="4350000000"/>
        <n v="4452000000"/>
        <n v="602100000"/>
        <n v="632000000"/>
        <n v="571200000"/>
        <n v="519600000"/>
        <n v="2720000000"/>
        <n v="2686000000"/>
        <n v="2855000000"/>
        <n v="3012000000"/>
        <n v="346100000"/>
        <n v="346900000"/>
        <n v="439200000"/>
        <n v="411800000"/>
        <n v="328595000"/>
        <n v="521502000"/>
        <n v="630421000"/>
        <n v="764117000"/>
        <n v="1114600000"/>
        <n v="1128800000"/>
        <n v="1198200000"/>
        <n v="1622000000"/>
        <n v="1219343000"/>
        <n v="1454080000"/>
        <n v="1866520000"/>
        <n v="1987271000"/>
        <n v="151382000"/>
        <n v="159642000"/>
        <n v="169952000"/>
        <n v="170120000"/>
        <n v="6839500000"/>
        <n v="6606700000"/>
        <n v="6280300000"/>
        <n v="6432400000"/>
        <s v=" 0(318,000,000)"/>
        <s v=" 0(329,000,000)"/>
        <s v=" 0(220,000,000)"/>
        <s v=" 0(487,000,000)"/>
        <n v="98200000"/>
        <n v="99600000"/>
        <n v="101100000"/>
        <n v="103700000"/>
        <n v="12244000000"/>
        <n v="12865000000"/>
        <n v="13281000000"/>
        <n v="14115000000"/>
        <n v="601300000"/>
        <n v="613341000"/>
        <n v="591611000"/>
        <n v="630954000"/>
        <n v="360586000"/>
        <n v="2177616000"/>
        <n v="2856642000"/>
        <n v="2620072000"/>
        <n v="7161000000"/>
        <n v="7639000000"/>
        <n v="8625000000"/>
        <n v="9312000000"/>
        <n v="1201000000"/>
        <n v="1162000000"/>
        <n v="1181000000"/>
        <n v="1467000000"/>
        <n v="909000000"/>
        <n v="870000000"/>
        <n v="828000000"/>
        <n v="8482000000"/>
        <n v="8440000000"/>
        <n v="8355000000"/>
        <n v="8256000000"/>
        <n v="3456000000"/>
        <n v="4014000000"/>
        <n v="4525000000"/>
        <n v="47115000"/>
        <n v="43720000"/>
        <n v="57664000"/>
        <n v="53992000"/>
        <n v="20412000"/>
        <n v="27772000"/>
        <n v="29412000"/>
        <n v="29870000"/>
        <n v="582000000"/>
        <n v="649000000"/>
        <n v="659000000"/>
        <n v="634000000"/>
        <n v="1347000000"/>
        <n v="1338000000"/>
        <n v="1339000000"/>
        <n v="1403000000"/>
        <n v="2388182000"/>
        <n v="2310780000"/>
        <n v="2347308000"/>
        <n v="2265436000"/>
        <n v="2211700000"/>
        <n v="2138400000"/>
        <n v="2506500000"/>
        <n v="2643700000"/>
        <n v="261471000"/>
        <n v="267278000"/>
        <n v="274815000"/>
        <n v="301670000"/>
        <n v="4110000000"/>
        <n v="5388000000"/>
        <n v="7901000000"/>
        <n v="7276000000"/>
        <n v="752200000"/>
        <n v="822100000"/>
        <n v="869300000"/>
        <n v="921300000"/>
        <n v="9176000000"/>
        <n v="8679000000"/>
        <n v="8457000000"/>
        <n v="7577000000"/>
        <n v="9098000000"/>
        <n v="9438000000"/>
        <n v="8319000000"/>
        <n v="6998000000"/>
        <n v="1110550000"/>
        <n v="1373878000"/>
        <n v="1381396000"/>
        <n v="1573120000"/>
        <n v="1457300000"/>
        <n v="1548600000"/>
        <n v="1617600000"/>
        <n v="1532400000"/>
        <n v="1090300000"/>
        <n v="1122000000"/>
        <n v="1127400000"/>
        <n v="1175000000"/>
        <n v="135824000"/>
        <n v="145298000"/>
        <n v="164596000"/>
        <n v="233887000"/>
        <n v="7134000000"/>
        <n v="7226000000"/>
        <n v="7515000000"/>
        <n v="7334000000"/>
        <n v="6384000000"/>
        <n v="6469000000"/>
        <n v="6182000000"/>
        <n v="6111000000"/>
        <n v="2249000000"/>
        <n v="2362000000"/>
        <n v="2541000000"/>
        <n v="2749000000"/>
        <n v="2550000000"/>
        <n v="2774000000"/>
        <n v="2833000000"/>
        <n v="550600000"/>
        <n v="505800000"/>
        <n v="439100000"/>
        <n v="491000000"/>
        <n v="7202000000"/>
        <n v="7851000000"/>
        <n v="8450000000"/>
        <n v="10029000000"/>
        <n v="12776000000"/>
        <n v="11911000000"/>
        <n v="11606000000"/>
        <n v="10313000000"/>
        <n v="4017000000"/>
        <n v="3469000000"/>
        <n v="3627000000"/>
        <n v="1831000000"/>
        <n v="20289000000"/>
        <n v="20488000000"/>
        <n v="20324000000"/>
        <n v="19260000000"/>
        <n v="2448629000"/>
        <n v="2540954000"/>
        <n v="2655650000"/>
        <n v="2796508000"/>
        <n v="692693000"/>
        <n v="728582000"/>
        <n v="700810000"/>
        <n v="732622000"/>
        <n v="939000000"/>
        <n v="674000000"/>
        <n v="653000000"/>
        <n v="285144000"/>
        <n v="466498000"/>
        <n v="471219000"/>
        <n v="372457000"/>
        <n v="1545700000"/>
        <n v="2180700000"/>
        <n v="446000000"/>
        <n v="745000000"/>
        <n v="233000000"/>
        <n v="832000000"/>
        <n v="1054000000"/>
        <n v="1050000000"/>
        <n v="1280000000"/>
        <n v="1324000000"/>
        <n v="1399000000"/>
        <n v="757000000"/>
        <n v="584000000"/>
        <n v="545000000"/>
        <n v="670000000"/>
        <n v="650243000"/>
        <n v="876927000"/>
        <n v="1231421000"/>
        <n v="1568877000"/>
        <n v="311000000"/>
        <n v="358000000"/>
        <n v="5204000000"/>
        <n v="7796000000"/>
        <n v="8766000000"/>
        <n v="9892000000"/>
        <n v="10469000000"/>
        <n v="1815000000"/>
        <n v="1917000000"/>
        <n v="1915000000"/>
        <n v="1851000000"/>
        <n v="1654000000"/>
        <n v="1905000000"/>
        <n v="2092000000"/>
        <n v="1764000000"/>
        <n v="3002000000"/>
        <n v="2897000000"/>
        <n v="2911000000"/>
        <n v="2247400000"/>
        <n v="2179000000"/>
        <n v="2099000000"/>
        <n v="454900000"/>
        <n v="467904000"/>
        <n v="520805000"/>
        <n v="458989000"/>
        <n v="430822000"/>
        <n v="436000000"/>
        <n v="480000000"/>
        <n v="602000000"/>
        <n v="1403500000"/>
        <n v="1399500000"/>
        <n v="1545900000"/>
        <n v="1626000000"/>
        <n v="38123000"/>
        <n v="56881000"/>
        <n v="51085000"/>
        <n v="49298000"/>
        <n v="491725000"/>
        <n v="541586000"/>
        <n v="674887000"/>
        <n v="693331000"/>
        <n v="477200000"/>
        <n v="431800000"/>
        <n v="443900000"/>
        <n v="2120025000"/>
        <n v="2265516000"/>
        <n v="2438527000"/>
        <n v="2648622000"/>
        <n v="2108000000"/>
        <n v="2053000000"/>
        <n v="1613000000"/>
        <n v="803800000"/>
        <n v="812800000"/>
        <n v="816700000"/>
        <n v="836700000"/>
        <n v="1489735000"/>
        <n v="1420096000"/>
        <n v="1378400000"/>
        <n v="1279961000"/>
        <n v="571600000"/>
        <n v="559500000"/>
        <n v="561400000"/>
        <n v="541500000"/>
        <n v="2188747000"/>
        <n v="3185497000"/>
        <n v="4302998000"/>
        <n v="5060406000"/>
        <n v="98000000"/>
        <n v="68000000"/>
        <n v="25357000000"/>
        <n v="25772000000"/>
        <n v="24538000000"/>
        <n v="24735000000"/>
        <n v="15171000000"/>
        <n v="14355000000"/>
        <n v="14097000000"/>
        <n v="14809000000"/>
        <n v="189000000"/>
        <n v="177400000"/>
        <n v="163500000"/>
        <n v="156600000"/>
        <n v="346393000"/>
        <n v="519267000"/>
        <n v="838526000"/>
        <n v="1177697000"/>
        <n v="15400000"/>
        <n v="18800000"/>
        <n v="18900000"/>
        <n v="22800000"/>
        <n v="1554973000"/>
        <n v="1633992000"/>
        <n v="1544746000"/>
        <n v="1359360000"/>
        <n v="568500000"/>
        <n v="861390000"/>
        <n v="794728000"/>
        <n v="957150000"/>
        <n v="627370000"/>
        <n v="581898000"/>
        <n v="659335000"/>
        <n v="598848000"/>
        <n v="6890000000"/>
        <n v="7001000000"/>
        <n v="6656000000"/>
        <n v="6405000000"/>
        <n v="10486000000"/>
        <n v="9681000000"/>
        <n v="9488000000"/>
        <n v="9463000000"/>
        <n v="1117700000"/>
        <n v="1493700000"/>
        <n v="1493800000"/>
        <n v="1334300000"/>
        <n v="166154000"/>
        <n v="172161000"/>
        <n v="175178000"/>
        <n v="176744000"/>
        <n v="3486000000"/>
        <n v="4013000000"/>
        <n v="3624000000"/>
        <n v="4630000000"/>
        <n v="3143000000"/>
        <n v="2173000000"/>
        <n v="2237000000"/>
        <n v="17504000000"/>
        <n v="16172000000"/>
        <n v="18786000000"/>
        <n v="16603000000"/>
        <n v="15443000000"/>
        <n v="15597000000"/>
        <n v="16703000000"/>
        <n v="15747000000"/>
        <n v="2594300000"/>
        <n v="3673500000"/>
        <n v="3713600000"/>
        <n v="3417700000"/>
        <n v="434894000"/>
        <n v="485069000"/>
        <n v="705477000"/>
        <n v="592863000"/>
        <n v="1227000000"/>
        <n v="1349000000"/>
        <n v="1437000000"/>
        <n v="1296000000"/>
        <n v="2849000000"/>
        <n v="3637000000"/>
        <n v="2159000000"/>
        <n v="180317000"/>
        <n v="309348000"/>
        <n v="588822000"/>
        <n v="922340000"/>
        <n v="1030014000"/>
        <n v="961579000"/>
        <n v="956158000"/>
        <n v="1011543000"/>
        <n v="1044819000"/>
        <n v="1048952000"/>
        <n v="1086504000"/>
        <n v="1324815000"/>
        <n v="1425734000"/>
        <n v="1533799000"/>
        <n v="1606217000"/>
        <n v="660887000"/>
        <n v="750292000"/>
        <n v="898440000"/>
        <n v="1041231000"/>
        <n v="2971000000"/>
        <n v="3301000000"/>
        <n v="3389000000"/>
        <n v="1537700000"/>
        <n v="1570100000"/>
        <n v="1506400000"/>
        <n v="1467400000"/>
        <n v="914130000"/>
        <n v="1040567000"/>
        <n v="1102426000"/>
        <n v="1136728000"/>
        <n v="1437886000"/>
        <n v="1526366000"/>
        <n v="1615371000"/>
        <n v="1738755000"/>
        <n v="248136000"/>
        <n v="391707000"/>
        <n v="191802000"/>
        <n v="165318000"/>
        <n v="1088100000"/>
        <n v="998400000"/>
        <n v="1067000000"/>
        <n v="1054500000"/>
        <n v="5655800000"/>
        <n v="6086800000"/>
        <n v="7130200000"/>
        <n v="7970300000"/>
        <n v="207000000"/>
        <n v="220000000"/>
        <n v="229000000"/>
        <n v="337000000"/>
        <n v="373000000"/>
        <n v="393000000"/>
        <n v="353000000"/>
        <n v="1788300000"/>
        <n v="1849400000"/>
        <n v="1656200000"/>
        <n v="1604400000"/>
        <n v="3264896000"/>
        <n v="3470200000"/>
        <n v="3860448000"/>
        <n v="3943786000"/>
        <n v="976900000"/>
        <n v="1010000000"/>
        <n v="1497600000"/>
        <n v="1736700000"/>
        <n v="1020400000"/>
        <n v="1013100000"/>
        <n v="1085800000"/>
        <n v="1614100000"/>
        <n v="120310000"/>
        <n v="122128000"/>
        <n v="133502000"/>
        <n v="139137000"/>
        <n v="1012400000"/>
        <n v="1048700000"/>
        <n v="1053700000"/>
        <n v="1054100000"/>
        <n v="655473000"/>
        <n v="729055000"/>
        <n v="764799000"/>
        <n v="785179000"/>
        <n v="934000000"/>
        <n v="981000000"/>
        <n v="376687000"/>
        <n v="402369000"/>
        <n v="446845000"/>
        <n v="452835000"/>
        <n v="4884284000"/>
        <n v="4735000000"/>
        <n v="4816000000"/>
        <n v="4600000000"/>
        <n v="356817000"/>
        <n v="390610000"/>
        <n v="489937000"/>
        <n v="712803000"/>
        <n v="359000000"/>
        <n v="414000000"/>
        <n v="397000000"/>
        <n v="6073000000"/>
        <n v="5808000000"/>
        <n v="5120000000"/>
        <n v="635000000"/>
        <n v="722000000"/>
        <n v="237000000"/>
        <n v="585400000"/>
        <n v="895100000"/>
        <n v="1078400000"/>
        <n v="1177200000"/>
        <n v="2960300000"/>
        <n v="2814600000"/>
        <n v="2681100000"/>
        <n v="2798900000"/>
        <n v="159700000"/>
        <n v="179100000"/>
        <n v="191300000"/>
        <n v="195900000"/>
        <n v="835000000"/>
        <n v="1052000000"/>
        <n v="1208000000"/>
        <n v="2123000000"/>
        <n v="2484000000"/>
        <n v="2927000000"/>
        <n v="3264000000"/>
        <n v="4089000000"/>
        <n v="4308000000"/>
        <n v="3906000000"/>
        <n v="4295000000"/>
        <n v="3236000000"/>
        <n v="2186000000"/>
        <n v="1587000000"/>
        <n v="6338129000"/>
        <n v="41066000000"/>
        <n v="28414000000"/>
        <n v="41817000000"/>
        <n v="32954000000"/>
        <n v="1193800000"/>
        <n v="1163900000"/>
        <n v="1051800000"/>
        <n v="1597300000"/>
        <n v="728000000"/>
        <n v="770000000"/>
        <n v="765000000"/>
        <n v="254468000"/>
        <n v="276446000"/>
        <n v="321624000"/>
        <n v="382858000"/>
        <n v="1440000000"/>
        <n v="1504000000"/>
        <n v="1463000000"/>
        <n v="1303427000"/>
        <n v="531932000"/>
        <n v="766854000"/>
        <n v="1068221000"/>
        <n v="15110000000"/>
        <n v="14465000000"/>
        <n v="14676000000"/>
        <n v="14665000000"/>
        <n v="1466067000"/>
        <n v="2036100000"/>
        <n v="1645800000"/>
        <n v="1731200000"/>
        <n v="4250446000"/>
        <n v="4467089000"/>
        <n v="4695384000"/>
        <n v="5205715000"/>
        <n v="3354900000"/>
        <n v="3446300000"/>
        <n v="4896100000"/>
        <n v="4612100000"/>
        <n v="429000000"/>
        <n v="597000000"/>
        <n v="801000000"/>
        <n v="1109000000"/>
        <n v="3757000000"/>
        <n v="3964000000"/>
        <n v="4094000000"/>
        <n v="4154000000"/>
        <n v="1040287000"/>
        <n v="1138934000"/>
        <n v="1246308000"/>
        <n v="1369097000"/>
        <n v="983000000"/>
        <n v="1255000000"/>
        <n v="1748000000"/>
        <n v="1864000000"/>
        <n v="1702000000"/>
        <n v="2248000000"/>
        <n v="2762000000"/>
        <n v="2620000000"/>
        <n v="247597000"/>
        <n v="312367000"/>
        <n v="346345000"/>
        <n v="390253000"/>
        <n v="1804000000"/>
        <n v="1858000000"/>
        <n v="1843000000"/>
        <n v="1165000000"/>
        <n v="1361000000"/>
        <n v="1304000000"/>
        <n v="670602000"/>
        <n v="871572000"/>
        <n v="1158251000"/>
        <n v="1497000000"/>
        <n v="16448000000"/>
        <n v="17629000000"/>
        <n v="17795000000"/>
        <n v="18423000000"/>
        <n v="58005000"/>
        <n v="37121000"/>
        <n v="56612000"/>
        <n v="71733000"/>
        <n v="488880000"/>
        <n v="596390000"/>
        <n v="712006000"/>
        <n v="863354000"/>
        <n v="786800000"/>
        <n v="790400000"/>
        <n v="820900000"/>
        <n v="835100000"/>
        <n v="6891000000"/>
        <n v="7234000000"/>
        <n v="7315000000"/>
        <n v="6884000000"/>
        <n v="37352000000"/>
        <n v="32834000000"/>
        <n v="36583000000"/>
        <n v="35664000000"/>
        <n v="657246000"/>
        <n v="734511000"/>
        <n v="809545000"/>
        <n v="848323000"/>
        <n v="441168000"/>
        <n v="460300000"/>
        <n v="460100000"/>
        <n v="425100000"/>
        <n v="5241000000"/>
        <n v="4934000000"/>
        <n v="6097000000"/>
        <n v="5275000000"/>
        <n v="2207000000"/>
        <n v="2242000000"/>
        <n v="2229000000"/>
        <n v="4469000000"/>
        <n v="432589000"/>
        <n v="470600000"/>
        <n v="488500000"/>
        <n v="557000000"/>
        <n v="3596708000"/>
        <n v="3841032000"/>
        <n v="4159885000"/>
        <n v="4178386000"/>
        <n v="2829000000"/>
        <n v="2899000000"/>
        <n v="2860000000"/>
        <n v="2851000000"/>
        <n v="5229000000"/>
        <n v="5081000000"/>
        <n v="5111000000"/>
        <n v="4953000000"/>
        <n v="308143000"/>
        <n v="274217000"/>
        <n v="292358000"/>
        <n v="312694000"/>
        <n v="177366000"/>
        <n v="169270000"/>
        <n v="175307000"/>
        <n v="179279000"/>
        <n v="220068000"/>
        <n v="228982000"/>
        <n v="227306000"/>
        <n v="312690000"/>
        <n v="186971000"/>
        <n v="179545000"/>
        <n v="189488000"/>
        <n v="196914000"/>
        <n v="432681000"/>
        <n v="356188000"/>
        <n v="305409000"/>
        <n v="376575000"/>
        <n v="132447000"/>
        <n v="147481000"/>
        <n v="145992000"/>
        <n v="136863000"/>
        <n v="39951000000"/>
        <n v="27089000000"/>
        <n v="41016000000"/>
        <n v="29986000000"/>
        <n v="477270000"/>
        <n v="492965000"/>
        <n v="512707000"/>
        <n v="495747000"/>
        <n v="1525000000"/>
        <n v="908000000"/>
        <n v="964000000"/>
        <n v="1342000000"/>
        <n v="121400000"/>
        <n v="116700000"/>
        <n v="121800000"/>
        <n v="164400000"/>
        <n v="48724000000"/>
        <n v="47338000000"/>
        <n v="47667000000"/>
        <n v="48728000000"/>
        <n v="3682000000"/>
        <n v="4032000000"/>
        <n v="4472000000"/>
        <n v="4477000000"/>
        <n v="1828000000"/>
        <n v="2038000000"/>
        <n v="2130000000"/>
        <n v="2084000000"/>
        <n v="1468000000"/>
        <n v="1481000000"/>
        <n v="1343000000"/>
        <n v="1410000000"/>
        <n v="595000000"/>
        <n v="546000000"/>
        <n v="384000000"/>
        <n v="864000000"/>
        <n v="88629000000"/>
        <n v="91353000000"/>
        <n v="93418000000"/>
        <n v="97041000000"/>
        <n v="937600000"/>
        <n v="1026100000"/>
        <n v="1750100000"/>
        <n v="1140600000"/>
        <n v="1199600000"/>
        <n v="1169300000"/>
        <n v="1174900000"/>
        <n v="320000000"/>
        <n v="494000000"/>
        <n v="249000000"/>
        <n v="420000000"/>
        <n v="1389000000"/>
        <n v="1471000000"/>
        <n v="1557000000"/>
        <n v="1574000000"/>
        <n v="481677000"/>
        <n v="465926000"/>
        <n v="502901000"/>
        <n v="475328000"/>
        <n v="188302000"/>
        <n v="72143000"/>
        <n v="225070000"/>
        <n v="179867000"/>
        <n v="669451000"/>
        <n v="681226000"/>
        <n v="767608000"/>
        <n v="865817000"/>
        <n v="365684000"/>
        <n v="378607000"/>
        <n v="353670000"/>
        <n v="331652000"/>
        <n v="81844000000"/>
        <n v="76696000000"/>
        <n v="74226000000"/>
        <n v="61444000000"/>
        <n v="1148731000"/>
        <n v="1144800000"/>
        <n v="1143100000"/>
        <n v="1077300000"/>
        <n v="4398000000"/>
        <n v="4219000000"/>
        <n v="3792000000"/>
        <n v="936000000"/>
        <n v="920000000"/>
        <n v="854000000"/>
        <n v="1641819000"/>
        <n v="1751275000"/>
        <n v="1770710000"/>
        <n v="1768522000"/>
        <n v="1450000000"/>
        <n v="1454000000"/>
        <n v="1505000000"/>
        <n v="1746000000"/>
        <n v="1822100000"/>
        <n v="1796300000"/>
        <n v="1772200000"/>
        <n v="2291900000"/>
        <n v="1579007000"/>
        <n v="1700064000"/>
        <n v="1654369000"/>
        <n v="1591239000"/>
        <n v="1643000000"/>
        <n v="1532000000"/>
        <n v="1364000000"/>
      </sharedItems>
    </cacheField>
    <cacheField name=" Research and Development " numFmtId="164">
      <sharedItems containsSemiMixedTypes="0" containsString="0" containsNumber="1" containsInteger="1" minValue="0" maxValue="12740000000"/>
    </cacheField>
    <cacheField name=" Other Operating Items " numFmtId="164">
      <sharedItems containsMixedTypes="1" containsNumber="1" containsInteger="1" minValue="0" maxValue="54872000000" count="912">
        <n v="845000000"/>
        <n v="853000000"/>
        <n v="1295000000"/>
        <n v="1364000000"/>
        <n v="0"/>
        <n v="162186000"/>
        <n v="188680000"/>
        <n v="248635000"/>
        <n v="364735000"/>
        <n v="595000000"/>
        <n v="588000000"/>
        <n v="555000000"/>
        <n v="601000000"/>
        <n v="52254000"/>
        <n v="52424000"/>
        <n v="68649000"/>
        <n v="78534000"/>
        <n v="220000"/>
        <n v="26020000"/>
        <n v="88318000"/>
        <n v="70123000"/>
        <n v="166876000"/>
        <n v="216119000"/>
        <n v="313082000"/>
        <n v="492140000"/>
        <n v="42100000"/>
        <n v="36500000"/>
        <n v="39800000"/>
        <n v="33200000"/>
        <n v="673000000"/>
        <n v="706000000"/>
        <n v="745000000"/>
        <n v="796000000"/>
        <n v="1782000000"/>
        <n v="1712500000"/>
        <n v="1897600000"/>
        <n v="2009700000"/>
        <n v="3727000000"/>
        <n v="3489000000"/>
        <n v="3547000000"/>
        <n v="3672000000"/>
        <n v="325173000"/>
        <n v="291910000"/>
        <n v="282608000"/>
        <n v="306301000"/>
        <n v="1470287000"/>
        <n v="1485558000"/>
        <n v="1402573000"/>
        <n v="1351314000"/>
        <n v="20962000"/>
        <n v="21547000"/>
        <n v="32057000"/>
        <n v="27067000"/>
        <n v="264000000"/>
        <n v="270000000"/>
        <n v="294000000"/>
        <n v="320000000"/>
        <n v="8002000000"/>
        <n v="8389000000"/>
        <n v="8476000000"/>
        <n v="8445000000"/>
        <n v="417000"/>
        <n v="117000000"/>
        <n v="322000000"/>
        <n v="53677000"/>
        <n v="57238000"/>
        <n v="63724000"/>
        <n v="68707000"/>
        <n v="2877000000"/>
        <n v="3132000000"/>
        <n v="3603000000"/>
        <n v="3630000000"/>
        <n v="644276000"/>
        <n v="800145000"/>
        <n v="1003802000"/>
        <n v="1285328000"/>
        <n v="95300000"/>
        <n v="106900000"/>
        <n v="127400000"/>
        <n v="143400000"/>
        <n v="233000000"/>
        <n v="245300000"/>
        <n v="220900000"/>
        <n v="230100000"/>
        <n v="6881000000"/>
        <n v="5866000000"/>
        <n v="9720000000"/>
        <n v="29372000000"/>
        <n v="3927000000"/>
        <n v="4550000000"/>
        <n v="4603000000"/>
        <n v="4301000000"/>
        <n v="1460000000"/>
        <n v="1421000000"/>
        <n v="1371000000"/>
        <n v="1280000000"/>
        <n v="249000000"/>
        <n v="1873000000"/>
        <n v="380402000"/>
        <n v="407000000"/>
        <n v="424000000"/>
        <n v="440000000"/>
        <n v="1712000000"/>
        <n v="1832000000"/>
        <n v="2044000000"/>
        <n v="1988000000"/>
        <n v="9433000000"/>
        <n v="4642000000"/>
        <n v="3211000000"/>
        <n v="3995000000"/>
        <n v="1167000000"/>
        <n v="698000000"/>
        <n v="342000000"/>
        <n v="533000000"/>
        <n v="342900000"/>
        <n v="489800000"/>
        <n v="382600000"/>
        <n v="385600000"/>
        <n v="282900000"/>
        <n v="299900000"/>
        <n v="280900000"/>
        <n v="285500000"/>
        <n v="395000000"/>
        <n v="410000000"/>
        <n v="438000000"/>
        <n v="495000000"/>
        <n v="445875000"/>
        <n v="560637000"/>
        <n v="628573000"/>
        <n v="639542000"/>
        <n v="158000000"/>
        <n v="223000000"/>
        <n v="281000000"/>
        <n v="459000000"/>
        <s v=" 0(6,000,000)"/>
        <n v="15000000"/>
        <s v=" 0(82,000,000)"/>
        <n v="120000000"/>
        <n v="169645000"/>
        <n v="190390000"/>
        <n v="265101000"/>
        <n v="314096000"/>
        <n v="622592000"/>
        <n v="741342000"/>
        <n v="985781000"/>
        <n v="1036178000"/>
        <n v="1590000000"/>
        <n v="1637000000"/>
        <n v="1626000000"/>
        <n v="1738000000"/>
        <n v="262800000"/>
        <n v="258300000"/>
        <n v="279000000"/>
        <n v="12794000"/>
        <n v="13476000"/>
        <n v="91527000"/>
        <n v="90546000"/>
        <n v="490000000"/>
        <n v="581000000"/>
        <n v="464000000"/>
        <n v="448000000"/>
        <n v="2811000000"/>
        <n v="2903000000"/>
        <n v="2915000000"/>
        <n v="2229000000"/>
        <n v="1854000000"/>
        <n v="2102000000"/>
        <n v="2125000000"/>
        <n v="6907000000"/>
        <n v="8742000000"/>
        <n v="9339000000"/>
        <n v="10276000000"/>
        <n v="11259000000"/>
        <n v="14000000"/>
        <n v="13000000"/>
        <n v="46000000"/>
        <n v="27000000"/>
        <n v="147000000"/>
        <n v="248000000"/>
        <n v="96054000"/>
        <n v="110474000"/>
        <n v="130368000"/>
        <n v="146368000"/>
        <n v="628000000"/>
        <n v="685000000"/>
        <n v="750000000"/>
        <n v="811000000"/>
        <n v="88000000"/>
        <n v="327000000"/>
        <n v="1406000000"/>
        <n v="1836000000"/>
        <n v="1050000000"/>
        <n v="954000000"/>
        <n v="1013000000"/>
        <n v="970000000"/>
        <n v="5024000000"/>
        <n v="4124000000"/>
        <n v="4073000000"/>
        <n v="4966000000"/>
        <n v="451405000"/>
        <n v="651052000"/>
        <n v="632760000"/>
        <n v="622211000"/>
        <n v="30239000"/>
        <n v="35710000"/>
        <n v="51459000"/>
        <n v="60790000"/>
        <n v="163000"/>
        <n v="275000000"/>
        <n v="359000000"/>
        <n v="303000000"/>
        <n v="137058000"/>
        <n v="182242000"/>
        <n v="1104000000"/>
        <n v="1151000000"/>
        <n v="1208000000"/>
        <n v="1301000000"/>
        <n v="4780000000"/>
        <n v="4541000000"/>
        <n v="4428000000"/>
        <n v="4189000000"/>
        <n v="149089000"/>
        <n v="172200000"/>
        <n v="199700000"/>
        <n v="325200000"/>
        <n v="41668000"/>
        <n v="39577000"/>
        <n v="41595000"/>
        <n v="29173000"/>
        <n v="13413000000"/>
        <n v="14186000000"/>
        <n v="16793000000"/>
        <n v="21037000000"/>
        <n v="579315000"/>
        <n v="778655000"/>
        <n v="986812000"/>
        <n v="1230853000"/>
        <n v="1127000000"/>
        <n v="1292000000"/>
        <n v="1395000000"/>
        <n v="1658000000"/>
        <n v="1771000000"/>
        <n v="1835000000"/>
        <n v="1902000000"/>
        <n v="848000000"/>
        <n v="1086000000"/>
        <n v="1443000000"/>
        <n v="1512000000"/>
        <n v="75000000"/>
        <n v="79000000"/>
        <n v="94000000"/>
        <n v="81000000"/>
        <n v="2192000000"/>
        <n v="2288000000"/>
        <n v="2354000000"/>
        <n v="2527000000"/>
        <n v="276000000"/>
        <n v="329000000"/>
        <n v="330000000"/>
        <n v="97000000"/>
        <n v="93000000"/>
        <n v="134000000"/>
        <n v="382553000"/>
        <n v="475464000"/>
        <n v="538513000"/>
        <n v="570527000"/>
        <n v="78300000"/>
        <n v="60400000"/>
        <n v="52500000"/>
        <n v="58700000"/>
        <n v="115000000"/>
        <n v="105000000"/>
        <n v="99000000"/>
        <n v="278300000"/>
        <n v="304400000"/>
        <n v="319300000"/>
        <n v="290200000"/>
        <n v="2145000000"/>
        <n v="2668000000"/>
        <n v="3066000000"/>
        <n v="3144000000"/>
        <n v="341969000"/>
        <n v="528737000"/>
        <n v="590935000"/>
        <n v="638024000"/>
        <n v="2780000000"/>
        <n v="3319000000"/>
        <n v="3129000000"/>
        <n v="1792000000"/>
        <n v="30000000"/>
        <n v="16000000"/>
        <n v="7000000"/>
        <n v="136000000"/>
        <n v="41000000"/>
        <n v="34000000"/>
        <n v="1024000000"/>
        <n v="1071000000"/>
        <n v="1130000000"/>
        <n v="1216000000"/>
        <n v="160000000"/>
        <n v="189600000"/>
        <n v="201800000"/>
        <n v="198000000"/>
        <n v="1562000000"/>
        <n v="1622000000"/>
        <n v="1720000000"/>
        <n v="1919000000"/>
        <n v="3169703000"/>
        <n v="3600976000"/>
        <n v="3997041000"/>
        <n v="3313644000"/>
        <n v="560669000"/>
        <n v="978973000"/>
        <n v="758861000"/>
        <n v="765895000"/>
        <n v="653132000"/>
        <n v="679298000"/>
        <n v="819216000"/>
        <n v="927920000"/>
        <n v="740791000"/>
        <n v="859680000"/>
        <n v="625361000"/>
        <n v="688195000"/>
        <n v="169173000"/>
        <n v="192420000"/>
        <n v="360592000"/>
        <n v="453423000"/>
        <n v="471000000"/>
        <n v="256000000"/>
        <n v="61000000"/>
        <n v="1144585000"/>
        <n v="1261044000"/>
        <n v="1318638000"/>
        <n v="1337276000"/>
        <n v="2153000000"/>
        <n v="2314000000"/>
        <n v="2450000000"/>
        <n v="3936000000"/>
        <n v="39940000"/>
        <n v="48071000"/>
        <n v="49292000"/>
        <n v="46012000"/>
        <n v="71731000"/>
        <n v="76773000"/>
        <n v="156458000"/>
        <n v="317141000"/>
        <n v="74453000"/>
        <n v="95232000"/>
        <n v="115076000"/>
        <n v="133457000"/>
        <n v="7400000"/>
        <n v="9400000"/>
        <n v="13100000"/>
        <n v="21600000"/>
        <n v="2386000000"/>
        <n v="2587000000"/>
        <n v="2611000000"/>
        <n v="2631000000"/>
        <n v="1051000000"/>
        <n v="1741000000"/>
        <n v="1232000000"/>
        <n v="1550000000"/>
        <n v="118000000"/>
        <n v="133000000"/>
        <n v="139000000"/>
        <n v="148000000"/>
        <n v="160828000"/>
        <n v="170814000"/>
        <n v="174796000"/>
        <n v="193585000"/>
        <n v="1266807000"/>
        <n v="1170000000"/>
        <n v="1139000000"/>
        <n v="1320000000"/>
        <n v="768820000"/>
        <n v="749722000"/>
        <n v="708406000"/>
        <n v="643689000"/>
        <n v="31000000"/>
        <n v="33000000"/>
        <n v="54000000"/>
        <n v="64000000"/>
        <n v="98383000"/>
        <n v="133957000"/>
        <n v="148313000"/>
        <n v="141675000"/>
        <n v="92369000"/>
        <n v="125876000"/>
        <n v="99794000"/>
        <n v="86171000"/>
        <n v="193937000"/>
        <n v="131409000"/>
        <n v="120266000"/>
        <n v="127821000"/>
        <n v="1679000000"/>
        <n v="1753000000"/>
        <n v="1820000000"/>
        <n v="1904000000"/>
        <n v="506220000"/>
        <n v="865800000"/>
        <n v="844130000"/>
        <n v="826240000"/>
        <n v="423312000"/>
        <n v="455016000"/>
        <n v="504905000"/>
        <n v="568108000"/>
        <n v="1568000000"/>
        <n v="1627000000"/>
        <n v="1640000000"/>
        <n v="1690000000"/>
        <n v="2866000000"/>
        <n v="2687000000"/>
        <n v="3224000000"/>
        <n v="3955000000"/>
        <n v="7080000000"/>
        <n v="5970000000"/>
        <n v="5757000000"/>
        <n v="5274000000"/>
        <n v="112600000"/>
        <n v="113800000"/>
        <n v="110200000"/>
        <n v="89700000"/>
        <n v="455623000"/>
        <n v="523984000"/>
        <n v="608039000"/>
        <n v="598587000"/>
        <n v="906000000"/>
        <n v="852000000"/>
        <n v="755000000"/>
        <n v="1373000000"/>
        <n v="129000000"/>
        <n v="102000000"/>
        <n v="92407000"/>
        <n v="115604000"/>
        <n v="159804000"/>
        <n v="173598000"/>
        <n v="722000000"/>
        <n v="697000000"/>
        <n v="701000000"/>
        <n v="716000000"/>
        <n v="6688000000"/>
        <n v="7972000000"/>
        <n v="7673000000"/>
        <n v="7631000000"/>
        <n v="291000000"/>
        <n v="265000000"/>
        <n v="25000000"/>
        <n v="42000000"/>
        <n v="1473000000"/>
        <n v="1531000000"/>
        <n v="1294000000"/>
        <n v="316344000"/>
        <n v="322037000"/>
        <n v="353143000"/>
        <n v="345464000"/>
        <n v="250000000"/>
        <n v="245000000"/>
        <n v="224000000"/>
        <n v="229166000"/>
        <n v="253380000"/>
        <n v="294496000"/>
        <n v="339613000"/>
        <n v="3385000000"/>
        <n v="225000000"/>
        <n v="3139000000"/>
        <n v="3827000000"/>
        <n v="12784000"/>
        <n v="13279000"/>
        <n v="13338000"/>
        <n v="13794000"/>
        <n v="214827000"/>
        <n v="224713000"/>
        <n v="258074000"/>
        <n v="344527000"/>
        <n v="1806000000"/>
        <n v="2040000000"/>
        <n v="2309000000"/>
        <n v="2209000000"/>
        <n v="54291000"/>
        <n v="79700000"/>
        <n v="138400000"/>
        <n v="183200000"/>
        <n v="1652000000"/>
        <n v="1703000000"/>
        <n v="1948000000"/>
        <n v="2089000000"/>
        <n v="833000000"/>
        <n v="889000000"/>
        <n v="886000000"/>
        <n v="934000000"/>
        <n v="223300000"/>
        <n v="258100000"/>
        <n v="284600000"/>
        <n v="305000000"/>
        <n v="25100000"/>
        <n v="25400000"/>
        <n v="19700000"/>
        <n v="20800000"/>
        <n v="86300000"/>
        <n v="81700000"/>
        <n v="76700000"/>
        <n v="164500000"/>
        <n v="64093000"/>
        <n v="80969000"/>
        <n v="120719000"/>
        <n v="122120000"/>
        <n v="332400000"/>
        <n v="370900000"/>
        <n v="388100000"/>
        <n v="401300000"/>
        <n v="1523000000"/>
        <n v="1462000000"/>
        <n v="1485000000"/>
        <n v="1484000000"/>
        <n v="116388000"/>
        <n v="167425000"/>
        <n v="185993000"/>
        <n v="224133000"/>
        <n v="867000000"/>
        <n v="938000000"/>
        <n v="1015000000"/>
        <n v="1221000000"/>
        <n v="749000000"/>
        <n v="800000000"/>
        <n v="808000000"/>
        <n v="1166000000"/>
        <n v="258000000"/>
        <n v="321000000"/>
        <n v="366000000"/>
        <n v="373000000"/>
        <n v="121211000"/>
        <n v="186979000"/>
        <n v="301812000"/>
        <n v="294520000"/>
        <n v="277621000"/>
        <n v="357165000"/>
        <n v="378716000"/>
        <n v="464472000"/>
        <n v="127000000"/>
        <n v="111537000"/>
        <n v="94534000"/>
        <n v="176746000"/>
        <n v="174896000"/>
        <n v="93500000"/>
        <n v="93400000"/>
        <n v="95600000"/>
        <n v="113500000"/>
        <n v="217000000"/>
        <n v="206000000"/>
        <n v="181000000"/>
        <n v="17755000000"/>
        <n v="16602000000"/>
        <n v="17091000000"/>
        <n v="16769000000"/>
        <n v="2961000000"/>
        <n v="2958000000"/>
        <n v="3135000000"/>
        <n v="3140000000"/>
        <n v="995000000"/>
        <n v="1220000000"/>
        <n v="1326000000"/>
        <n v="1646000000"/>
        <n v="2008000000"/>
        <n v="2500000000"/>
        <n v="2861000000"/>
        <n v="2957000000"/>
        <n v="264631000"/>
        <n v="231912000"/>
        <n v="157824000"/>
        <n v="196424000"/>
        <n v="24539000"/>
        <n v="29185000"/>
        <n v="30951000"/>
        <n v="36052000"/>
        <n v="1291456000"/>
        <n v="1602390000"/>
        <n v="1957025000"/>
        <n v="1668489000"/>
        <n v="1759000000"/>
        <n v="2131000000"/>
        <n v="2454000000"/>
        <n v="104000000"/>
        <n v="122000000"/>
        <n v="137000000"/>
        <n v="138000000"/>
        <n v="1518000000"/>
        <n v="2163000000"/>
        <n v="2551000000"/>
        <n v="2831000000"/>
        <n v="1032000000"/>
        <n v="1362000000"/>
        <n v="1229000000"/>
        <n v="1239000000"/>
        <n v="704000000"/>
        <n v="870000000"/>
        <n v="917000000"/>
        <n v="510000000"/>
        <n v="573000000"/>
        <n v="574000000"/>
        <n v="603000000"/>
        <n v="916000000"/>
        <n v="951000000"/>
        <n v="1054000000"/>
        <n v="1026000000"/>
        <n v="147515000"/>
        <n v="306769000"/>
        <n v="374661000"/>
        <n v="409215000"/>
        <n v="205334000"/>
        <n v="239343000"/>
        <n v="294684000"/>
        <n v="354620000"/>
        <n v="294400000"/>
        <n v="291100000"/>
        <n v="292900000"/>
        <n v="3585000000"/>
        <n v="4203000000"/>
        <n v="4261000000"/>
        <n v="4544000000"/>
        <n v="76000000"/>
        <n v="69900000"/>
        <n v="65400000"/>
        <n v="57300000"/>
        <n v="517400000"/>
        <n v="571700000"/>
        <n v="588500000"/>
        <n v="583700000"/>
        <n v="2077000000"/>
        <n v="2433000000"/>
        <n v="2612000000"/>
        <n v="2755000000"/>
        <n v="65141000"/>
        <n v="117975000"/>
        <n v="207820000"/>
        <n v="272494000"/>
        <n v="1178000000"/>
        <n v="1227000000"/>
        <n v="1214000000"/>
        <n v="110000000"/>
        <n v="92000000"/>
        <n v="70000000"/>
        <n v="5109000000"/>
        <n v="4599000000"/>
        <n v="4039000000"/>
        <n v="3728000000"/>
        <n v="3292900000"/>
        <n v="3574300000"/>
        <n v="3672400000"/>
        <n v="3732600000"/>
        <n v="36100000"/>
        <n v="38800000"/>
        <n v="50900000"/>
        <n v="77500000"/>
        <n v="82000000"/>
        <n v="74000000"/>
        <n v="987000000"/>
        <n v="643000000"/>
        <n v="273000000"/>
        <n v="255000000"/>
        <n v="404336000"/>
        <n v="415708000"/>
        <n v="417358000"/>
        <n v="494422000"/>
        <n v="452000000"/>
        <n v="450000000"/>
        <n v="462000000"/>
        <n v="1087000000"/>
        <n v="843000000"/>
        <n v="923000000"/>
        <n v="883000000"/>
        <n v="931000000"/>
        <n v="971000000"/>
        <n v="1019000000"/>
        <n v="1099000000"/>
        <n v="37691000"/>
        <n v="25865000"/>
        <n v="34257000"/>
        <n v="34848000"/>
        <n v="1001000000"/>
        <n v="1109000000"/>
        <n v="1106000000"/>
        <n v="730493000"/>
        <n v="754711000"/>
        <n v="772445000"/>
        <n v="827008000"/>
        <n v="1700000"/>
        <n v="557000"/>
        <n v="192000"/>
        <n v="1237000"/>
        <n v="35000000"/>
        <n v="24000000"/>
        <n v="445228000"/>
        <n v="492397000"/>
        <n v="551032000"/>
        <n v="581155000"/>
        <n v="877400000"/>
        <n v="906900000"/>
        <n v="970600000"/>
        <n v="991100000"/>
        <n v="621400000"/>
        <n v="709600000"/>
        <n v="893900000"/>
        <n v="980800000"/>
        <n v="356000000"/>
        <n v="378000000"/>
        <n v="384000000"/>
        <n v="358000000"/>
        <n v="746000000"/>
        <n v="772000000"/>
        <n v="764000000"/>
        <n v="123200000"/>
        <n v="118900000"/>
        <n v="88700000"/>
        <n v="94900000"/>
        <n v="96800000"/>
        <n v="98900000"/>
        <n v="110900000"/>
        <n v="208400000"/>
        <n v="330418000"/>
        <n v="340316000"/>
        <n v="393987000"/>
        <n v="588235000"/>
        <n v="107591000"/>
        <n v="117580000"/>
        <n v="128582000"/>
        <n v="137596000"/>
        <n v="1787000000"/>
        <n v="1901000000"/>
        <n v="1945000000"/>
        <n v="2034000000"/>
        <n v="1068382000"/>
        <n v="1107700000"/>
        <n v="1143827000"/>
        <n v="1177568000"/>
        <n v="78900000"/>
        <n v="55000000"/>
        <n v="62000000"/>
        <n v="67000000"/>
        <n v="31652000"/>
        <n v="38405000"/>
        <n v="48138000"/>
        <n v="65770000"/>
        <n v="1090000000"/>
        <n v="1113000000"/>
        <n v="1156000000"/>
        <n v="1250000000"/>
        <n v="1441000000"/>
        <n v="576000000"/>
        <n v="367000000"/>
        <n v="205000000"/>
        <n v="98000000"/>
        <n v="123000000"/>
        <n v="29100000"/>
        <n v="25900000"/>
        <n v="33500000"/>
        <n v="33400000"/>
        <n v="787000000"/>
        <n v="942000000"/>
        <n v="1091000000"/>
        <n v="4549000000"/>
        <n v="5445000000"/>
        <n v="5492000000"/>
        <n v="5690000000"/>
        <n v="188000000"/>
        <n v="210000000"/>
        <n v="319000000"/>
        <n v="286000000"/>
        <n v="87000000"/>
        <n v="57000000"/>
        <n v="18143000000"/>
        <n v="18395000000"/>
        <n v="18273000000"/>
        <n v="22016000000"/>
        <n v="45639000"/>
        <n v="63608000"/>
        <n v="54219000"/>
        <n v="77445000"/>
        <n v="194039000"/>
        <n v="74833000"/>
        <n v="151837000"/>
        <n v="205087000"/>
        <n v="1996000000"/>
        <n v="2129000000"/>
        <n v="2213000000"/>
        <n v="787329000"/>
        <n v="819711000"/>
        <n v="855908000"/>
        <n v="907024000"/>
        <n v="26000000"/>
        <n v="36000000"/>
        <n v="65000000"/>
        <n v="3821000000"/>
        <n v="3882000000"/>
        <n v="3885000000"/>
        <n v="3985000000"/>
        <n v="88975000"/>
        <n v="100025000"/>
        <n v="114635000"/>
        <n v="123569000"/>
        <n v="418000000"/>
        <n v="489000000"/>
        <n v="562000000"/>
        <n v="756000000"/>
        <n v="1522000000"/>
        <n v="1689000000"/>
        <n v="1819000000"/>
        <n v="346031000"/>
        <n v="346273000"/>
        <n v="363929000"/>
        <n v="381277000"/>
        <n v="23207000000"/>
        <n v="26567000000"/>
        <n v="42211000000"/>
        <n v="54872000000"/>
        <n v="1161600000"/>
        <n v="1170400000"/>
        <n v="1272000000"/>
        <n v="1295700000"/>
        <n v="1777000000"/>
        <n v="2012000000"/>
        <n v="2038000000"/>
        <n v="1858000000"/>
        <n v="1867000000"/>
        <n v="1923000000"/>
        <n v="2084000000"/>
        <n v="397000000"/>
        <n v="435000000"/>
        <n v="494000000"/>
        <n v="502000000"/>
        <n v="237000000"/>
        <n v="222000000"/>
        <n v="221000000"/>
        <n v="1549000000"/>
        <n v="1842000000"/>
        <n v="461627000"/>
        <n v="481303000"/>
        <n v="542952000"/>
        <n v="565059000"/>
        <n v="98844000"/>
        <n v="129931000"/>
        <n v="142376000"/>
        <n v="215484000"/>
        <n v="629908000"/>
        <n v="725216000"/>
        <n v="894057000"/>
        <n v="898924000"/>
        <n v="16460000000"/>
        <n v="16606000000"/>
        <n v="16533000000"/>
        <n v="16017000000"/>
        <n v="13829000"/>
        <n v="9918000"/>
        <n v="10634000"/>
        <n v="10123000"/>
        <n v="364200000"/>
        <n v="340100000"/>
        <n v="391400000"/>
        <n v="561800000"/>
        <n v="8891000000"/>
        <n v="3813000000"/>
        <n v="2765000000"/>
        <n v="3688000000"/>
        <n v="71000000"/>
        <n v="1333000000"/>
        <n v="1245000000"/>
        <n v="815000000"/>
        <n v="1176000000"/>
        <n v="86000000"/>
        <n v="211800000"/>
        <n v="185000000"/>
        <n v="216000000"/>
        <n v="234000000"/>
        <n v="373199000"/>
        <n v="371051000"/>
        <n v="314119000"/>
        <n v="322629000"/>
        <n v="513916000"/>
        <n v="615874000"/>
        <n v="806021000"/>
        <n v="778923000"/>
        <n v="926053000"/>
        <n v="977863000"/>
        <n v="1019045000"/>
        <n v="1124524000"/>
        <n v="1173955000"/>
        <n v="1213178000"/>
        <n v="1341315000"/>
        <n v="1966939000"/>
        <n v="9508000"/>
        <n v="9887000"/>
        <n v="9537000"/>
        <n v="6550000"/>
        <n v="15888000000"/>
        <n v="17182000000"/>
        <n v="17297000000"/>
        <n v="18048000000"/>
        <n v="301000000"/>
        <n v="315000000"/>
        <n v="310000000"/>
        <n v="35819000"/>
        <n v="44841000"/>
        <n v="66750000"/>
        <n v="79042000"/>
        <n v="78500000"/>
        <n v="92500000"/>
        <n v="337400000"/>
        <n v="31237000"/>
        <s v=" 0(72,761,000)"/>
        <s v=" 0(87,159,000)"/>
        <n v="49282000"/>
        <n v="60000000"/>
        <n v="85000000"/>
      </sharedItems>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ount="120">
        <s v="Airlines"/>
        <s v="Automotive Retail"/>
        <s v="Computer Hardware"/>
        <s v="Pharmaceuticals"/>
        <s v="Health Care Distributors"/>
        <s v="Health Care Equipment"/>
        <s v="Application Software"/>
        <s v="Semiconductors"/>
        <s v="Agricultural Products"/>
        <s v="Data Processing &amp; Outsourced Services"/>
        <s v="MultiUtilities"/>
        <s v="Electric Utilities"/>
        <s v="Life &amp; Health Insurance"/>
        <s v="Property &amp; Casualty Insurance"/>
        <s v="REITs"/>
        <s v="Multi-line Insurance"/>
        <s v="Internet Software &amp; Services"/>
        <s v="Specialty Chemicals"/>
        <s v="Building Products"/>
        <s v="Biotechnology"/>
        <s v="Semiconductor Equipment"/>
        <s v="Electrical Components &amp; Equipment"/>
        <s v="Asset Management &amp; Custody Banks"/>
        <s v="Specialized REITs"/>
        <s v="Internet &amp; Direct Marketing Retail"/>
        <s v="Specialty Stores"/>
        <s v="Managed Health Care"/>
        <s v="Oil &amp; Gas Exploration &amp; Production"/>
        <s v="Industrial Gases"/>
        <s v="Electronic Components"/>
        <s v="Aerospace &amp; Defense"/>
        <s v="Home Entertainment Software"/>
        <s v="Paper Packaging"/>
        <s v="Water Utilities"/>
        <s v="Consumer Finance"/>
        <s v="Banks"/>
        <s v="Computer &amp; Electronics Retail"/>
        <s v="Oil &amp; Gas Equipment &amp; Services"/>
        <s v="Metal &amp; Glass Containers"/>
        <s v="Auto Parts &amp; Equipment"/>
        <s v="Packaged Foods &amp; Meats"/>
        <s v="Construction &amp; Farm Machinery &amp; Heavy Trucks"/>
        <s v="Real Estate Services"/>
        <s v="Hotels, Resorts &amp; Cruise Lines"/>
        <s v="Health Care Technology"/>
        <s v="Fertilizers &amp; Agricultural Chemicals"/>
        <s v="Regional Banks"/>
        <s v="Household Products"/>
        <s v="Integrated Oil &amp; Gas"/>
        <s v="Air Freight &amp; Logistics"/>
        <s v="Cable &amp; Satellite"/>
        <s v="Restaurants"/>
        <s v="Industrial Machinery"/>
        <s v="Industrial Conglomerates"/>
        <s v="Health Care Supplies"/>
        <s v="Hypermarkets &amp; Super Centers"/>
        <s v="Personal Products"/>
        <s v="Networking Equipment"/>
        <s v="IT Consulting &amp; Other Services"/>
        <s v="Railroads"/>
        <s v="Diversified Support Services"/>
        <s v="Integrated Telecommunications Services"/>
        <s v="Drug Retail"/>
        <s v="Diversified Chemicals"/>
        <s v="General Merchandise Stores"/>
        <s v="Health Care Facilities"/>
        <s v="Homebuilding"/>
        <s v="Broadcasting &amp; Cable TV"/>
        <s v="Research &amp; Consulting Services"/>
        <s v="Soft Drinks"/>
        <s v="Residential REITs"/>
        <s v="Investment Banking &amp; Brokerage"/>
        <s v="Automobile Manufacturers"/>
        <s v="Copper"/>
        <s v="Apparel Retail"/>
        <s v="Electronic Equipment &amp; Instruments"/>
        <s v="Diversified Commercial Services"/>
        <s v="Retail REITs"/>
        <s v="Consumer Electronics"/>
        <s v="Tires &amp; Rubber"/>
        <s v="Industrial Materials"/>
        <s v="Leisure Products"/>
        <s v="Apparel, Accessories &amp; Luxury Goods"/>
        <s v="Home Improvement Retail"/>
        <s v="Motorcycle Manufacturers"/>
        <s v="Oil &amp; Gas Drilling"/>
        <s v="Technology Hardware, Storage &amp; Peripherals"/>
        <s v="Telecommunications Equipment"/>
        <s v="Life Sciences Tools &amp; Services"/>
        <s v="Advertising"/>
        <s v="Trucking"/>
        <s v="Department Stores"/>
        <s v="Oil &amp; Gas Refining &amp; Marketing &amp; Transportation"/>
        <s v="Food Retail"/>
        <s v="Distributors"/>
        <s v="Multi-Sector Holdings"/>
        <s v="Alternative Carriers"/>
        <s v="Diversified Financial Services"/>
        <s v="Home Furnishings"/>
        <s v="Construction Materials"/>
        <s v="Insurance Brokers"/>
        <s v="Tobacco"/>
        <s v="Systems Software"/>
        <s v="Gold"/>
        <s v="Steel"/>
        <s v="Housewares &amp; Specialties"/>
        <s v="Thrifts &amp; Mortgage Finance"/>
        <s v="Technology, Hardware, Software and Supplies"/>
        <s v="Human Resource &amp; Employment Services"/>
        <s v="Office REITs"/>
        <s v="Household Appliances"/>
        <s v="Computer Storage &amp; Peripherals"/>
        <s v="Distillers &amp; Vintners"/>
        <s v="Food Distributors"/>
        <s v="Brewers"/>
        <s v="Electronic Manufacturing Services"/>
        <s v="Publishing"/>
        <s v="Specialty Retail"/>
        <s v="Environmental Services"/>
        <s v="Casinos &amp; Gaming"/>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0.858321643522" createdVersion="8" refreshedVersion="8" minRefreshableVersion="3" recordCount="1710" xr:uid="{BB8A9B5C-F323-4CA0-B864-AFE3D0EF4939}">
  <cacheSource type="worksheet">
    <worksheetSource ref="A1:M1711" sheet="projectdata-nyse"/>
  </cacheSource>
  <cacheFields count="13">
    <cacheField name="Ticker Symbol" numFmtId="0">
      <sharedItems count="430">
        <s v="AAL"/>
        <s v="AAP"/>
        <s v="AAPL"/>
        <s v="ABBV"/>
        <s v="ABC"/>
        <s v="ABT"/>
        <s v="ADBE"/>
        <s v="ADI"/>
        <s v="ADM"/>
        <s v="ADS"/>
        <s v="ADSK"/>
        <s v="AEE"/>
        <s v="AEP"/>
        <s v="AFL"/>
        <s v="AIG"/>
        <s v="AIV"/>
        <s v="AIZ"/>
        <s v="AKAM"/>
        <s v="ALB"/>
        <s v="ALK"/>
        <s v="ALL"/>
        <s v="ALLE"/>
        <s v="ALXN"/>
        <s v="AMAT"/>
        <s v="AME"/>
        <s v="AMGN"/>
        <s v="AMP"/>
        <s v="AMT"/>
        <s v="AMZN"/>
        <s v="AN"/>
        <s v="ANTM"/>
        <s v="APA"/>
        <s v="APC"/>
        <s v="APD"/>
        <s v="APH"/>
        <s v="ARNC"/>
        <s v="ATVI"/>
        <s v="AVGO"/>
        <s v="AVY"/>
        <s v="AWK"/>
        <s v="AXP"/>
        <s v="AYI"/>
        <s v="AZO"/>
        <s v="BA"/>
        <s v="BAC"/>
        <s v="BAX"/>
        <s v="BBBY"/>
        <s v="BBT"/>
        <s v="BBY"/>
        <s v="BCR"/>
        <s v="BDX"/>
        <s v="BHI"/>
        <s v="BIIB"/>
        <s v="BLL"/>
        <s v="BMY"/>
        <s v="BSX"/>
        <s v="BWA"/>
        <s v="BXP"/>
        <s v="CAG"/>
        <s v="CAH"/>
        <s v="CAT"/>
        <s v="CB"/>
        <s v="CBG"/>
        <s v="CCI"/>
        <s v="CCL"/>
        <s v="CELG"/>
        <s v="CERN"/>
        <s v="CF"/>
        <s v="CFG"/>
        <s v="CHD"/>
        <s v="CHK"/>
        <s v="CHRW"/>
        <s v="CHTR"/>
        <s v="CI"/>
        <s v="CINF"/>
        <s v="CL"/>
        <s v="CLX"/>
        <s v="CMA"/>
        <s v="CMG"/>
        <s v="CMI"/>
        <s v="CMS"/>
        <s v="CNC"/>
        <s v="CNP"/>
        <s v="COF"/>
        <s v="COG"/>
        <s v="COL"/>
        <s v="COO"/>
        <s v="COST"/>
        <s v="COTY"/>
        <s v="CPB"/>
        <s v="CRM"/>
        <s v="CSCO"/>
        <s v="CSRA"/>
        <s v="CSX"/>
        <s v="CTAS"/>
        <s v="CTL"/>
        <s v="CTSH"/>
        <s v="CTXS"/>
        <s v="CVS"/>
        <s v="CVX"/>
        <s v="CXO"/>
        <s v="D"/>
        <s v="DAL"/>
        <s v="DD"/>
        <s v="DE"/>
        <s v="DFS"/>
        <s v="DG"/>
        <s v="DGX"/>
        <s v="DHI"/>
        <s v="DHR"/>
        <s v="DIS"/>
        <s v="DISCA"/>
        <s v="DISCK"/>
        <s v="DLPH"/>
        <s v="DLR"/>
        <s v="DLTR"/>
        <s v="DNB"/>
        <s v="DOV"/>
        <s v="DPS"/>
        <s v="DRI"/>
        <s v="DUK"/>
        <s v="DVA"/>
        <s v="DVN"/>
        <s v="EA"/>
        <s v="EBAY"/>
        <s v="ECL"/>
        <s v="ED"/>
        <s v="EFX"/>
        <s v="EIX"/>
        <s v="EL"/>
        <s v="EMN"/>
        <s v="EMR"/>
        <s v="EOG"/>
        <s v="EQIX"/>
        <s v="EQR"/>
        <s v="EQT"/>
        <s v="ES"/>
        <s v="ESS"/>
        <s v="ETFC"/>
        <s v="ETN"/>
        <s v="ETR"/>
        <s v="EW"/>
        <s v="EXC"/>
        <s v="EXPD"/>
        <s v="EXPE"/>
        <s v="EXR"/>
        <s v="F"/>
        <s v="FAST"/>
        <s v="FB"/>
        <s v="FBHS"/>
        <s v="FCX"/>
        <s v="FDX"/>
        <s v="FE"/>
        <s v="FFIV"/>
        <s v="FIS"/>
        <s v="FISV"/>
        <s v="FL"/>
        <s v="FLIR"/>
        <s v="FLR"/>
        <s v="FLS"/>
        <s v="FMC"/>
        <s v="FRT"/>
        <s v="FSLR"/>
        <s v="FTR"/>
        <s v="GD"/>
        <s v="GGP"/>
        <s v="GILD"/>
        <s v="GIS"/>
        <s v="GLW"/>
        <s v="GM"/>
        <s v="GPC"/>
        <s v="GPN"/>
        <s v="GPS"/>
        <s v="GRMN"/>
        <s v="GT"/>
        <s v="GWW"/>
        <s v="HAL"/>
        <s v="HAR"/>
        <s v="HAS"/>
        <s v="HBAN"/>
        <s v="HBI"/>
        <s v="HCA"/>
        <s v="HCN"/>
        <s v="HCP"/>
        <s v="HD"/>
        <s v="HES"/>
        <s v="HIG"/>
        <s v="HOG"/>
        <s v="HOLX"/>
        <s v="HON"/>
        <s v="HP"/>
        <s v="HPE"/>
        <s v="HPQ"/>
        <s v="HRB"/>
        <s v="HRL"/>
        <s v="HRS"/>
        <s v="HSIC"/>
        <s v="HST"/>
        <s v="HSY"/>
        <s v="HUM"/>
        <s v="IBM"/>
        <s v="IDXX"/>
        <s v="IFF"/>
        <s v="ILMN"/>
        <s v="INTC"/>
        <s v="INTU"/>
        <s v="IP"/>
        <s v="IPG"/>
        <s v="IRM"/>
        <s v="ISRG"/>
        <s v="ITW"/>
        <s v="IVZ"/>
        <s v="JBHT"/>
        <s v="JEC"/>
        <s v="JNPR"/>
        <s v="JPM"/>
        <s v="JWN"/>
        <s v="K"/>
        <s v="KEY"/>
        <s v="KIM"/>
        <s v="KLAC"/>
        <s v="KMB"/>
        <s v="KMI"/>
        <s v="KMX"/>
        <s v="KO"/>
        <s v="KORS"/>
        <s v="KR"/>
        <s v="KSS"/>
        <s v="KSU"/>
        <s v="LB"/>
        <s v="LEG"/>
        <s v="LEN"/>
        <s v="LH"/>
        <s v="LKQ"/>
        <s v="LLL"/>
        <s v="LLTC"/>
        <s v="LLY"/>
        <s v="LMT"/>
        <s v="LNT"/>
        <s v="LOW"/>
        <s v="LRCX"/>
        <s v="LUK"/>
        <s v="LUV"/>
        <s v="LVLT"/>
        <s v="LYB"/>
        <s v="M"/>
        <s v="MA"/>
        <s v="MAA"/>
        <s v="MAC"/>
        <s v="MAR"/>
        <s v="MAS"/>
        <s v="MAT"/>
        <s v="MCD"/>
        <s v="MCHP"/>
        <s v="MCK"/>
        <s v="MCO"/>
        <s v="MDLZ"/>
        <s v="MET"/>
        <s v="MHK"/>
        <s v="MJN"/>
        <s v="MKC"/>
        <s v="MLM"/>
        <s v="MMC"/>
        <s v="MMM"/>
        <s v="MNST"/>
        <s v="MO"/>
        <s v="MON"/>
        <s v="MOS"/>
        <s v="MPC"/>
        <s v="MRK"/>
        <s v="MRO"/>
        <s v="MSFT"/>
        <s v="MTB"/>
        <s v="MTD"/>
        <s v="MU"/>
        <s v="MUR"/>
        <s v="MYL"/>
        <s v="NBL"/>
        <s v="NDAQ"/>
        <s v="NEE"/>
        <s v="NEM"/>
        <s v="NFLX"/>
        <s v="NFX"/>
        <s v="NKE"/>
        <s v="NLSN"/>
        <s v="NOV"/>
        <s v="NSC"/>
        <s v="NTAP"/>
        <s v="NUE"/>
        <s v="NVDA"/>
        <s v="NWL"/>
        <s v="O"/>
        <s v="OKE"/>
        <s v="OMC"/>
        <s v="ORLY"/>
        <s v="OXY"/>
        <s v="PBCT"/>
        <s v="PBI"/>
        <s v="PCAR"/>
        <s v="PCG"/>
        <s v="PCLN"/>
        <s v="PDCO"/>
        <s v="PEG"/>
        <s v="PEP"/>
        <s v="PFE"/>
        <s v="PFG"/>
        <s v="PG"/>
        <s v="PGR"/>
        <s v="PH"/>
        <s v="PHM"/>
        <s v="PKI"/>
        <s v="PM"/>
        <s v="PNC"/>
        <s v="PNR"/>
        <s v="PNW"/>
        <s v="PPG"/>
        <s v="PPL"/>
        <s v="PRU"/>
        <s v="PSX"/>
        <s v="PVH"/>
        <s v="PWR"/>
        <s v="PX"/>
        <s v="QCOM"/>
        <s v="QRVO"/>
        <s v="R"/>
        <s v="RCL"/>
        <s v="REGN"/>
        <s v="RHI"/>
        <s v="RHT"/>
        <s v="RL"/>
        <s v="ROK"/>
        <s v="ROP"/>
        <s v="ROST"/>
        <s v="RRC"/>
        <s v="RSG"/>
        <s v="SBUX"/>
        <s v="SCG"/>
        <s v="SE"/>
        <s v="SEE"/>
        <s v="SHW"/>
        <s v="SIG"/>
        <s v="SJM"/>
        <s v="SLG"/>
        <s v="SNA"/>
        <s v="SNI"/>
        <s v="SO"/>
        <s v="SPG"/>
        <s v="SPLS"/>
        <s v="SRCL"/>
        <s v="SRE"/>
        <s v="STI"/>
        <s v="STX"/>
        <s v="STZ"/>
        <s v="SWK"/>
        <s v="SWKS"/>
        <s v="SWN"/>
        <s v="SYF"/>
        <s v="SYK"/>
        <s v="SYMC"/>
        <s v="SYY"/>
        <s v="T"/>
        <s v="TAP"/>
        <s v="TDC"/>
        <s v="TDG"/>
        <s v="TEL"/>
        <s v="TGNA"/>
        <s v="TGT"/>
        <s v="TIF"/>
        <s v="TJX"/>
        <s v="TMK"/>
        <s v="TMO"/>
        <s v="TRIP"/>
        <s v="TRV"/>
        <s v="TSCO"/>
        <s v="TSN"/>
        <s v="TSO"/>
        <s v="TSS"/>
        <s v="TXN"/>
        <s v="TXT"/>
        <s v="UA"/>
        <s v="UAA"/>
        <s v="UAL"/>
        <s v="UDR"/>
        <s v="ULTA"/>
        <s v="UNH"/>
        <s v="UNM"/>
        <s v="UNP"/>
        <s v="UPS"/>
        <s v="URBN"/>
        <s v="USB"/>
        <s v="UTX"/>
        <s v="V"/>
        <s v="VAR"/>
        <s v="VFC"/>
        <s v="VIAB"/>
        <s v="VLO"/>
        <s v="VMC"/>
        <s v="VNO"/>
        <s v="VRSK"/>
        <s v="VRSN"/>
        <s v="VRTX"/>
        <s v="VTR"/>
        <s v="VZ"/>
        <s v="WAT"/>
        <s v="WDC"/>
        <s v="WEC"/>
        <s v="WFC"/>
        <s v="WFM"/>
        <s v="WHR"/>
        <s v="WM"/>
        <s v="WMB"/>
        <s v="WMT"/>
        <s v="WRK"/>
        <s v="WU"/>
        <s v="WY"/>
        <s v="WYN"/>
        <s v="WYNN"/>
        <s v="XEC"/>
        <s v="XEL"/>
        <s v="XL"/>
        <s v="XLNX"/>
        <s v="XOM"/>
        <s v="XRAY"/>
        <s v="XRX"/>
        <s v="XYL"/>
        <s v="YHOO"/>
        <s v="YUM"/>
        <s v="ZBH"/>
        <s v="ZION"/>
        <s v="ZTS"/>
      </sharedItems>
    </cacheField>
    <cacheField name="Years" numFmtId="0">
      <sharedItems/>
    </cacheField>
    <cacheField name="Period Ending" numFmtId="14">
      <sharedItems containsSemiMixedTypes="0" containsNonDate="0" containsDate="1" containsString="0" minDate="2003-06-30T00:00:00" maxDate="2017-01-02T00:00:00"/>
    </cacheField>
    <cacheField name="Total Revenue" numFmtId="164">
      <sharedItems containsSemiMixedTypes="0" containsString="0" containsNumber="1" containsInteger="1" minValue="1514000" maxValue="485651000000"/>
    </cacheField>
    <cacheField name="Cost of Goods Sold" numFmtId="164">
      <sharedItems containsString="0" containsBlank="1" containsNumber="1" containsInteger="1" minValue="142000" maxValue="365086000000"/>
    </cacheField>
    <cacheField name="Sales, General and Admin." numFmtId="164">
      <sharedItems containsSemiMixedTypes="0" containsString="0" containsNumber="1" containsInteger="1" minValue="-487000000" maxValue="97041000000"/>
    </cacheField>
    <cacheField name="Research and Development" numFmtId="164">
      <sharedItems containsSemiMixedTypes="0" containsString="0" containsNumber="1" containsInteger="1" minValue="0" maxValue="12740000000"/>
    </cacheField>
    <cacheField name="Other Operating Items" numFmtId="0">
      <sharedItems containsSemiMixedTypes="0" containsString="0" containsNumber="1" containsInteger="1" minValue="0" maxValue="54872000000"/>
    </cacheField>
    <cacheField name="GICS Sector" numFmtId="0">
      <sharedItems count="11">
        <s v="Industrials"/>
        <s v="Consumer Discretionary"/>
        <s v="Information Technology"/>
        <s v="Health Care"/>
        <s v="Consumer Staples"/>
        <s v="Utilities"/>
        <s v="Financials"/>
        <s v="Real Estate"/>
        <s v="Materials"/>
        <s v="Energy"/>
        <s v="Telecommunications Services"/>
      </sharedItems>
    </cacheField>
    <cacheField name="GICS Sub Industry" numFmtId="0">
      <sharedItems/>
    </cacheField>
    <cacheField name="Gross Profit" numFmtId="164">
      <sharedItems containsSemiMixedTypes="0" containsString="0" containsNumber="1" containsInteger="1" minValue="-12647000000" maxValue="149453000000"/>
    </cacheField>
    <cacheField name="Total Operating Expence" numFmtId="164">
      <sharedItems containsSemiMixedTypes="0" containsString="0" containsNumber="1" containsInteger="1" minValue="-487000000" maxValue="97732000000"/>
    </cacheField>
    <cacheField name="Operating Profit" numFmtId="164">
      <sharedItems containsSemiMixedTypes="0" containsString="0" containsNumber="1" containsInteger="1" minValue="-25845000000" maxValue="7123000000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Fraser Fernandes" refreshedDate="45634.599117013888" createdVersion="8" refreshedVersion="8" minRefreshableVersion="3" recordCount="230" xr:uid="{54195CB6-24B6-4F2A-A2F6-A6BE1C699041}">
  <cacheSource type="worksheet">
    <worksheetSource ref="A1:N231" sheet="IT"/>
  </cacheSource>
  <cacheFields count="14">
    <cacheField name="Ticker Symbol" numFmtId="0">
      <sharedItems/>
    </cacheField>
    <cacheField name="Years" numFmtId="0">
      <sharedItems/>
    </cacheField>
    <cacheField name="Period Ending" numFmtId="14">
      <sharedItems containsSemiMixedTypes="0" containsNonDate="0" containsDate="1" containsString="0" minDate="2012-12-31T00:00:00" maxDate="2017-01-01T00:00:00"/>
    </cacheField>
    <cacheField name="Total Revenue" numFmtId="164">
      <sharedItems containsSemiMixedTypes="0" containsString="0" containsNumber="1" containsInteger="1" minValue="873592000" maxValue="233715000000"/>
    </cacheField>
    <cacheField name="Cost of Goods Sold" numFmtId="164">
      <sharedItems containsString="0" containsBlank="1" containsNumber="1" containsInteger="1" minValue="167600000" maxValue="140089000000"/>
    </cacheField>
    <cacheField name="Sales, General and Admin." numFmtId="164">
      <sharedItems containsSemiMixedTypes="0" containsString="0" containsNumber="1" containsInteger="1" minValue="108059000" maxValue="22629000000"/>
    </cacheField>
    <cacheField name="Research and Development" numFmtId="164">
      <sharedItems containsSemiMixedTypes="0" containsString="0" containsNumber="1" containsInteger="1" minValue="0" maxValue="12740000000"/>
    </cacheField>
    <cacheField name="Other Operating Items" numFmtId="164">
      <sharedItems containsSemiMixedTypes="0" containsString="0" containsNumber="1" containsInteger="1" minValue="0" maxValue="1873000000"/>
    </cacheField>
    <cacheField name="GICS Sector" numFmtId="0">
      <sharedItems count="1">
        <s v="Information Technology"/>
      </sharedItems>
    </cacheField>
    <cacheField name="GICS Sub Industry" numFmtId="0">
      <sharedItems count="16">
        <s v="Computer Hardware"/>
        <s v="Application Software"/>
        <s v="Semiconductors"/>
        <s v="Data Processing &amp; Outsourced Services"/>
        <s v="Internet Software &amp; Services"/>
        <s v="Semiconductor Equipment"/>
        <s v="Electronic Components"/>
        <s v="Home Entertainment Software"/>
        <s v="Networking Equipment"/>
        <s v="IT Consulting &amp; Other Services"/>
        <s v="Electronic Equipment &amp; Instruments"/>
        <s v="Technology Hardware, Storage &amp; Peripherals"/>
        <s v="Telecommunications Equipment"/>
        <s v="Systems Software"/>
        <s v="Computer Storage &amp; Peripherals"/>
        <s v="Electronic Manufacturing Services"/>
      </sharedItems>
    </cacheField>
    <cacheField name="Gross Profit" numFmtId="164">
      <sharedItems containsSemiMixedTypes="0" containsString="0" containsNumber="1" containsInteger="1" minValue="404927000" maxValue="93626000000"/>
    </cacheField>
    <cacheField name="Total Operating Expence" numFmtId="164">
      <sharedItems containsSemiMixedTypes="0" containsString="0" containsNumber="1" containsInteger="1" minValue="247597000" maxValue="32370000000"/>
    </cacheField>
    <cacheField name="Operating Profit" numFmtId="164">
      <sharedItems containsSemiMixedTypes="0" containsString="0" containsNumber="1" containsInteger="1" minValue="-286074000" maxValue="71230000000"/>
    </cacheField>
    <cacheField name="Total Operating Exp(Bins)" numFmtId="164">
      <sharedItems count="7">
        <s v="$15-20B"/>
        <s v="$20-25B"/>
        <s v="$0-5B"/>
        <s v="$5-10B"/>
        <s v="$10-15B"/>
        <s v="$25-30B"/>
        <s v="$30-35B"/>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x v="0"/>
    <d v="2012-12-31T00:00:00"/>
    <x v="0"/>
    <x v="0"/>
    <x v="0"/>
    <n v="0"/>
    <x v="0"/>
    <x v="0"/>
    <x v="0"/>
  </r>
  <r>
    <x v="0"/>
    <x v="1"/>
    <d v="2013-12-31T00:00:00"/>
    <x v="1"/>
    <x v="1"/>
    <x v="1"/>
    <n v="0"/>
    <x v="1"/>
    <x v="0"/>
    <x v="0"/>
  </r>
  <r>
    <x v="0"/>
    <x v="2"/>
    <d v="2014-12-31T00:00:00"/>
    <x v="2"/>
    <x v="2"/>
    <x v="2"/>
    <n v="0"/>
    <x v="2"/>
    <x v="0"/>
    <x v="0"/>
  </r>
  <r>
    <x v="0"/>
    <x v="3"/>
    <d v="2015-12-31T00:00:00"/>
    <x v="3"/>
    <x v="3"/>
    <x v="3"/>
    <n v="0"/>
    <x v="3"/>
    <x v="0"/>
    <x v="0"/>
  </r>
  <r>
    <x v="1"/>
    <x v="0"/>
    <d v="2012-12-29T00:00:00"/>
    <x v="4"/>
    <x v="4"/>
    <x v="4"/>
    <n v="0"/>
    <x v="4"/>
    <x v="1"/>
    <x v="1"/>
  </r>
  <r>
    <x v="1"/>
    <x v="1"/>
    <d v="2013-12-28T00:00:00"/>
    <x v="5"/>
    <x v="5"/>
    <x v="5"/>
    <n v="0"/>
    <x v="4"/>
    <x v="1"/>
    <x v="1"/>
  </r>
  <r>
    <x v="1"/>
    <x v="2"/>
    <d v="2015-01-03T00:00:00"/>
    <x v="6"/>
    <x v="6"/>
    <x v="6"/>
    <n v="0"/>
    <x v="4"/>
    <x v="1"/>
    <x v="1"/>
  </r>
  <r>
    <x v="1"/>
    <x v="3"/>
    <d v="2016-01-02T00:00:00"/>
    <x v="7"/>
    <x v="7"/>
    <x v="7"/>
    <n v="0"/>
    <x v="4"/>
    <x v="1"/>
    <x v="1"/>
  </r>
  <r>
    <x v="2"/>
    <x v="0"/>
    <d v="2013-09-28T00:00:00"/>
    <x v="8"/>
    <x v="8"/>
    <x v="8"/>
    <n v="4475000000"/>
    <x v="4"/>
    <x v="2"/>
    <x v="2"/>
  </r>
  <r>
    <x v="2"/>
    <x v="1"/>
    <d v="2014-09-27T00:00:00"/>
    <x v="9"/>
    <x v="9"/>
    <x v="9"/>
    <n v="6041000000"/>
    <x v="4"/>
    <x v="2"/>
    <x v="2"/>
  </r>
  <r>
    <x v="2"/>
    <x v="2"/>
    <d v="2015-09-26T00:00:00"/>
    <x v="10"/>
    <x v="10"/>
    <x v="10"/>
    <n v="8067000000"/>
    <x v="4"/>
    <x v="2"/>
    <x v="2"/>
  </r>
  <r>
    <x v="2"/>
    <x v="3"/>
    <d v="2016-09-24T00:00:00"/>
    <x v="11"/>
    <x v="11"/>
    <x v="11"/>
    <n v="10045000000"/>
    <x v="4"/>
    <x v="2"/>
    <x v="2"/>
  </r>
  <r>
    <x v="3"/>
    <x v="0"/>
    <d v="2012-12-31T00:00:00"/>
    <x v="12"/>
    <x v="12"/>
    <x v="12"/>
    <n v="2778000000"/>
    <x v="4"/>
    <x v="3"/>
    <x v="3"/>
  </r>
  <r>
    <x v="3"/>
    <x v="1"/>
    <d v="2013-12-31T00:00:00"/>
    <x v="13"/>
    <x v="13"/>
    <x v="13"/>
    <n v="2855000000"/>
    <x v="4"/>
    <x v="3"/>
    <x v="3"/>
  </r>
  <r>
    <x v="3"/>
    <x v="2"/>
    <d v="2014-12-31T00:00:00"/>
    <x v="14"/>
    <x v="14"/>
    <x v="14"/>
    <n v="3297000000"/>
    <x v="4"/>
    <x v="3"/>
    <x v="3"/>
  </r>
  <r>
    <x v="3"/>
    <x v="3"/>
    <d v="2015-12-31T00:00:00"/>
    <x v="15"/>
    <x v="15"/>
    <x v="15"/>
    <n v="4285000000"/>
    <x v="4"/>
    <x v="3"/>
    <x v="3"/>
  </r>
  <r>
    <x v="4"/>
    <x v="0"/>
    <d v="2013-09-30T00:00:00"/>
    <x v="16"/>
    <x v="16"/>
    <x v="16"/>
    <n v="0"/>
    <x v="5"/>
    <x v="3"/>
    <x v="4"/>
  </r>
  <r>
    <x v="4"/>
    <x v="1"/>
    <d v="2014-09-30T00:00:00"/>
    <x v="17"/>
    <x v="17"/>
    <x v="17"/>
    <n v="0"/>
    <x v="6"/>
    <x v="3"/>
    <x v="4"/>
  </r>
  <r>
    <x v="4"/>
    <x v="2"/>
    <d v="2015-09-30T00:00:00"/>
    <x v="18"/>
    <x v="18"/>
    <x v="18"/>
    <n v="0"/>
    <x v="7"/>
    <x v="3"/>
    <x v="4"/>
  </r>
  <r>
    <x v="4"/>
    <x v="3"/>
    <d v="2016-09-30T00:00:00"/>
    <x v="19"/>
    <x v="19"/>
    <x v="19"/>
    <n v="0"/>
    <x v="8"/>
    <x v="3"/>
    <x v="4"/>
  </r>
  <r>
    <x v="5"/>
    <x v="0"/>
    <d v="2012-12-31T00:00:00"/>
    <x v="20"/>
    <x v="20"/>
    <x v="20"/>
    <n v="1461000000"/>
    <x v="9"/>
    <x v="3"/>
    <x v="5"/>
  </r>
  <r>
    <x v="5"/>
    <x v="1"/>
    <d v="2013-12-31T00:00:00"/>
    <x v="21"/>
    <x v="21"/>
    <x v="21"/>
    <n v="1371000000"/>
    <x v="10"/>
    <x v="3"/>
    <x v="5"/>
  </r>
  <r>
    <x v="5"/>
    <x v="2"/>
    <d v="2014-12-31T00:00:00"/>
    <x v="22"/>
    <x v="22"/>
    <x v="22"/>
    <n v="1345000000"/>
    <x v="11"/>
    <x v="3"/>
    <x v="5"/>
  </r>
  <r>
    <x v="5"/>
    <x v="3"/>
    <d v="2015-12-31T00:00:00"/>
    <x v="23"/>
    <x v="23"/>
    <x v="23"/>
    <n v="1405000000"/>
    <x v="12"/>
    <x v="3"/>
    <x v="5"/>
  </r>
  <r>
    <x v="6"/>
    <x v="0"/>
    <d v="2013-11-29T00:00:00"/>
    <x v="24"/>
    <x v="24"/>
    <x v="24"/>
    <n v="826631000"/>
    <x v="13"/>
    <x v="2"/>
    <x v="6"/>
  </r>
  <r>
    <x v="6"/>
    <x v="1"/>
    <d v="2014-11-28T00:00:00"/>
    <x v="25"/>
    <x v="25"/>
    <x v="25"/>
    <n v="844353000"/>
    <x v="14"/>
    <x v="2"/>
    <x v="6"/>
  </r>
  <r>
    <x v="6"/>
    <x v="2"/>
    <d v="2015-11-27T00:00:00"/>
    <x v="26"/>
    <x v="26"/>
    <x v="26"/>
    <n v="862730000"/>
    <x v="15"/>
    <x v="2"/>
    <x v="6"/>
  </r>
  <r>
    <x v="6"/>
    <x v="3"/>
    <d v="2016-12-02T00:00:00"/>
    <x v="27"/>
    <x v="27"/>
    <x v="27"/>
    <n v="975987000"/>
    <x v="16"/>
    <x v="2"/>
    <x v="6"/>
  </r>
  <r>
    <x v="7"/>
    <x v="0"/>
    <d v="2013-11-02T00:00:00"/>
    <x v="28"/>
    <x v="28"/>
    <x v="28"/>
    <n v="513035000"/>
    <x v="17"/>
    <x v="2"/>
    <x v="7"/>
  </r>
  <r>
    <x v="7"/>
    <x v="1"/>
    <d v="2014-11-01T00:00:00"/>
    <x v="29"/>
    <x v="29"/>
    <x v="29"/>
    <n v="559686000"/>
    <x v="18"/>
    <x v="2"/>
    <x v="7"/>
  </r>
  <r>
    <x v="7"/>
    <x v="2"/>
    <d v="2015-10-31T00:00:00"/>
    <x v="30"/>
    <x v="30"/>
    <x v="30"/>
    <n v="637459000"/>
    <x v="19"/>
    <x v="2"/>
    <x v="7"/>
  </r>
  <r>
    <x v="7"/>
    <x v="3"/>
    <d v="2016-10-29T00:00:00"/>
    <x v="31"/>
    <x v="31"/>
    <x v="31"/>
    <n v="653816000"/>
    <x v="20"/>
    <x v="2"/>
    <x v="7"/>
  </r>
  <r>
    <x v="8"/>
    <x v="0"/>
    <d v="2012-12-31T00:00:00"/>
    <x v="32"/>
    <x v="32"/>
    <x v="32"/>
    <n v="0"/>
    <x v="4"/>
    <x v="4"/>
    <x v="8"/>
  </r>
  <r>
    <x v="8"/>
    <x v="1"/>
    <d v="2013-12-31T00:00:00"/>
    <x v="33"/>
    <x v="33"/>
    <x v="33"/>
    <n v="0"/>
    <x v="4"/>
    <x v="4"/>
    <x v="8"/>
  </r>
  <r>
    <x v="8"/>
    <x v="2"/>
    <d v="2014-12-31T00:00:00"/>
    <x v="34"/>
    <x v="34"/>
    <x v="34"/>
    <n v="0"/>
    <x v="4"/>
    <x v="4"/>
    <x v="8"/>
  </r>
  <r>
    <x v="8"/>
    <x v="3"/>
    <d v="2015-12-31T00:00:00"/>
    <x v="35"/>
    <x v="35"/>
    <x v="35"/>
    <n v="0"/>
    <x v="4"/>
    <x v="4"/>
    <x v="8"/>
  </r>
  <r>
    <x v="9"/>
    <x v="0"/>
    <d v="2012-12-31T00:00:00"/>
    <x v="36"/>
    <x v="36"/>
    <x v="36"/>
    <n v="0"/>
    <x v="21"/>
    <x v="2"/>
    <x v="9"/>
  </r>
  <r>
    <x v="9"/>
    <x v="1"/>
    <d v="2013-12-31T00:00:00"/>
    <x v="37"/>
    <x v="37"/>
    <x v="37"/>
    <n v="0"/>
    <x v="22"/>
    <x v="2"/>
    <x v="9"/>
  </r>
  <r>
    <x v="9"/>
    <x v="2"/>
    <d v="2014-12-31T00:00:00"/>
    <x v="38"/>
    <x v="38"/>
    <x v="38"/>
    <n v="0"/>
    <x v="23"/>
    <x v="2"/>
    <x v="9"/>
  </r>
  <r>
    <x v="9"/>
    <x v="3"/>
    <d v="2015-12-31T00:00:00"/>
    <x v="39"/>
    <x v="39"/>
    <x v="39"/>
    <n v="0"/>
    <x v="24"/>
    <x v="2"/>
    <x v="9"/>
  </r>
  <r>
    <x v="10"/>
    <x v="0"/>
    <d v="2013-01-31T00:00:00"/>
    <x v="40"/>
    <x v="40"/>
    <x v="40"/>
    <n v="600000000"/>
    <x v="25"/>
    <x v="2"/>
    <x v="6"/>
  </r>
  <r>
    <x v="10"/>
    <x v="1"/>
    <d v="2014-01-31T00:00:00"/>
    <x v="41"/>
    <x v="41"/>
    <x v="41"/>
    <n v="611100000"/>
    <x v="26"/>
    <x v="2"/>
    <x v="6"/>
  </r>
  <r>
    <x v="10"/>
    <x v="2"/>
    <d v="2015-01-31T00:00:00"/>
    <x v="42"/>
    <x v="42"/>
    <x v="42"/>
    <n v="725200000"/>
    <x v="27"/>
    <x v="2"/>
    <x v="6"/>
  </r>
  <r>
    <x v="10"/>
    <x v="3"/>
    <d v="2016-01-31T00:00:00"/>
    <x v="43"/>
    <x v="43"/>
    <x v="43"/>
    <n v="790000000"/>
    <x v="28"/>
    <x v="2"/>
    <x v="6"/>
  </r>
  <r>
    <x v="11"/>
    <x v="0"/>
    <d v="2012-12-31T00:00:00"/>
    <x v="44"/>
    <x v="44"/>
    <x v="44"/>
    <n v="0"/>
    <x v="29"/>
    <x v="5"/>
    <x v="10"/>
  </r>
  <r>
    <x v="11"/>
    <x v="1"/>
    <d v="2013-12-31T00:00:00"/>
    <x v="45"/>
    <x v="45"/>
    <x v="45"/>
    <n v="0"/>
    <x v="30"/>
    <x v="5"/>
    <x v="10"/>
  </r>
  <r>
    <x v="11"/>
    <x v="2"/>
    <d v="2014-12-31T00:00:00"/>
    <x v="46"/>
    <x v="46"/>
    <x v="46"/>
    <n v="0"/>
    <x v="31"/>
    <x v="5"/>
    <x v="10"/>
  </r>
  <r>
    <x v="11"/>
    <x v="3"/>
    <d v="2015-12-31T00:00:00"/>
    <x v="47"/>
    <x v="47"/>
    <x v="47"/>
    <n v="0"/>
    <x v="32"/>
    <x v="5"/>
    <x v="10"/>
  </r>
  <r>
    <x v="12"/>
    <x v="0"/>
    <d v="2012-12-31T00:00:00"/>
    <x v="48"/>
    <x v="48"/>
    <x v="48"/>
    <n v="0"/>
    <x v="33"/>
    <x v="5"/>
    <x v="11"/>
  </r>
  <r>
    <x v="12"/>
    <x v="1"/>
    <d v="2013-12-31T00:00:00"/>
    <x v="49"/>
    <x v="49"/>
    <x v="49"/>
    <n v="0"/>
    <x v="34"/>
    <x v="5"/>
    <x v="11"/>
  </r>
  <r>
    <x v="12"/>
    <x v="2"/>
    <d v="2014-12-31T00:00:00"/>
    <x v="50"/>
    <x v="50"/>
    <x v="50"/>
    <n v="0"/>
    <x v="35"/>
    <x v="5"/>
    <x v="11"/>
  </r>
  <r>
    <x v="12"/>
    <x v="3"/>
    <d v="2015-12-31T00:00:00"/>
    <x v="51"/>
    <x v="51"/>
    <x v="51"/>
    <n v="0"/>
    <x v="36"/>
    <x v="5"/>
    <x v="11"/>
  </r>
  <r>
    <x v="13"/>
    <x v="0"/>
    <d v="2012-12-31T00:00:00"/>
    <x v="52"/>
    <x v="52"/>
    <x v="52"/>
    <n v="0"/>
    <x v="37"/>
    <x v="6"/>
    <x v="12"/>
  </r>
  <r>
    <x v="13"/>
    <x v="1"/>
    <d v="2013-12-31T00:00:00"/>
    <x v="53"/>
    <x v="53"/>
    <x v="52"/>
    <n v="0"/>
    <x v="38"/>
    <x v="6"/>
    <x v="12"/>
  </r>
  <r>
    <x v="13"/>
    <x v="2"/>
    <d v="2014-12-31T00:00:00"/>
    <x v="54"/>
    <x v="54"/>
    <x v="52"/>
    <n v="0"/>
    <x v="39"/>
    <x v="6"/>
    <x v="12"/>
  </r>
  <r>
    <x v="13"/>
    <x v="3"/>
    <d v="2015-12-31T00:00:00"/>
    <x v="55"/>
    <x v="55"/>
    <x v="52"/>
    <n v="0"/>
    <x v="40"/>
    <x v="6"/>
    <x v="12"/>
  </r>
  <r>
    <x v="14"/>
    <x v="0"/>
    <d v="2012-12-31T00:00:00"/>
    <x v="56"/>
    <x v="56"/>
    <x v="53"/>
    <n v="0"/>
    <x v="4"/>
    <x v="6"/>
    <x v="13"/>
  </r>
  <r>
    <x v="14"/>
    <x v="1"/>
    <d v="2013-12-31T00:00:00"/>
    <x v="57"/>
    <x v="57"/>
    <x v="54"/>
    <n v="0"/>
    <x v="4"/>
    <x v="6"/>
    <x v="13"/>
  </r>
  <r>
    <x v="14"/>
    <x v="2"/>
    <d v="2014-12-31T00:00:00"/>
    <x v="58"/>
    <x v="58"/>
    <x v="55"/>
    <n v="0"/>
    <x v="4"/>
    <x v="6"/>
    <x v="13"/>
  </r>
  <r>
    <x v="14"/>
    <x v="3"/>
    <d v="2015-12-31T00:00:00"/>
    <x v="59"/>
    <x v="59"/>
    <x v="56"/>
    <n v="0"/>
    <x v="4"/>
    <x v="6"/>
    <x v="13"/>
  </r>
  <r>
    <x v="15"/>
    <x v="0"/>
    <d v="2012-12-31T00:00:00"/>
    <x v="60"/>
    <x v="60"/>
    <x v="57"/>
    <n v="0"/>
    <x v="41"/>
    <x v="7"/>
    <x v="14"/>
  </r>
  <r>
    <x v="15"/>
    <x v="1"/>
    <d v="2013-12-31T00:00:00"/>
    <x v="61"/>
    <x v="61"/>
    <x v="58"/>
    <n v="0"/>
    <x v="42"/>
    <x v="7"/>
    <x v="14"/>
  </r>
  <r>
    <x v="15"/>
    <x v="2"/>
    <d v="2014-12-31T00:00:00"/>
    <x v="62"/>
    <x v="62"/>
    <x v="59"/>
    <n v="0"/>
    <x v="43"/>
    <x v="7"/>
    <x v="14"/>
  </r>
  <r>
    <x v="15"/>
    <x v="3"/>
    <d v="2015-12-31T00:00:00"/>
    <x v="63"/>
    <x v="63"/>
    <x v="60"/>
    <n v="0"/>
    <x v="44"/>
    <x v="7"/>
    <x v="14"/>
  </r>
  <r>
    <x v="16"/>
    <x v="0"/>
    <d v="2013-12-31T00:00:00"/>
    <x v="64"/>
    <x v="64"/>
    <x v="52"/>
    <n v="0"/>
    <x v="45"/>
    <x v="6"/>
    <x v="15"/>
  </r>
  <r>
    <x v="16"/>
    <x v="1"/>
    <d v="2014-12-31T00:00:00"/>
    <x v="65"/>
    <x v="65"/>
    <x v="52"/>
    <n v="0"/>
    <x v="46"/>
    <x v="6"/>
    <x v="15"/>
  </r>
  <r>
    <x v="16"/>
    <x v="2"/>
    <d v="2015-12-31T00:00:00"/>
    <x v="66"/>
    <x v="66"/>
    <x v="52"/>
    <n v="0"/>
    <x v="47"/>
    <x v="6"/>
    <x v="15"/>
  </r>
  <r>
    <x v="16"/>
    <x v="3"/>
    <d v="2016-12-31T00:00:00"/>
    <x v="67"/>
    <x v="67"/>
    <x v="52"/>
    <n v="0"/>
    <x v="48"/>
    <x v="6"/>
    <x v="15"/>
  </r>
  <r>
    <x v="17"/>
    <x v="0"/>
    <d v="2012-12-31T00:00:00"/>
    <x v="68"/>
    <x v="68"/>
    <x v="61"/>
    <n v="74744000"/>
    <x v="49"/>
    <x v="2"/>
    <x v="16"/>
  </r>
  <r>
    <x v="17"/>
    <x v="1"/>
    <d v="2013-12-31T00:00:00"/>
    <x v="69"/>
    <x v="69"/>
    <x v="62"/>
    <n v="93879000"/>
    <x v="50"/>
    <x v="2"/>
    <x v="16"/>
  </r>
  <r>
    <x v="17"/>
    <x v="2"/>
    <d v="2014-12-31T00:00:00"/>
    <x v="70"/>
    <x v="70"/>
    <x v="63"/>
    <n v="125286000"/>
    <x v="51"/>
    <x v="2"/>
    <x v="16"/>
  </r>
  <r>
    <x v="17"/>
    <x v="3"/>
    <d v="2015-12-31T00:00:00"/>
    <x v="71"/>
    <x v="71"/>
    <x v="64"/>
    <n v="148591000"/>
    <x v="52"/>
    <x v="2"/>
    <x v="16"/>
  </r>
  <r>
    <x v="18"/>
    <x v="0"/>
    <d v="2012-12-31T00:00:00"/>
    <x v="72"/>
    <x v="72"/>
    <x v="65"/>
    <n v="78919000"/>
    <x v="4"/>
    <x v="8"/>
    <x v="17"/>
  </r>
  <r>
    <x v="18"/>
    <x v="1"/>
    <d v="2013-12-31T00:00:00"/>
    <x v="73"/>
    <x v="73"/>
    <x v="66"/>
    <n v="82246000"/>
    <x v="4"/>
    <x v="8"/>
    <x v="17"/>
  </r>
  <r>
    <x v="18"/>
    <x v="2"/>
    <d v="2014-12-31T00:00:00"/>
    <x v="74"/>
    <x v="74"/>
    <x v="67"/>
    <n v="88310000"/>
    <x v="4"/>
    <x v="8"/>
    <x v="17"/>
  </r>
  <r>
    <x v="18"/>
    <x v="3"/>
    <d v="2015-12-31T00:00:00"/>
    <x v="75"/>
    <x v="75"/>
    <x v="68"/>
    <n v="102871000"/>
    <x v="4"/>
    <x v="8"/>
    <x v="17"/>
  </r>
  <r>
    <x v="19"/>
    <x v="0"/>
    <d v="2012-12-31T00:00:00"/>
    <x v="76"/>
    <x v="76"/>
    <x v="69"/>
    <n v="0"/>
    <x v="53"/>
    <x v="0"/>
    <x v="0"/>
  </r>
  <r>
    <x v="19"/>
    <x v="1"/>
    <d v="2013-12-31T00:00:00"/>
    <x v="77"/>
    <x v="77"/>
    <x v="70"/>
    <n v="0"/>
    <x v="54"/>
    <x v="0"/>
    <x v="0"/>
  </r>
  <r>
    <x v="19"/>
    <x v="2"/>
    <d v="2014-12-31T00:00:00"/>
    <x v="78"/>
    <x v="78"/>
    <x v="71"/>
    <n v="0"/>
    <x v="55"/>
    <x v="0"/>
    <x v="0"/>
  </r>
  <r>
    <x v="19"/>
    <x v="3"/>
    <d v="2015-12-31T00:00:00"/>
    <x v="79"/>
    <x v="79"/>
    <x v="72"/>
    <n v="0"/>
    <x v="56"/>
    <x v="0"/>
    <x v="0"/>
  </r>
  <r>
    <x v="20"/>
    <x v="0"/>
    <d v="2012-12-31T00:00:00"/>
    <x v="80"/>
    <x v="80"/>
    <x v="52"/>
    <n v="0"/>
    <x v="57"/>
    <x v="6"/>
    <x v="13"/>
  </r>
  <r>
    <x v="20"/>
    <x v="1"/>
    <d v="2013-12-31T00:00:00"/>
    <x v="81"/>
    <x v="81"/>
    <x v="73"/>
    <n v="0"/>
    <x v="58"/>
    <x v="6"/>
    <x v="13"/>
  </r>
  <r>
    <x v="20"/>
    <x v="2"/>
    <d v="2014-12-31T00:00:00"/>
    <x v="82"/>
    <x v="82"/>
    <x v="74"/>
    <n v="0"/>
    <x v="59"/>
    <x v="6"/>
    <x v="13"/>
  </r>
  <r>
    <x v="20"/>
    <x v="3"/>
    <d v="2015-12-31T00:00:00"/>
    <x v="83"/>
    <x v="83"/>
    <x v="75"/>
    <n v="0"/>
    <x v="60"/>
    <x v="6"/>
    <x v="13"/>
  </r>
  <r>
    <x v="21"/>
    <x v="0"/>
    <d v="2013-12-31T00:00:00"/>
    <x v="84"/>
    <x v="84"/>
    <x v="76"/>
    <n v="0"/>
    <x v="4"/>
    <x v="0"/>
    <x v="18"/>
  </r>
  <r>
    <x v="21"/>
    <x v="1"/>
    <d v="2014-12-31T00:00:00"/>
    <x v="85"/>
    <x v="85"/>
    <x v="77"/>
    <n v="0"/>
    <x v="4"/>
    <x v="0"/>
    <x v="18"/>
  </r>
  <r>
    <x v="21"/>
    <x v="2"/>
    <d v="2015-12-31T00:00:00"/>
    <x v="86"/>
    <x v="86"/>
    <x v="78"/>
    <n v="0"/>
    <x v="4"/>
    <x v="0"/>
    <x v="18"/>
  </r>
  <r>
    <x v="21"/>
    <x v="3"/>
    <d v="2016-12-31T00:00:00"/>
    <x v="87"/>
    <x v="87"/>
    <x v="79"/>
    <n v="0"/>
    <x v="4"/>
    <x v="0"/>
    <x v="18"/>
  </r>
  <r>
    <x v="22"/>
    <x v="0"/>
    <d v="2013-12-31T00:00:00"/>
    <x v="88"/>
    <x v="88"/>
    <x v="80"/>
    <n v="317093000"/>
    <x v="61"/>
    <x v="3"/>
    <x v="19"/>
  </r>
  <r>
    <x v="22"/>
    <x v="1"/>
    <d v="2014-12-31T00:00:00"/>
    <x v="89"/>
    <x v="89"/>
    <x v="81"/>
    <n v="514000000"/>
    <x v="4"/>
    <x v="3"/>
    <x v="19"/>
  </r>
  <r>
    <x v="22"/>
    <x v="2"/>
    <d v="2015-12-31T00:00:00"/>
    <x v="90"/>
    <x v="90"/>
    <x v="82"/>
    <n v="709000000"/>
    <x v="62"/>
    <x v="3"/>
    <x v="19"/>
  </r>
  <r>
    <x v="22"/>
    <x v="3"/>
    <d v="2016-12-31T00:00:00"/>
    <x v="91"/>
    <x v="91"/>
    <x v="83"/>
    <n v="757000000"/>
    <x v="63"/>
    <x v="3"/>
    <x v="19"/>
  </r>
  <r>
    <x v="23"/>
    <x v="0"/>
    <d v="2013-10-27T00:00:00"/>
    <x v="92"/>
    <x v="92"/>
    <x v="84"/>
    <n v="1320000000"/>
    <x v="4"/>
    <x v="2"/>
    <x v="20"/>
  </r>
  <r>
    <x v="23"/>
    <x v="1"/>
    <d v="2014-10-26T00:00:00"/>
    <x v="93"/>
    <x v="93"/>
    <x v="85"/>
    <n v="1428000000"/>
    <x v="4"/>
    <x v="2"/>
    <x v="20"/>
  </r>
  <r>
    <x v="23"/>
    <x v="2"/>
    <d v="2015-10-25T00:00:00"/>
    <x v="94"/>
    <x v="94"/>
    <x v="86"/>
    <n v="1451000000"/>
    <x v="4"/>
    <x v="2"/>
    <x v="20"/>
  </r>
  <r>
    <x v="23"/>
    <x v="3"/>
    <d v="2016-10-30T00:00:00"/>
    <x v="95"/>
    <x v="95"/>
    <x v="87"/>
    <n v="1540000000"/>
    <x v="4"/>
    <x v="2"/>
    <x v="20"/>
  </r>
  <r>
    <x v="24"/>
    <x v="0"/>
    <d v="2012-12-31T00:00:00"/>
    <x v="96"/>
    <x v="96"/>
    <x v="88"/>
    <n v="0"/>
    <x v="64"/>
    <x v="0"/>
    <x v="21"/>
  </r>
  <r>
    <x v="24"/>
    <x v="1"/>
    <d v="2013-12-31T00:00:00"/>
    <x v="97"/>
    <x v="97"/>
    <x v="89"/>
    <n v="0"/>
    <x v="65"/>
    <x v="0"/>
    <x v="21"/>
  </r>
  <r>
    <x v="24"/>
    <x v="2"/>
    <d v="2014-12-31T00:00:00"/>
    <x v="98"/>
    <x v="98"/>
    <x v="90"/>
    <n v="0"/>
    <x v="66"/>
    <x v="0"/>
    <x v="21"/>
  </r>
  <r>
    <x v="24"/>
    <x v="3"/>
    <d v="2015-12-31T00:00:00"/>
    <x v="99"/>
    <x v="99"/>
    <x v="91"/>
    <n v="0"/>
    <x v="67"/>
    <x v="0"/>
    <x v="21"/>
  </r>
  <r>
    <x v="25"/>
    <x v="0"/>
    <d v="2013-12-31T00:00:00"/>
    <x v="100"/>
    <x v="100"/>
    <x v="92"/>
    <n v="4083000000"/>
    <x v="4"/>
    <x v="3"/>
    <x v="19"/>
  </r>
  <r>
    <x v="25"/>
    <x v="1"/>
    <d v="2014-12-31T00:00:00"/>
    <x v="101"/>
    <x v="101"/>
    <x v="93"/>
    <n v="4297000000"/>
    <x v="4"/>
    <x v="3"/>
    <x v="19"/>
  </r>
  <r>
    <x v="25"/>
    <x v="2"/>
    <d v="2015-12-31T00:00:00"/>
    <x v="102"/>
    <x v="102"/>
    <x v="94"/>
    <n v="4070000000"/>
    <x v="4"/>
    <x v="3"/>
    <x v="19"/>
  </r>
  <r>
    <x v="25"/>
    <x v="3"/>
    <d v="2016-12-31T00:00:00"/>
    <x v="103"/>
    <x v="103"/>
    <x v="95"/>
    <n v="3840000000"/>
    <x v="4"/>
    <x v="3"/>
    <x v="19"/>
  </r>
  <r>
    <x v="26"/>
    <x v="0"/>
    <d v="2012-12-31T00:00:00"/>
    <x v="104"/>
    <x v="104"/>
    <x v="96"/>
    <n v="0"/>
    <x v="68"/>
    <x v="6"/>
    <x v="22"/>
  </r>
  <r>
    <x v="26"/>
    <x v="1"/>
    <d v="2013-12-31T00:00:00"/>
    <x v="105"/>
    <x v="105"/>
    <x v="97"/>
    <n v="0"/>
    <x v="69"/>
    <x v="6"/>
    <x v="22"/>
  </r>
  <r>
    <x v="26"/>
    <x v="2"/>
    <d v="2014-12-31T00:00:00"/>
    <x v="106"/>
    <x v="106"/>
    <x v="98"/>
    <n v="0"/>
    <x v="70"/>
    <x v="6"/>
    <x v="22"/>
  </r>
  <r>
    <x v="26"/>
    <x v="3"/>
    <d v="2015-12-31T00:00:00"/>
    <x v="107"/>
    <x v="107"/>
    <x v="99"/>
    <n v="0"/>
    <x v="71"/>
    <x v="6"/>
    <x v="22"/>
  </r>
  <r>
    <x v="27"/>
    <x v="0"/>
    <d v="2012-12-31T00:00:00"/>
    <x v="108"/>
    <x v="108"/>
    <x v="100"/>
    <n v="0"/>
    <x v="72"/>
    <x v="7"/>
    <x v="23"/>
  </r>
  <r>
    <x v="27"/>
    <x v="1"/>
    <d v="2013-12-31T00:00:00"/>
    <x v="109"/>
    <x v="109"/>
    <x v="101"/>
    <n v="0"/>
    <x v="73"/>
    <x v="7"/>
    <x v="23"/>
  </r>
  <r>
    <x v="27"/>
    <x v="2"/>
    <d v="2014-12-31T00:00:00"/>
    <x v="110"/>
    <x v="110"/>
    <x v="102"/>
    <n v="0"/>
    <x v="74"/>
    <x v="7"/>
    <x v="23"/>
  </r>
  <r>
    <x v="27"/>
    <x v="3"/>
    <d v="2015-12-31T00:00:00"/>
    <x v="111"/>
    <x v="111"/>
    <x v="103"/>
    <n v="0"/>
    <x v="75"/>
    <x v="7"/>
    <x v="23"/>
  </r>
  <r>
    <x v="28"/>
    <x v="0"/>
    <d v="2013-12-31T00:00:00"/>
    <x v="112"/>
    <x v="112"/>
    <x v="104"/>
    <n v="0"/>
    <x v="4"/>
    <x v="1"/>
    <x v="24"/>
  </r>
  <r>
    <x v="28"/>
    <x v="1"/>
    <d v="2014-12-31T00:00:00"/>
    <x v="113"/>
    <x v="113"/>
    <x v="105"/>
    <n v="0"/>
    <x v="4"/>
    <x v="1"/>
    <x v="24"/>
  </r>
  <r>
    <x v="28"/>
    <x v="2"/>
    <d v="2015-12-31T00:00:00"/>
    <x v="114"/>
    <x v="114"/>
    <x v="106"/>
    <n v="0"/>
    <x v="4"/>
    <x v="1"/>
    <x v="24"/>
  </r>
  <r>
    <x v="28"/>
    <x v="3"/>
    <d v="2016-12-31T00:00:00"/>
    <x v="115"/>
    <x v="115"/>
    <x v="107"/>
    <n v="0"/>
    <x v="4"/>
    <x v="1"/>
    <x v="24"/>
  </r>
  <r>
    <x v="29"/>
    <x v="0"/>
    <d v="2013-12-31T00:00:00"/>
    <x v="116"/>
    <x v="116"/>
    <x v="108"/>
    <n v="0"/>
    <x v="76"/>
    <x v="1"/>
    <x v="25"/>
  </r>
  <r>
    <x v="29"/>
    <x v="1"/>
    <d v="2014-12-31T00:00:00"/>
    <x v="117"/>
    <x v="117"/>
    <x v="109"/>
    <n v="0"/>
    <x v="77"/>
    <x v="1"/>
    <x v="25"/>
  </r>
  <r>
    <x v="29"/>
    <x v="2"/>
    <d v="2015-12-31T00:00:00"/>
    <x v="118"/>
    <x v="118"/>
    <x v="110"/>
    <n v="0"/>
    <x v="78"/>
    <x v="1"/>
    <x v="25"/>
  </r>
  <r>
    <x v="29"/>
    <x v="3"/>
    <d v="2016-12-31T00:00:00"/>
    <x v="119"/>
    <x v="119"/>
    <x v="111"/>
    <n v="0"/>
    <x v="79"/>
    <x v="1"/>
    <x v="25"/>
  </r>
  <r>
    <x v="30"/>
    <x v="0"/>
    <d v="2012-12-31T00:00:00"/>
    <x v="120"/>
    <x v="120"/>
    <x v="112"/>
    <n v="0"/>
    <x v="80"/>
    <x v="3"/>
    <x v="26"/>
  </r>
  <r>
    <x v="30"/>
    <x v="1"/>
    <d v="2013-12-31T00:00:00"/>
    <x v="121"/>
    <x v="121"/>
    <x v="113"/>
    <n v="0"/>
    <x v="81"/>
    <x v="3"/>
    <x v="26"/>
  </r>
  <r>
    <x v="30"/>
    <x v="2"/>
    <d v="2014-12-31T00:00:00"/>
    <x v="122"/>
    <x v="122"/>
    <x v="114"/>
    <n v="0"/>
    <x v="82"/>
    <x v="3"/>
    <x v="26"/>
  </r>
  <r>
    <x v="30"/>
    <x v="3"/>
    <d v="2015-12-31T00:00:00"/>
    <x v="123"/>
    <x v="123"/>
    <x v="115"/>
    <n v="0"/>
    <x v="83"/>
    <x v="3"/>
    <x v="26"/>
  </r>
  <r>
    <x v="31"/>
    <x v="0"/>
    <d v="2012-12-31T00:00:00"/>
    <x v="124"/>
    <x v="124"/>
    <x v="116"/>
    <n v="0"/>
    <x v="84"/>
    <x v="9"/>
    <x v="27"/>
  </r>
  <r>
    <x v="31"/>
    <x v="1"/>
    <d v="2013-12-31T00:00:00"/>
    <x v="125"/>
    <x v="125"/>
    <x v="117"/>
    <n v="0"/>
    <x v="85"/>
    <x v="9"/>
    <x v="27"/>
  </r>
  <r>
    <x v="31"/>
    <x v="2"/>
    <d v="2014-12-31T00:00:00"/>
    <x v="126"/>
    <x v="126"/>
    <x v="118"/>
    <n v="0"/>
    <x v="86"/>
    <x v="9"/>
    <x v="27"/>
  </r>
  <r>
    <x v="31"/>
    <x v="3"/>
    <d v="2015-12-31T00:00:00"/>
    <x v="127"/>
    <x v="127"/>
    <x v="119"/>
    <n v="0"/>
    <x v="87"/>
    <x v="9"/>
    <x v="27"/>
  </r>
  <r>
    <x v="32"/>
    <x v="0"/>
    <d v="2013-12-31T00:00:00"/>
    <x v="128"/>
    <x v="128"/>
    <x v="120"/>
    <n v="0"/>
    <x v="88"/>
    <x v="9"/>
    <x v="27"/>
  </r>
  <r>
    <x v="32"/>
    <x v="1"/>
    <d v="2014-12-31T00:00:00"/>
    <x v="129"/>
    <x v="129"/>
    <x v="121"/>
    <n v="0"/>
    <x v="89"/>
    <x v="9"/>
    <x v="27"/>
  </r>
  <r>
    <x v="32"/>
    <x v="2"/>
    <d v="2015-12-31T00:00:00"/>
    <x v="130"/>
    <x v="130"/>
    <x v="122"/>
    <n v="0"/>
    <x v="90"/>
    <x v="9"/>
    <x v="27"/>
  </r>
  <r>
    <x v="32"/>
    <x v="3"/>
    <d v="2016-12-31T00:00:00"/>
    <x v="131"/>
    <x v="131"/>
    <x v="123"/>
    <n v="0"/>
    <x v="91"/>
    <x v="9"/>
    <x v="27"/>
  </r>
  <r>
    <x v="33"/>
    <x v="0"/>
    <d v="2013-09-30T00:00:00"/>
    <x v="132"/>
    <x v="132"/>
    <x v="124"/>
    <n v="133700000"/>
    <x v="4"/>
    <x v="8"/>
    <x v="28"/>
  </r>
  <r>
    <x v="33"/>
    <x v="1"/>
    <d v="2014-09-30T00:00:00"/>
    <x v="133"/>
    <x v="133"/>
    <x v="125"/>
    <n v="139800000"/>
    <x v="4"/>
    <x v="8"/>
    <x v="28"/>
  </r>
  <r>
    <x v="33"/>
    <x v="2"/>
    <d v="2015-09-30T00:00:00"/>
    <x v="134"/>
    <x v="134"/>
    <x v="126"/>
    <n v="137100000"/>
    <x v="4"/>
    <x v="8"/>
    <x v="28"/>
  </r>
  <r>
    <x v="33"/>
    <x v="3"/>
    <d v="2016-09-30T00:00:00"/>
    <x v="135"/>
    <x v="135"/>
    <x v="127"/>
    <n v="132000000"/>
    <x v="4"/>
    <x v="8"/>
    <x v="28"/>
  </r>
  <r>
    <x v="34"/>
    <x v="0"/>
    <d v="2012-12-31T00:00:00"/>
    <x v="136"/>
    <x v="136"/>
    <x v="128"/>
    <n v="0"/>
    <x v="4"/>
    <x v="2"/>
    <x v="29"/>
  </r>
  <r>
    <x v="34"/>
    <x v="1"/>
    <d v="2013-12-31T00:00:00"/>
    <x v="137"/>
    <x v="137"/>
    <x v="129"/>
    <n v="0"/>
    <x v="4"/>
    <x v="2"/>
    <x v="29"/>
  </r>
  <r>
    <x v="34"/>
    <x v="2"/>
    <d v="2014-12-31T00:00:00"/>
    <x v="138"/>
    <x v="138"/>
    <x v="130"/>
    <n v="0"/>
    <x v="4"/>
    <x v="2"/>
    <x v="29"/>
  </r>
  <r>
    <x v="34"/>
    <x v="3"/>
    <d v="2015-12-31T00:00:00"/>
    <x v="139"/>
    <x v="139"/>
    <x v="131"/>
    <n v="0"/>
    <x v="4"/>
    <x v="2"/>
    <x v="29"/>
  </r>
  <r>
    <x v="35"/>
    <x v="0"/>
    <d v="2012-12-31T00:00:00"/>
    <x v="140"/>
    <x v="140"/>
    <x v="132"/>
    <n v="197000000"/>
    <x v="92"/>
    <x v="0"/>
    <x v="30"/>
  </r>
  <r>
    <x v="35"/>
    <x v="1"/>
    <d v="2013-12-31T00:00:00"/>
    <x v="141"/>
    <x v="141"/>
    <x v="133"/>
    <n v="192000000"/>
    <x v="93"/>
    <x v="0"/>
    <x v="30"/>
  </r>
  <r>
    <x v="35"/>
    <x v="2"/>
    <d v="2014-12-31T00:00:00"/>
    <x v="142"/>
    <x v="142"/>
    <x v="134"/>
    <n v="218000000"/>
    <x v="94"/>
    <x v="0"/>
    <x v="30"/>
  </r>
  <r>
    <x v="35"/>
    <x v="3"/>
    <d v="2015-12-31T00:00:00"/>
    <x v="143"/>
    <x v="143"/>
    <x v="135"/>
    <n v="238000000"/>
    <x v="95"/>
    <x v="0"/>
    <x v="30"/>
  </r>
  <r>
    <x v="36"/>
    <x v="0"/>
    <d v="2012-12-31T00:00:00"/>
    <x v="144"/>
    <x v="144"/>
    <x v="136"/>
    <n v="604000000"/>
    <x v="4"/>
    <x v="2"/>
    <x v="31"/>
  </r>
  <r>
    <x v="36"/>
    <x v="1"/>
    <d v="2013-12-31T00:00:00"/>
    <x v="145"/>
    <x v="145"/>
    <x v="137"/>
    <n v="584000000"/>
    <x v="4"/>
    <x v="2"/>
    <x v="31"/>
  </r>
  <r>
    <x v="36"/>
    <x v="2"/>
    <d v="2014-12-31T00:00:00"/>
    <x v="146"/>
    <x v="146"/>
    <x v="138"/>
    <n v="571000000"/>
    <x v="4"/>
    <x v="2"/>
    <x v="31"/>
  </r>
  <r>
    <x v="36"/>
    <x v="3"/>
    <d v="2015-12-31T00:00:00"/>
    <x v="147"/>
    <x v="147"/>
    <x v="139"/>
    <n v="646000000"/>
    <x v="4"/>
    <x v="2"/>
    <x v="31"/>
  </r>
  <r>
    <x v="37"/>
    <x v="0"/>
    <d v="2015-11-01T00:00:00"/>
    <x v="148"/>
    <x v="148"/>
    <x v="140"/>
    <n v="1049000000"/>
    <x v="96"/>
    <x v="2"/>
    <x v="7"/>
  </r>
  <r>
    <x v="37"/>
    <x v="1"/>
    <d v="2016-10-30T00:00:00"/>
    <x v="149"/>
    <x v="149"/>
    <x v="141"/>
    <n v="2674000000"/>
    <x v="97"/>
    <x v="2"/>
    <x v="7"/>
  </r>
  <r>
    <x v="38"/>
    <x v="0"/>
    <d v="2012-12-31T00:00:00"/>
    <x v="150"/>
    <x v="150"/>
    <x v="142"/>
    <n v="0"/>
    <x v="4"/>
    <x v="8"/>
    <x v="32"/>
  </r>
  <r>
    <x v="38"/>
    <x v="1"/>
    <d v="2013-12-28T00:00:00"/>
    <x v="151"/>
    <x v="151"/>
    <x v="143"/>
    <n v="0"/>
    <x v="4"/>
    <x v="8"/>
    <x v="32"/>
  </r>
  <r>
    <x v="38"/>
    <x v="2"/>
    <d v="2015-01-03T00:00:00"/>
    <x v="152"/>
    <x v="152"/>
    <x v="144"/>
    <n v="0"/>
    <x v="4"/>
    <x v="8"/>
    <x v="32"/>
  </r>
  <r>
    <x v="38"/>
    <x v="3"/>
    <d v="2016-01-02T00:00:00"/>
    <x v="153"/>
    <x v="153"/>
    <x v="145"/>
    <n v="0"/>
    <x v="4"/>
    <x v="8"/>
    <x v="32"/>
  </r>
  <r>
    <x v="39"/>
    <x v="0"/>
    <d v="2012-12-31T00:00:00"/>
    <x v="154"/>
    <x v="154"/>
    <x v="146"/>
    <n v="0"/>
    <x v="98"/>
    <x v="5"/>
    <x v="33"/>
  </r>
  <r>
    <x v="39"/>
    <x v="1"/>
    <d v="2013-12-31T00:00:00"/>
    <x v="155"/>
    <x v="155"/>
    <x v="147"/>
    <n v="0"/>
    <x v="99"/>
    <x v="5"/>
    <x v="33"/>
  </r>
  <r>
    <x v="39"/>
    <x v="2"/>
    <d v="2014-12-31T00:00:00"/>
    <x v="156"/>
    <x v="156"/>
    <x v="148"/>
    <n v="0"/>
    <x v="100"/>
    <x v="5"/>
    <x v="33"/>
  </r>
  <r>
    <x v="39"/>
    <x v="3"/>
    <d v="2015-12-31T00:00:00"/>
    <x v="157"/>
    <x v="157"/>
    <x v="149"/>
    <n v="0"/>
    <x v="101"/>
    <x v="5"/>
    <x v="33"/>
  </r>
  <r>
    <x v="40"/>
    <x v="0"/>
    <d v="2012-12-31T00:00:00"/>
    <x v="158"/>
    <x v="158"/>
    <x v="150"/>
    <n v="0"/>
    <x v="102"/>
    <x v="6"/>
    <x v="34"/>
  </r>
  <r>
    <x v="40"/>
    <x v="1"/>
    <d v="2013-12-31T00:00:00"/>
    <x v="159"/>
    <x v="159"/>
    <x v="151"/>
    <n v="0"/>
    <x v="103"/>
    <x v="6"/>
    <x v="34"/>
  </r>
  <r>
    <x v="40"/>
    <x v="2"/>
    <d v="2014-12-31T00:00:00"/>
    <x v="160"/>
    <x v="160"/>
    <x v="152"/>
    <n v="0"/>
    <x v="104"/>
    <x v="6"/>
    <x v="34"/>
  </r>
  <r>
    <x v="40"/>
    <x v="3"/>
    <d v="2015-12-31T00:00:00"/>
    <x v="161"/>
    <x v="161"/>
    <x v="153"/>
    <n v="0"/>
    <x v="105"/>
    <x v="6"/>
    <x v="34"/>
  </r>
  <r>
    <x v="41"/>
    <x v="0"/>
    <d v="2013-08-31T00:00:00"/>
    <x v="162"/>
    <x v="162"/>
    <x v="154"/>
    <n v="0"/>
    <x v="4"/>
    <x v="0"/>
    <x v="21"/>
  </r>
  <r>
    <x v="41"/>
    <x v="1"/>
    <d v="2014-08-31T00:00:00"/>
    <x v="163"/>
    <x v="163"/>
    <x v="155"/>
    <n v="0"/>
    <x v="4"/>
    <x v="0"/>
    <x v="21"/>
  </r>
  <r>
    <x v="41"/>
    <x v="2"/>
    <d v="2015-08-31T00:00:00"/>
    <x v="164"/>
    <x v="164"/>
    <x v="156"/>
    <n v="0"/>
    <x v="4"/>
    <x v="0"/>
    <x v="21"/>
  </r>
  <r>
    <x v="41"/>
    <x v="3"/>
    <d v="2016-08-31T00:00:00"/>
    <x v="165"/>
    <x v="165"/>
    <x v="157"/>
    <n v="0"/>
    <x v="4"/>
    <x v="0"/>
    <x v="21"/>
  </r>
  <r>
    <x v="42"/>
    <x v="0"/>
    <d v="2013-08-31T00:00:00"/>
    <x v="166"/>
    <x v="166"/>
    <x v="158"/>
    <n v="0"/>
    <x v="4"/>
    <x v="1"/>
    <x v="25"/>
  </r>
  <r>
    <x v="42"/>
    <x v="1"/>
    <d v="2014-08-30T00:00:00"/>
    <x v="167"/>
    <x v="167"/>
    <x v="159"/>
    <n v="0"/>
    <x v="4"/>
    <x v="1"/>
    <x v="25"/>
  </r>
  <r>
    <x v="42"/>
    <x v="2"/>
    <d v="2015-08-29T00:00:00"/>
    <x v="168"/>
    <x v="168"/>
    <x v="160"/>
    <n v="0"/>
    <x v="4"/>
    <x v="1"/>
    <x v="25"/>
  </r>
  <r>
    <x v="42"/>
    <x v="3"/>
    <d v="2016-08-27T00:00:00"/>
    <x v="169"/>
    <x v="169"/>
    <x v="161"/>
    <n v="0"/>
    <x v="4"/>
    <x v="1"/>
    <x v="25"/>
  </r>
  <r>
    <x v="43"/>
    <x v="0"/>
    <d v="2013-12-31T00:00:00"/>
    <x v="170"/>
    <x v="170"/>
    <x v="162"/>
    <n v="3071000000"/>
    <x v="4"/>
    <x v="0"/>
    <x v="30"/>
  </r>
  <r>
    <x v="43"/>
    <x v="1"/>
    <d v="2014-12-31T00:00:00"/>
    <x v="171"/>
    <x v="171"/>
    <x v="163"/>
    <n v="3047000000"/>
    <x v="4"/>
    <x v="0"/>
    <x v="30"/>
  </r>
  <r>
    <x v="43"/>
    <x v="2"/>
    <d v="2015-12-31T00:00:00"/>
    <x v="172"/>
    <x v="172"/>
    <x v="164"/>
    <n v="3331000000"/>
    <x v="4"/>
    <x v="0"/>
    <x v="30"/>
  </r>
  <r>
    <x v="43"/>
    <x v="3"/>
    <d v="2016-12-31T00:00:00"/>
    <x v="173"/>
    <x v="173"/>
    <x v="165"/>
    <n v="4627000000"/>
    <x v="4"/>
    <x v="0"/>
    <x v="30"/>
  </r>
  <r>
    <x v="44"/>
    <x v="0"/>
    <d v="2012-12-31T00:00:00"/>
    <x v="174"/>
    <x v="174"/>
    <x v="166"/>
    <n v="0"/>
    <x v="106"/>
    <x v="6"/>
    <x v="35"/>
  </r>
  <r>
    <x v="44"/>
    <x v="1"/>
    <d v="2013-12-31T00:00:00"/>
    <x v="175"/>
    <x v="175"/>
    <x v="167"/>
    <n v="0"/>
    <x v="107"/>
    <x v="6"/>
    <x v="35"/>
  </r>
  <r>
    <x v="44"/>
    <x v="2"/>
    <d v="2014-12-31T00:00:00"/>
    <x v="176"/>
    <x v="176"/>
    <x v="168"/>
    <n v="0"/>
    <x v="108"/>
    <x v="6"/>
    <x v="35"/>
  </r>
  <r>
    <x v="44"/>
    <x v="3"/>
    <d v="2015-12-31T00:00:00"/>
    <x v="177"/>
    <x v="177"/>
    <x v="169"/>
    <n v="0"/>
    <x v="109"/>
    <x v="6"/>
    <x v="35"/>
  </r>
  <r>
    <x v="45"/>
    <x v="0"/>
    <d v="2012-12-31T00:00:00"/>
    <x v="178"/>
    <x v="178"/>
    <x v="170"/>
    <n v="1081000000"/>
    <x v="4"/>
    <x v="3"/>
    <x v="5"/>
  </r>
  <r>
    <x v="45"/>
    <x v="1"/>
    <d v="2013-12-31T00:00:00"/>
    <x v="179"/>
    <x v="179"/>
    <x v="171"/>
    <n v="582000000"/>
    <x v="4"/>
    <x v="3"/>
    <x v="5"/>
  </r>
  <r>
    <x v="45"/>
    <x v="2"/>
    <d v="2014-12-31T00:00:00"/>
    <x v="180"/>
    <x v="180"/>
    <x v="172"/>
    <n v="610000000"/>
    <x v="4"/>
    <x v="3"/>
    <x v="5"/>
  </r>
  <r>
    <x v="45"/>
    <x v="3"/>
    <d v="2015-12-31T00:00:00"/>
    <x v="181"/>
    <x v="181"/>
    <x v="173"/>
    <n v="603000000"/>
    <x v="4"/>
    <x v="3"/>
    <x v="5"/>
  </r>
  <r>
    <x v="46"/>
    <x v="0"/>
    <d v="2013-03-02T00:00:00"/>
    <x v="182"/>
    <x v="182"/>
    <x v="174"/>
    <n v="0"/>
    <x v="4"/>
    <x v="1"/>
    <x v="25"/>
  </r>
  <r>
    <x v="46"/>
    <x v="1"/>
    <d v="2014-03-01T00:00:00"/>
    <x v="183"/>
    <x v="183"/>
    <x v="175"/>
    <n v="0"/>
    <x v="4"/>
    <x v="1"/>
    <x v="25"/>
  </r>
  <r>
    <x v="46"/>
    <x v="2"/>
    <d v="2015-02-28T00:00:00"/>
    <x v="184"/>
    <x v="184"/>
    <x v="176"/>
    <n v="0"/>
    <x v="4"/>
    <x v="1"/>
    <x v="25"/>
  </r>
  <r>
    <x v="46"/>
    <x v="3"/>
    <d v="2016-02-27T00:00:00"/>
    <x v="185"/>
    <x v="185"/>
    <x v="177"/>
    <n v="0"/>
    <x v="4"/>
    <x v="1"/>
    <x v="25"/>
  </r>
  <r>
    <x v="47"/>
    <x v="0"/>
    <d v="2012-12-31T00:00:00"/>
    <x v="186"/>
    <x v="186"/>
    <x v="178"/>
    <n v="0"/>
    <x v="110"/>
    <x v="6"/>
    <x v="35"/>
  </r>
  <r>
    <x v="47"/>
    <x v="1"/>
    <d v="2013-12-31T00:00:00"/>
    <x v="187"/>
    <x v="187"/>
    <x v="179"/>
    <n v="0"/>
    <x v="111"/>
    <x v="6"/>
    <x v="35"/>
  </r>
  <r>
    <x v="47"/>
    <x v="2"/>
    <d v="2014-12-31T00:00:00"/>
    <x v="188"/>
    <x v="188"/>
    <x v="180"/>
    <n v="0"/>
    <x v="112"/>
    <x v="6"/>
    <x v="35"/>
  </r>
  <r>
    <x v="47"/>
    <x v="3"/>
    <d v="2015-12-31T00:00:00"/>
    <x v="189"/>
    <x v="90"/>
    <x v="181"/>
    <n v="0"/>
    <x v="113"/>
    <x v="6"/>
    <x v="35"/>
  </r>
  <r>
    <x v="48"/>
    <x v="0"/>
    <d v="2012-03-03T00:00:00"/>
    <x v="190"/>
    <x v="189"/>
    <x v="182"/>
    <n v="0"/>
    <x v="4"/>
    <x v="1"/>
    <x v="36"/>
  </r>
  <r>
    <x v="48"/>
    <x v="1"/>
    <d v="2014-02-01T00:00:00"/>
    <x v="191"/>
    <x v="190"/>
    <x v="183"/>
    <n v="0"/>
    <x v="4"/>
    <x v="1"/>
    <x v="36"/>
  </r>
  <r>
    <x v="48"/>
    <x v="2"/>
    <d v="2015-01-31T00:00:00"/>
    <x v="192"/>
    <x v="191"/>
    <x v="184"/>
    <n v="0"/>
    <x v="4"/>
    <x v="1"/>
    <x v="36"/>
  </r>
  <r>
    <x v="48"/>
    <x v="3"/>
    <d v="2016-01-30T00:00:00"/>
    <x v="193"/>
    <x v="192"/>
    <x v="185"/>
    <n v="0"/>
    <x v="4"/>
    <x v="1"/>
    <x v="36"/>
  </r>
  <r>
    <x v="49"/>
    <x v="0"/>
    <d v="2013-12-31T00:00:00"/>
    <x v="194"/>
    <x v="193"/>
    <x v="186"/>
    <n v="295700000"/>
    <x v="4"/>
    <x v="3"/>
    <x v="5"/>
  </r>
  <r>
    <x v="49"/>
    <x v="1"/>
    <d v="2014-12-31T00:00:00"/>
    <x v="195"/>
    <x v="194"/>
    <x v="187"/>
    <n v="302000000"/>
    <x v="4"/>
    <x v="3"/>
    <x v="5"/>
  </r>
  <r>
    <x v="49"/>
    <x v="2"/>
    <d v="2015-12-31T00:00:00"/>
    <x v="196"/>
    <x v="195"/>
    <x v="188"/>
    <n v="259200000"/>
    <x v="4"/>
    <x v="3"/>
    <x v="5"/>
  </r>
  <r>
    <x v="49"/>
    <x v="3"/>
    <d v="2016-12-31T00:00:00"/>
    <x v="197"/>
    <x v="196"/>
    <x v="189"/>
    <n v="292800000"/>
    <x v="4"/>
    <x v="3"/>
    <x v="5"/>
  </r>
  <r>
    <x v="50"/>
    <x v="0"/>
    <d v="2013-09-30T00:00:00"/>
    <x v="198"/>
    <x v="197"/>
    <x v="190"/>
    <n v="494000000"/>
    <x v="4"/>
    <x v="3"/>
    <x v="5"/>
  </r>
  <r>
    <x v="50"/>
    <x v="1"/>
    <d v="2014-09-30T00:00:00"/>
    <x v="199"/>
    <x v="198"/>
    <x v="191"/>
    <n v="550000000"/>
    <x v="4"/>
    <x v="3"/>
    <x v="5"/>
  </r>
  <r>
    <x v="50"/>
    <x v="2"/>
    <d v="2015-09-30T00:00:00"/>
    <x v="200"/>
    <x v="199"/>
    <x v="192"/>
    <n v="632000000"/>
    <x v="4"/>
    <x v="3"/>
    <x v="5"/>
  </r>
  <r>
    <x v="50"/>
    <x v="3"/>
    <d v="2016-09-30T00:00:00"/>
    <x v="201"/>
    <x v="200"/>
    <x v="193"/>
    <n v="828000000"/>
    <x v="4"/>
    <x v="3"/>
    <x v="5"/>
  </r>
  <r>
    <x v="51"/>
    <x v="0"/>
    <d v="2013-12-31T00:00:00"/>
    <x v="202"/>
    <x v="201"/>
    <x v="194"/>
    <n v="556000000"/>
    <x v="4"/>
    <x v="9"/>
    <x v="37"/>
  </r>
  <r>
    <x v="51"/>
    <x v="1"/>
    <d v="2014-12-31T00:00:00"/>
    <x v="203"/>
    <x v="202"/>
    <x v="116"/>
    <n v="613000000"/>
    <x v="4"/>
    <x v="9"/>
    <x v="37"/>
  </r>
  <r>
    <x v="51"/>
    <x v="2"/>
    <d v="2015-12-31T00:00:00"/>
    <x v="204"/>
    <x v="203"/>
    <x v="195"/>
    <n v="466000000"/>
    <x v="4"/>
    <x v="9"/>
    <x v="37"/>
  </r>
  <r>
    <x v="51"/>
    <x v="3"/>
    <d v="2016-12-31T00:00:00"/>
    <x v="205"/>
    <x v="204"/>
    <x v="196"/>
    <n v="384000000"/>
    <x v="4"/>
    <x v="9"/>
    <x v="37"/>
  </r>
  <r>
    <x v="52"/>
    <x v="0"/>
    <d v="2013-12-31T00:00:00"/>
    <x v="206"/>
    <x v="205"/>
    <x v="197"/>
    <n v="1444100000"/>
    <x v="114"/>
    <x v="3"/>
    <x v="19"/>
  </r>
  <r>
    <x v="52"/>
    <x v="1"/>
    <d v="2014-12-31T00:00:00"/>
    <x v="207"/>
    <x v="206"/>
    <x v="198"/>
    <n v="1893400000"/>
    <x v="115"/>
    <x v="3"/>
    <x v="19"/>
  </r>
  <r>
    <x v="52"/>
    <x v="2"/>
    <d v="2015-12-31T00:00:00"/>
    <x v="208"/>
    <x v="207"/>
    <x v="199"/>
    <n v="2012800000"/>
    <x v="116"/>
    <x v="3"/>
    <x v="19"/>
  </r>
  <r>
    <x v="52"/>
    <x v="3"/>
    <d v="2016-12-31T00:00:00"/>
    <x v="209"/>
    <x v="208"/>
    <x v="200"/>
    <n v="1973300000"/>
    <x v="117"/>
    <x v="3"/>
    <x v="19"/>
  </r>
  <r>
    <x v="53"/>
    <x v="0"/>
    <d v="2012-12-31T00:00:00"/>
    <x v="210"/>
    <x v="209"/>
    <x v="201"/>
    <n v="0"/>
    <x v="118"/>
    <x v="8"/>
    <x v="38"/>
  </r>
  <r>
    <x v="53"/>
    <x v="1"/>
    <d v="2013-12-31T00:00:00"/>
    <x v="211"/>
    <x v="210"/>
    <x v="202"/>
    <n v="0"/>
    <x v="119"/>
    <x v="8"/>
    <x v="38"/>
  </r>
  <r>
    <x v="53"/>
    <x v="2"/>
    <d v="2014-12-31T00:00:00"/>
    <x v="212"/>
    <x v="211"/>
    <x v="203"/>
    <n v="0"/>
    <x v="120"/>
    <x v="8"/>
    <x v="38"/>
  </r>
  <r>
    <x v="53"/>
    <x v="3"/>
    <d v="2015-12-31T00:00:00"/>
    <x v="213"/>
    <x v="212"/>
    <x v="204"/>
    <n v="0"/>
    <x v="121"/>
    <x v="8"/>
    <x v="38"/>
  </r>
  <r>
    <x v="54"/>
    <x v="0"/>
    <d v="2012-12-31T00:00:00"/>
    <x v="214"/>
    <x v="213"/>
    <x v="205"/>
    <n v="3904000000"/>
    <x v="4"/>
    <x v="3"/>
    <x v="4"/>
  </r>
  <r>
    <x v="54"/>
    <x v="1"/>
    <d v="2013-12-31T00:00:00"/>
    <x v="215"/>
    <x v="214"/>
    <x v="206"/>
    <n v="3731000000"/>
    <x v="4"/>
    <x v="3"/>
    <x v="4"/>
  </r>
  <r>
    <x v="54"/>
    <x v="2"/>
    <d v="2014-12-31T00:00:00"/>
    <x v="216"/>
    <x v="215"/>
    <x v="207"/>
    <n v="4534000000"/>
    <x v="4"/>
    <x v="3"/>
    <x v="4"/>
  </r>
  <r>
    <x v="54"/>
    <x v="3"/>
    <d v="2015-12-31T00:00:00"/>
    <x v="217"/>
    <x v="216"/>
    <x v="208"/>
    <n v="5920000000"/>
    <x v="4"/>
    <x v="3"/>
    <x v="4"/>
  </r>
  <r>
    <x v="55"/>
    <x v="0"/>
    <d v="2012-12-31T00:00:00"/>
    <x v="218"/>
    <x v="217"/>
    <x v="209"/>
    <n v="886000000"/>
    <x v="122"/>
    <x v="3"/>
    <x v="5"/>
  </r>
  <r>
    <x v="55"/>
    <x v="1"/>
    <d v="2013-12-31T00:00:00"/>
    <x v="219"/>
    <x v="218"/>
    <x v="210"/>
    <n v="861000000"/>
    <x v="123"/>
    <x v="3"/>
    <x v="5"/>
  </r>
  <r>
    <x v="55"/>
    <x v="2"/>
    <d v="2014-12-31T00:00:00"/>
    <x v="220"/>
    <x v="219"/>
    <x v="211"/>
    <n v="817000000"/>
    <x v="124"/>
    <x v="3"/>
    <x v="5"/>
  </r>
  <r>
    <x v="55"/>
    <x v="3"/>
    <d v="2015-12-31T00:00:00"/>
    <x v="221"/>
    <x v="220"/>
    <x v="212"/>
    <n v="876000000"/>
    <x v="125"/>
    <x v="3"/>
    <x v="5"/>
  </r>
  <r>
    <x v="56"/>
    <x v="0"/>
    <d v="2013-12-31T00:00:00"/>
    <x v="222"/>
    <x v="221"/>
    <x v="213"/>
    <n v="0"/>
    <x v="4"/>
    <x v="1"/>
    <x v="39"/>
  </r>
  <r>
    <x v="56"/>
    <x v="1"/>
    <d v="2014-12-31T00:00:00"/>
    <x v="223"/>
    <x v="222"/>
    <x v="214"/>
    <n v="0"/>
    <x v="4"/>
    <x v="1"/>
    <x v="39"/>
  </r>
  <r>
    <x v="56"/>
    <x v="2"/>
    <d v="2015-12-31T00:00:00"/>
    <x v="224"/>
    <x v="223"/>
    <x v="215"/>
    <n v="0"/>
    <x v="4"/>
    <x v="1"/>
    <x v="39"/>
  </r>
  <r>
    <x v="56"/>
    <x v="3"/>
    <d v="2016-12-31T00:00:00"/>
    <x v="225"/>
    <x v="224"/>
    <x v="216"/>
    <n v="0"/>
    <x v="4"/>
    <x v="1"/>
    <x v="39"/>
  </r>
  <r>
    <x v="57"/>
    <x v="0"/>
    <d v="2012-12-31T00:00:00"/>
    <x v="226"/>
    <x v="225"/>
    <x v="217"/>
    <n v="0"/>
    <x v="126"/>
    <x v="7"/>
    <x v="14"/>
  </r>
  <r>
    <x v="57"/>
    <x v="1"/>
    <d v="2013-12-31T00:00:00"/>
    <x v="227"/>
    <x v="226"/>
    <x v="218"/>
    <n v="0"/>
    <x v="127"/>
    <x v="7"/>
    <x v="14"/>
  </r>
  <r>
    <x v="57"/>
    <x v="2"/>
    <d v="2014-12-31T00:00:00"/>
    <x v="228"/>
    <x v="227"/>
    <x v="219"/>
    <n v="0"/>
    <x v="128"/>
    <x v="7"/>
    <x v="14"/>
  </r>
  <r>
    <x v="57"/>
    <x v="3"/>
    <d v="2015-12-31T00:00:00"/>
    <x v="229"/>
    <x v="228"/>
    <x v="220"/>
    <n v="0"/>
    <x v="129"/>
    <x v="7"/>
    <x v="14"/>
  </r>
  <r>
    <x v="58"/>
    <x v="0"/>
    <d v="2013-05-26T00:00:00"/>
    <x v="230"/>
    <x v="229"/>
    <x v="221"/>
    <n v="0"/>
    <x v="4"/>
    <x v="4"/>
    <x v="40"/>
  </r>
  <r>
    <x v="58"/>
    <x v="1"/>
    <d v="2014-05-25T00:00:00"/>
    <x v="231"/>
    <x v="230"/>
    <x v="222"/>
    <n v="0"/>
    <x v="4"/>
    <x v="4"/>
    <x v="40"/>
  </r>
  <r>
    <x v="58"/>
    <x v="2"/>
    <d v="2015-05-31T00:00:00"/>
    <x v="232"/>
    <x v="231"/>
    <x v="223"/>
    <n v="0"/>
    <x v="4"/>
    <x v="4"/>
    <x v="40"/>
  </r>
  <r>
    <x v="58"/>
    <x v="3"/>
    <d v="2016-05-29T00:00:00"/>
    <x v="233"/>
    <x v="232"/>
    <x v="224"/>
    <n v="0"/>
    <x v="4"/>
    <x v="4"/>
    <x v="40"/>
  </r>
  <r>
    <x v="59"/>
    <x v="0"/>
    <d v="2013-06-30T00:00:00"/>
    <x v="234"/>
    <x v="233"/>
    <x v="225"/>
    <n v="0"/>
    <x v="130"/>
    <x v="3"/>
    <x v="4"/>
  </r>
  <r>
    <x v="59"/>
    <x v="1"/>
    <d v="2014-06-30T00:00:00"/>
    <x v="235"/>
    <x v="234"/>
    <x v="226"/>
    <n v="0"/>
    <x v="131"/>
    <x v="3"/>
    <x v="4"/>
  </r>
  <r>
    <x v="59"/>
    <x v="2"/>
    <d v="2015-06-30T00:00:00"/>
    <x v="236"/>
    <x v="235"/>
    <x v="227"/>
    <n v="0"/>
    <x v="132"/>
    <x v="3"/>
    <x v="4"/>
  </r>
  <r>
    <x v="59"/>
    <x v="3"/>
    <d v="2016-06-30T00:00:00"/>
    <x v="237"/>
    <x v="236"/>
    <x v="228"/>
    <n v="0"/>
    <x v="133"/>
    <x v="3"/>
    <x v="4"/>
  </r>
  <r>
    <x v="60"/>
    <x v="0"/>
    <d v="2013-12-31T00:00:00"/>
    <x v="238"/>
    <x v="237"/>
    <x v="229"/>
    <n v="2046000000"/>
    <x v="4"/>
    <x v="0"/>
    <x v="41"/>
  </r>
  <r>
    <x v="60"/>
    <x v="1"/>
    <d v="2014-12-31T00:00:00"/>
    <x v="239"/>
    <x v="238"/>
    <x v="230"/>
    <n v="2380000000"/>
    <x v="4"/>
    <x v="0"/>
    <x v="41"/>
  </r>
  <r>
    <x v="60"/>
    <x v="2"/>
    <d v="2015-12-31T00:00:00"/>
    <x v="240"/>
    <x v="239"/>
    <x v="231"/>
    <n v="2119000000"/>
    <x v="4"/>
    <x v="0"/>
    <x v="41"/>
  </r>
  <r>
    <x v="60"/>
    <x v="3"/>
    <d v="2016-12-31T00:00:00"/>
    <x v="241"/>
    <x v="240"/>
    <x v="232"/>
    <n v="1951000000"/>
    <x v="4"/>
    <x v="0"/>
    <x v="41"/>
  </r>
  <r>
    <x v="61"/>
    <x v="0"/>
    <d v="2012-12-31T00:00:00"/>
    <x v="242"/>
    <x v="241"/>
    <x v="233"/>
    <n v="0"/>
    <x v="134"/>
    <x v="6"/>
    <x v="13"/>
  </r>
  <r>
    <x v="61"/>
    <x v="1"/>
    <d v="2013-12-31T00:00:00"/>
    <x v="243"/>
    <x v="242"/>
    <x v="234"/>
    <n v="0"/>
    <x v="135"/>
    <x v="6"/>
    <x v="13"/>
  </r>
  <r>
    <x v="61"/>
    <x v="2"/>
    <d v="2014-12-31T00:00:00"/>
    <x v="244"/>
    <x v="243"/>
    <x v="235"/>
    <n v="0"/>
    <x v="136"/>
    <x v="6"/>
    <x v="13"/>
  </r>
  <r>
    <x v="61"/>
    <x v="3"/>
    <d v="2015-12-31T00:00:00"/>
    <x v="245"/>
    <x v="244"/>
    <x v="236"/>
    <n v="0"/>
    <x v="137"/>
    <x v="6"/>
    <x v="13"/>
  </r>
  <r>
    <x v="62"/>
    <x v="0"/>
    <d v="2012-12-31T00:00:00"/>
    <x v="246"/>
    <x v="245"/>
    <x v="52"/>
    <n v="0"/>
    <x v="138"/>
    <x v="7"/>
    <x v="42"/>
  </r>
  <r>
    <x v="62"/>
    <x v="1"/>
    <d v="2013-12-31T00:00:00"/>
    <x v="247"/>
    <x v="246"/>
    <x v="52"/>
    <n v="0"/>
    <x v="139"/>
    <x v="7"/>
    <x v="42"/>
  </r>
  <r>
    <x v="62"/>
    <x v="2"/>
    <d v="2014-12-31T00:00:00"/>
    <x v="248"/>
    <x v="247"/>
    <x v="52"/>
    <n v="0"/>
    <x v="140"/>
    <x v="7"/>
    <x v="42"/>
  </r>
  <r>
    <x v="62"/>
    <x v="3"/>
    <d v="2015-12-31T00:00:00"/>
    <x v="249"/>
    <x v="248"/>
    <x v="52"/>
    <n v="0"/>
    <x v="141"/>
    <x v="7"/>
    <x v="42"/>
  </r>
  <r>
    <x v="63"/>
    <x v="0"/>
    <d v="2012-12-31T00:00:00"/>
    <x v="250"/>
    <x v="249"/>
    <x v="237"/>
    <n v="0"/>
    <x v="142"/>
    <x v="7"/>
    <x v="14"/>
  </r>
  <r>
    <x v="63"/>
    <x v="1"/>
    <d v="2013-12-31T00:00:00"/>
    <x v="251"/>
    <x v="250"/>
    <x v="238"/>
    <n v="0"/>
    <x v="143"/>
    <x v="7"/>
    <x v="14"/>
  </r>
  <r>
    <x v="63"/>
    <x v="2"/>
    <d v="2014-12-31T00:00:00"/>
    <x v="252"/>
    <x v="251"/>
    <x v="239"/>
    <n v="0"/>
    <x v="144"/>
    <x v="7"/>
    <x v="14"/>
  </r>
  <r>
    <x v="63"/>
    <x v="3"/>
    <d v="2015-12-31T00:00:00"/>
    <x v="253"/>
    <x v="252"/>
    <x v="240"/>
    <n v="0"/>
    <x v="145"/>
    <x v="7"/>
    <x v="14"/>
  </r>
  <r>
    <x v="64"/>
    <x v="0"/>
    <d v="2013-11-30T00:00:00"/>
    <x v="254"/>
    <x v="253"/>
    <x v="241"/>
    <n v="0"/>
    <x v="146"/>
    <x v="1"/>
    <x v="43"/>
  </r>
  <r>
    <x v="64"/>
    <x v="1"/>
    <d v="2014-11-30T00:00:00"/>
    <x v="255"/>
    <x v="254"/>
    <x v="242"/>
    <n v="0"/>
    <x v="147"/>
    <x v="1"/>
    <x v="43"/>
  </r>
  <r>
    <x v="64"/>
    <x v="2"/>
    <d v="2015-11-30T00:00:00"/>
    <x v="256"/>
    <x v="255"/>
    <x v="243"/>
    <n v="0"/>
    <x v="148"/>
    <x v="1"/>
    <x v="43"/>
  </r>
  <r>
    <x v="64"/>
    <x v="3"/>
    <d v="2016-11-30T00:00:00"/>
    <x v="257"/>
    <x v="256"/>
    <x v="244"/>
    <n v="0"/>
    <x v="149"/>
    <x v="1"/>
    <x v="43"/>
  </r>
  <r>
    <x v="65"/>
    <x v="0"/>
    <d v="2013-12-31T00:00:00"/>
    <x v="258"/>
    <x v="257"/>
    <x v="245"/>
    <n v="2226200000"/>
    <x v="150"/>
    <x v="3"/>
    <x v="19"/>
  </r>
  <r>
    <x v="65"/>
    <x v="1"/>
    <d v="2014-12-31T00:00:00"/>
    <x v="259"/>
    <x v="258"/>
    <x v="246"/>
    <n v="2430600000"/>
    <x v="151"/>
    <x v="3"/>
    <x v="19"/>
  </r>
  <r>
    <x v="65"/>
    <x v="2"/>
    <d v="2015-12-31T00:00:00"/>
    <x v="260"/>
    <x v="259"/>
    <x v="247"/>
    <n v="3697300000"/>
    <x v="152"/>
    <x v="3"/>
    <x v="19"/>
  </r>
  <r>
    <x v="65"/>
    <x v="3"/>
    <d v="2016-12-31T00:00:00"/>
    <x v="261"/>
    <x v="260"/>
    <x v="248"/>
    <n v="4470100000"/>
    <x v="133"/>
    <x v="3"/>
    <x v="19"/>
  </r>
  <r>
    <x v="66"/>
    <x v="0"/>
    <d v="2013-12-28T00:00:00"/>
    <x v="262"/>
    <x v="261"/>
    <x v="249"/>
    <n v="338786000"/>
    <x v="153"/>
    <x v="3"/>
    <x v="44"/>
  </r>
  <r>
    <x v="66"/>
    <x v="1"/>
    <d v="2015-01-03T00:00:00"/>
    <x v="263"/>
    <x v="262"/>
    <x v="250"/>
    <n v="392805000"/>
    <x v="154"/>
    <x v="3"/>
    <x v="44"/>
  </r>
  <r>
    <x v="66"/>
    <x v="2"/>
    <d v="2016-01-02T00:00:00"/>
    <x v="264"/>
    <x v="263"/>
    <x v="251"/>
    <n v="539799000"/>
    <x v="155"/>
    <x v="3"/>
    <x v="44"/>
  </r>
  <r>
    <x v="66"/>
    <x v="3"/>
    <d v="2016-12-31T00:00:00"/>
    <x v="265"/>
    <x v="264"/>
    <x v="252"/>
    <n v="551418000"/>
    <x v="156"/>
    <x v="3"/>
    <x v="44"/>
  </r>
  <r>
    <x v="67"/>
    <x v="0"/>
    <d v="2012-12-31T00:00:00"/>
    <x v="266"/>
    <x v="265"/>
    <x v="253"/>
    <n v="0"/>
    <x v="4"/>
    <x v="8"/>
    <x v="45"/>
  </r>
  <r>
    <x v="67"/>
    <x v="1"/>
    <d v="2013-12-31T00:00:00"/>
    <x v="267"/>
    <x v="266"/>
    <x v="254"/>
    <n v="0"/>
    <x v="4"/>
    <x v="8"/>
    <x v="45"/>
  </r>
  <r>
    <x v="67"/>
    <x v="2"/>
    <d v="2014-12-31T00:00:00"/>
    <x v="268"/>
    <x v="267"/>
    <x v="255"/>
    <n v="0"/>
    <x v="4"/>
    <x v="8"/>
    <x v="45"/>
  </r>
  <r>
    <x v="67"/>
    <x v="3"/>
    <d v="2015-12-31T00:00:00"/>
    <x v="269"/>
    <x v="268"/>
    <x v="256"/>
    <n v="0"/>
    <x v="4"/>
    <x v="8"/>
    <x v="45"/>
  </r>
  <r>
    <x v="68"/>
    <x v="0"/>
    <d v="2012-12-31T00:00:00"/>
    <x v="270"/>
    <x v="269"/>
    <x v="257"/>
    <n v="0"/>
    <x v="157"/>
    <x v="6"/>
    <x v="46"/>
  </r>
  <r>
    <x v="68"/>
    <x v="1"/>
    <d v="2013-12-31T00:00:00"/>
    <x v="271"/>
    <x v="270"/>
    <x v="258"/>
    <n v="0"/>
    <x v="158"/>
    <x v="6"/>
    <x v="46"/>
  </r>
  <r>
    <x v="68"/>
    <x v="2"/>
    <d v="2014-12-31T00:00:00"/>
    <x v="272"/>
    <x v="271"/>
    <x v="259"/>
    <n v="0"/>
    <x v="159"/>
    <x v="6"/>
    <x v="46"/>
  </r>
  <r>
    <x v="68"/>
    <x v="3"/>
    <d v="2015-12-31T00:00:00"/>
    <x v="273"/>
    <x v="272"/>
    <x v="260"/>
    <n v="0"/>
    <x v="160"/>
    <x v="6"/>
    <x v="46"/>
  </r>
  <r>
    <x v="69"/>
    <x v="0"/>
    <d v="2012-12-31T00:00:00"/>
    <x v="274"/>
    <x v="273"/>
    <x v="261"/>
    <n v="0"/>
    <x v="4"/>
    <x v="4"/>
    <x v="47"/>
  </r>
  <r>
    <x v="69"/>
    <x v="1"/>
    <d v="2013-12-31T00:00:00"/>
    <x v="275"/>
    <x v="274"/>
    <x v="262"/>
    <n v="0"/>
    <x v="4"/>
    <x v="4"/>
    <x v="47"/>
  </r>
  <r>
    <x v="69"/>
    <x v="2"/>
    <d v="2014-12-31T00:00:00"/>
    <x v="276"/>
    <x v="275"/>
    <x v="263"/>
    <n v="0"/>
    <x v="4"/>
    <x v="4"/>
    <x v="47"/>
  </r>
  <r>
    <x v="69"/>
    <x v="3"/>
    <d v="2015-12-31T00:00:00"/>
    <x v="277"/>
    <x v="276"/>
    <x v="264"/>
    <n v="0"/>
    <x v="4"/>
    <x v="4"/>
    <x v="47"/>
  </r>
  <r>
    <x v="70"/>
    <x v="0"/>
    <d v="2012-12-31T00:00:00"/>
    <x v="278"/>
    <x v="277"/>
    <x v="265"/>
    <n v="0"/>
    <x v="161"/>
    <x v="9"/>
    <x v="48"/>
  </r>
  <r>
    <x v="70"/>
    <x v="1"/>
    <d v="2013-12-31T00:00:00"/>
    <x v="279"/>
    <x v="278"/>
    <x v="266"/>
    <n v="0"/>
    <x v="162"/>
    <x v="9"/>
    <x v="48"/>
  </r>
  <r>
    <x v="70"/>
    <x v="2"/>
    <d v="2014-12-31T00:00:00"/>
    <x v="280"/>
    <x v="279"/>
    <x v="267"/>
    <n v="0"/>
    <x v="163"/>
    <x v="9"/>
    <x v="48"/>
  </r>
  <r>
    <x v="70"/>
    <x v="3"/>
    <d v="2015-12-31T00:00:00"/>
    <x v="281"/>
    <x v="280"/>
    <x v="268"/>
    <n v="0"/>
    <x v="164"/>
    <x v="9"/>
    <x v="48"/>
  </r>
  <r>
    <x v="71"/>
    <x v="0"/>
    <d v="2012-12-31T00:00:00"/>
    <x v="282"/>
    <x v="281"/>
    <x v="269"/>
    <n v="0"/>
    <x v="4"/>
    <x v="0"/>
    <x v="49"/>
  </r>
  <r>
    <x v="71"/>
    <x v="1"/>
    <d v="2013-12-31T00:00:00"/>
    <x v="283"/>
    <x v="282"/>
    <x v="270"/>
    <n v="0"/>
    <x v="4"/>
    <x v="0"/>
    <x v="49"/>
  </r>
  <r>
    <x v="71"/>
    <x v="2"/>
    <d v="2014-12-31T00:00:00"/>
    <x v="284"/>
    <x v="283"/>
    <x v="271"/>
    <n v="0"/>
    <x v="4"/>
    <x v="0"/>
    <x v="49"/>
  </r>
  <r>
    <x v="71"/>
    <x v="3"/>
    <d v="2015-12-31T00:00:00"/>
    <x v="285"/>
    <x v="284"/>
    <x v="272"/>
    <n v="0"/>
    <x v="4"/>
    <x v="0"/>
    <x v="49"/>
  </r>
  <r>
    <x v="72"/>
    <x v="0"/>
    <d v="2013-12-31T00:00:00"/>
    <x v="286"/>
    <x v="285"/>
    <x v="273"/>
    <n v="0"/>
    <x v="165"/>
    <x v="1"/>
    <x v="50"/>
  </r>
  <r>
    <x v="72"/>
    <x v="1"/>
    <d v="2014-12-31T00:00:00"/>
    <x v="287"/>
    <x v="286"/>
    <x v="274"/>
    <n v="0"/>
    <x v="166"/>
    <x v="1"/>
    <x v="50"/>
  </r>
  <r>
    <x v="72"/>
    <x v="2"/>
    <d v="2015-12-31T00:00:00"/>
    <x v="288"/>
    <x v="287"/>
    <x v="275"/>
    <n v="0"/>
    <x v="167"/>
    <x v="1"/>
    <x v="50"/>
  </r>
  <r>
    <x v="72"/>
    <x v="3"/>
    <d v="2016-12-31T00:00:00"/>
    <x v="289"/>
    <x v="288"/>
    <x v="276"/>
    <n v="0"/>
    <x v="168"/>
    <x v="1"/>
    <x v="50"/>
  </r>
  <r>
    <x v="73"/>
    <x v="0"/>
    <d v="2012-12-31T00:00:00"/>
    <x v="290"/>
    <x v="289"/>
    <x v="52"/>
    <n v="0"/>
    <x v="169"/>
    <x v="3"/>
    <x v="26"/>
  </r>
  <r>
    <x v="73"/>
    <x v="1"/>
    <d v="2013-12-31T00:00:00"/>
    <x v="291"/>
    <x v="290"/>
    <x v="52"/>
    <n v="0"/>
    <x v="170"/>
    <x v="3"/>
    <x v="26"/>
  </r>
  <r>
    <x v="73"/>
    <x v="2"/>
    <d v="2014-12-31T00:00:00"/>
    <x v="292"/>
    <x v="291"/>
    <x v="52"/>
    <n v="0"/>
    <x v="171"/>
    <x v="3"/>
    <x v="26"/>
  </r>
  <r>
    <x v="73"/>
    <x v="3"/>
    <d v="2015-12-31T00:00:00"/>
    <x v="293"/>
    <x v="292"/>
    <x v="52"/>
    <n v="0"/>
    <x v="172"/>
    <x v="3"/>
    <x v="26"/>
  </r>
  <r>
    <x v="74"/>
    <x v="0"/>
    <d v="2012-12-31T00:00:00"/>
    <x v="294"/>
    <x v="44"/>
    <x v="52"/>
    <n v="0"/>
    <x v="173"/>
    <x v="6"/>
    <x v="13"/>
  </r>
  <r>
    <x v="74"/>
    <x v="1"/>
    <d v="2013-12-31T00:00:00"/>
    <x v="295"/>
    <x v="293"/>
    <x v="52"/>
    <n v="0"/>
    <x v="135"/>
    <x v="6"/>
    <x v="13"/>
  </r>
  <r>
    <x v="74"/>
    <x v="2"/>
    <d v="2014-12-31T00:00:00"/>
    <x v="296"/>
    <x v="294"/>
    <x v="52"/>
    <n v="0"/>
    <x v="173"/>
    <x v="6"/>
    <x v="13"/>
  </r>
  <r>
    <x v="74"/>
    <x v="3"/>
    <d v="2015-12-31T00:00:00"/>
    <x v="297"/>
    <x v="295"/>
    <x v="52"/>
    <n v="0"/>
    <x v="174"/>
    <x v="6"/>
    <x v="13"/>
  </r>
  <r>
    <x v="75"/>
    <x v="0"/>
    <d v="2012-12-31T00:00:00"/>
    <x v="298"/>
    <x v="296"/>
    <x v="277"/>
    <n v="0"/>
    <x v="4"/>
    <x v="4"/>
    <x v="47"/>
  </r>
  <r>
    <x v="75"/>
    <x v="1"/>
    <d v="2013-12-31T00:00:00"/>
    <x v="299"/>
    <x v="297"/>
    <x v="278"/>
    <n v="0"/>
    <x v="4"/>
    <x v="4"/>
    <x v="47"/>
  </r>
  <r>
    <x v="75"/>
    <x v="2"/>
    <d v="2014-12-31T00:00:00"/>
    <x v="300"/>
    <x v="298"/>
    <x v="279"/>
    <n v="0"/>
    <x v="4"/>
    <x v="4"/>
    <x v="47"/>
  </r>
  <r>
    <x v="75"/>
    <x v="3"/>
    <d v="2015-12-31T00:00:00"/>
    <x v="301"/>
    <x v="299"/>
    <x v="280"/>
    <n v="0"/>
    <x v="4"/>
    <x v="4"/>
    <x v="47"/>
  </r>
  <r>
    <x v="76"/>
    <x v="0"/>
    <d v="2013-06-30T00:00:00"/>
    <x v="302"/>
    <x v="300"/>
    <x v="281"/>
    <n v="130000000"/>
    <x v="4"/>
    <x v="4"/>
    <x v="47"/>
  </r>
  <r>
    <x v="76"/>
    <x v="1"/>
    <d v="2014-06-30T00:00:00"/>
    <x v="303"/>
    <x v="301"/>
    <x v="282"/>
    <n v="125000000"/>
    <x v="4"/>
    <x v="4"/>
    <x v="47"/>
  </r>
  <r>
    <x v="76"/>
    <x v="2"/>
    <d v="2015-06-30T00:00:00"/>
    <x v="304"/>
    <x v="302"/>
    <x v="283"/>
    <n v="136000000"/>
    <x v="4"/>
    <x v="4"/>
    <x v="47"/>
  </r>
  <r>
    <x v="76"/>
    <x v="3"/>
    <d v="2016-06-30T00:00:00"/>
    <x v="305"/>
    <x v="303"/>
    <x v="284"/>
    <n v="141000000"/>
    <x v="4"/>
    <x v="4"/>
    <x v="47"/>
  </r>
  <r>
    <x v="77"/>
    <x v="0"/>
    <d v="2013-12-31T00:00:00"/>
    <x v="306"/>
    <x v="304"/>
    <x v="285"/>
    <n v="0"/>
    <x v="175"/>
    <x v="6"/>
    <x v="46"/>
  </r>
  <r>
    <x v="77"/>
    <x v="1"/>
    <d v="2014-12-31T00:00:00"/>
    <x v="307"/>
    <x v="305"/>
    <x v="286"/>
    <n v="0"/>
    <x v="176"/>
    <x v="6"/>
    <x v="46"/>
  </r>
  <r>
    <x v="77"/>
    <x v="2"/>
    <d v="2015-12-31T00:00:00"/>
    <x v="308"/>
    <x v="306"/>
    <x v="287"/>
    <n v="0"/>
    <x v="177"/>
    <x v="6"/>
    <x v="46"/>
  </r>
  <r>
    <x v="77"/>
    <x v="3"/>
    <d v="2016-12-31T00:00:00"/>
    <x v="309"/>
    <x v="307"/>
    <x v="288"/>
    <n v="0"/>
    <x v="178"/>
    <x v="6"/>
    <x v="46"/>
  </r>
  <r>
    <x v="78"/>
    <x v="0"/>
    <d v="2013-12-31T00:00:00"/>
    <x v="310"/>
    <x v="308"/>
    <x v="289"/>
    <n v="0"/>
    <x v="179"/>
    <x v="1"/>
    <x v="51"/>
  </r>
  <r>
    <x v="78"/>
    <x v="1"/>
    <d v="2014-12-31T00:00:00"/>
    <x v="311"/>
    <x v="309"/>
    <x v="290"/>
    <n v="0"/>
    <x v="180"/>
    <x v="1"/>
    <x v="51"/>
  </r>
  <r>
    <x v="78"/>
    <x v="2"/>
    <d v="2015-12-31T00:00:00"/>
    <x v="312"/>
    <x v="310"/>
    <x v="291"/>
    <n v="0"/>
    <x v="181"/>
    <x v="1"/>
    <x v="51"/>
  </r>
  <r>
    <x v="78"/>
    <x v="3"/>
    <d v="2016-12-31T00:00:00"/>
    <x v="313"/>
    <x v="311"/>
    <x v="292"/>
    <n v="0"/>
    <x v="182"/>
    <x v="1"/>
    <x v="51"/>
  </r>
  <r>
    <x v="79"/>
    <x v="0"/>
    <d v="2013-12-31T00:00:00"/>
    <x v="314"/>
    <x v="312"/>
    <x v="293"/>
    <n v="713000000"/>
    <x v="4"/>
    <x v="0"/>
    <x v="52"/>
  </r>
  <r>
    <x v="79"/>
    <x v="1"/>
    <d v="2014-12-31T00:00:00"/>
    <x v="315"/>
    <x v="313"/>
    <x v="294"/>
    <n v="754000000"/>
    <x v="4"/>
    <x v="0"/>
    <x v="52"/>
  </r>
  <r>
    <x v="79"/>
    <x v="2"/>
    <d v="2015-12-31T00:00:00"/>
    <x v="316"/>
    <x v="314"/>
    <x v="295"/>
    <n v="735000000"/>
    <x v="4"/>
    <x v="0"/>
    <x v="52"/>
  </r>
  <r>
    <x v="79"/>
    <x v="3"/>
    <d v="2016-12-31T00:00:00"/>
    <x v="317"/>
    <x v="315"/>
    <x v="296"/>
    <n v="636000000"/>
    <x v="4"/>
    <x v="0"/>
    <x v="52"/>
  </r>
  <r>
    <x v="80"/>
    <x v="0"/>
    <d v="2013-12-31T00:00:00"/>
    <x v="318"/>
    <x v="316"/>
    <x v="147"/>
    <n v="0"/>
    <x v="183"/>
    <x v="5"/>
    <x v="10"/>
  </r>
  <r>
    <x v="80"/>
    <x v="1"/>
    <d v="2014-12-31T00:00:00"/>
    <x v="319"/>
    <x v="317"/>
    <x v="297"/>
    <n v="0"/>
    <x v="184"/>
    <x v="5"/>
    <x v="10"/>
  </r>
  <r>
    <x v="80"/>
    <x v="2"/>
    <d v="2015-12-31T00:00:00"/>
    <x v="320"/>
    <x v="318"/>
    <x v="298"/>
    <n v="0"/>
    <x v="185"/>
    <x v="5"/>
    <x v="10"/>
  </r>
  <r>
    <x v="80"/>
    <x v="3"/>
    <d v="2016-12-31T00:00:00"/>
    <x v="321"/>
    <x v="319"/>
    <x v="299"/>
    <n v="0"/>
    <x v="186"/>
    <x v="5"/>
    <x v="10"/>
  </r>
  <r>
    <x v="81"/>
    <x v="0"/>
    <d v="2012-12-31T00:00:00"/>
    <x v="322"/>
    <x v="320"/>
    <x v="300"/>
    <n v="0"/>
    <x v="187"/>
    <x v="3"/>
    <x v="26"/>
  </r>
  <r>
    <x v="81"/>
    <x v="1"/>
    <d v="2013-12-31T00:00:00"/>
    <x v="323"/>
    <x v="321"/>
    <x v="301"/>
    <n v="0"/>
    <x v="188"/>
    <x v="3"/>
    <x v="26"/>
  </r>
  <r>
    <x v="81"/>
    <x v="2"/>
    <d v="2014-12-31T00:00:00"/>
    <x v="217"/>
    <x v="322"/>
    <x v="302"/>
    <n v="0"/>
    <x v="189"/>
    <x v="3"/>
    <x v="26"/>
  </r>
  <r>
    <x v="81"/>
    <x v="3"/>
    <d v="2015-12-31T00:00:00"/>
    <x v="324"/>
    <x v="323"/>
    <x v="303"/>
    <n v="0"/>
    <x v="190"/>
    <x v="3"/>
    <x v="26"/>
  </r>
  <r>
    <x v="82"/>
    <x v="0"/>
    <d v="2012-12-31T00:00:00"/>
    <x v="325"/>
    <x v="324"/>
    <x v="304"/>
    <n v="0"/>
    <x v="191"/>
    <x v="5"/>
    <x v="10"/>
  </r>
  <r>
    <x v="82"/>
    <x v="1"/>
    <d v="2013-12-31T00:00:00"/>
    <x v="326"/>
    <x v="325"/>
    <x v="305"/>
    <n v="0"/>
    <x v="192"/>
    <x v="5"/>
    <x v="10"/>
  </r>
  <r>
    <x v="82"/>
    <x v="2"/>
    <d v="2014-12-31T00:00:00"/>
    <x v="327"/>
    <x v="326"/>
    <x v="306"/>
    <n v="0"/>
    <x v="193"/>
    <x v="5"/>
    <x v="10"/>
  </r>
  <r>
    <x v="82"/>
    <x v="3"/>
    <d v="2015-12-31T00:00:00"/>
    <x v="328"/>
    <x v="327"/>
    <x v="307"/>
    <n v="0"/>
    <x v="194"/>
    <x v="5"/>
    <x v="10"/>
  </r>
  <r>
    <x v="83"/>
    <x v="0"/>
    <d v="2012-12-31T00:00:00"/>
    <x v="329"/>
    <x v="328"/>
    <x v="308"/>
    <n v="0"/>
    <x v="195"/>
    <x v="6"/>
    <x v="34"/>
  </r>
  <r>
    <x v="83"/>
    <x v="1"/>
    <d v="2013-12-31T00:00:00"/>
    <x v="330"/>
    <x v="329"/>
    <x v="309"/>
    <n v="0"/>
    <x v="196"/>
    <x v="6"/>
    <x v="34"/>
  </r>
  <r>
    <x v="83"/>
    <x v="2"/>
    <d v="2014-12-31T00:00:00"/>
    <x v="331"/>
    <x v="330"/>
    <x v="310"/>
    <n v="0"/>
    <x v="197"/>
    <x v="6"/>
    <x v="34"/>
  </r>
  <r>
    <x v="83"/>
    <x v="3"/>
    <d v="2015-12-31T00:00:00"/>
    <x v="332"/>
    <x v="331"/>
    <x v="311"/>
    <n v="0"/>
    <x v="198"/>
    <x v="6"/>
    <x v="34"/>
  </r>
  <r>
    <x v="84"/>
    <x v="0"/>
    <d v="2012-12-31T00:00:00"/>
    <x v="333"/>
    <x v="332"/>
    <x v="312"/>
    <n v="0"/>
    <x v="199"/>
    <x v="9"/>
    <x v="27"/>
  </r>
  <r>
    <x v="84"/>
    <x v="1"/>
    <d v="2013-12-31T00:00:00"/>
    <x v="334"/>
    <x v="333"/>
    <x v="313"/>
    <n v="0"/>
    <x v="200"/>
    <x v="9"/>
    <x v="27"/>
  </r>
  <r>
    <x v="84"/>
    <x v="2"/>
    <d v="2014-12-31T00:00:00"/>
    <x v="335"/>
    <x v="334"/>
    <x v="314"/>
    <n v="0"/>
    <x v="201"/>
    <x v="9"/>
    <x v="27"/>
  </r>
  <r>
    <x v="84"/>
    <x v="3"/>
    <d v="2015-12-31T00:00:00"/>
    <x v="336"/>
    <x v="335"/>
    <x v="315"/>
    <n v="0"/>
    <x v="202"/>
    <x v="9"/>
    <x v="27"/>
  </r>
  <r>
    <x v="85"/>
    <x v="0"/>
    <d v="2013-09-30T00:00:00"/>
    <x v="337"/>
    <x v="336"/>
    <x v="316"/>
    <n v="0"/>
    <x v="4"/>
    <x v="0"/>
    <x v="53"/>
  </r>
  <r>
    <x v="85"/>
    <x v="1"/>
    <d v="2014-09-30T00:00:00"/>
    <x v="338"/>
    <x v="337"/>
    <x v="317"/>
    <n v="0"/>
    <x v="4"/>
    <x v="0"/>
    <x v="53"/>
  </r>
  <r>
    <x v="85"/>
    <x v="2"/>
    <d v="2015-09-30T00:00:00"/>
    <x v="339"/>
    <x v="338"/>
    <x v="318"/>
    <n v="0"/>
    <x v="4"/>
    <x v="0"/>
    <x v="53"/>
  </r>
  <r>
    <x v="85"/>
    <x v="3"/>
    <d v="2016-09-30T00:00:00"/>
    <x v="340"/>
    <x v="339"/>
    <x v="319"/>
    <n v="0"/>
    <x v="4"/>
    <x v="0"/>
    <x v="53"/>
  </r>
  <r>
    <x v="86"/>
    <x v="0"/>
    <d v="2013-10-31T00:00:00"/>
    <x v="341"/>
    <x v="340"/>
    <x v="320"/>
    <n v="58827000"/>
    <x v="203"/>
    <x v="3"/>
    <x v="54"/>
  </r>
  <r>
    <x v="86"/>
    <x v="1"/>
    <d v="2014-10-31T00:00:00"/>
    <x v="342"/>
    <x v="341"/>
    <x v="321"/>
    <n v="66259000"/>
    <x v="204"/>
    <x v="3"/>
    <x v="54"/>
  </r>
  <r>
    <x v="86"/>
    <x v="2"/>
    <d v="2015-10-31T00:00:00"/>
    <x v="343"/>
    <x v="342"/>
    <x v="322"/>
    <n v="69589000"/>
    <x v="205"/>
    <x v="3"/>
    <x v="54"/>
  </r>
  <r>
    <x v="86"/>
    <x v="3"/>
    <d v="2016-10-31T00:00:00"/>
    <x v="344"/>
    <x v="343"/>
    <x v="323"/>
    <n v="65411000"/>
    <x v="206"/>
    <x v="3"/>
    <x v="54"/>
  </r>
  <r>
    <x v="87"/>
    <x v="0"/>
    <d v="2013-09-01T00:00:00"/>
    <x v="345"/>
    <x v="344"/>
    <x v="324"/>
    <n v="0"/>
    <x v="4"/>
    <x v="4"/>
    <x v="55"/>
  </r>
  <r>
    <x v="87"/>
    <x v="1"/>
    <d v="2014-08-31T00:00:00"/>
    <x v="346"/>
    <x v="345"/>
    <x v="325"/>
    <n v="0"/>
    <x v="4"/>
    <x v="4"/>
    <x v="55"/>
  </r>
  <r>
    <x v="87"/>
    <x v="2"/>
    <d v="2015-08-30T00:00:00"/>
    <x v="347"/>
    <x v="346"/>
    <x v="326"/>
    <n v="0"/>
    <x v="4"/>
    <x v="4"/>
    <x v="55"/>
  </r>
  <r>
    <x v="87"/>
    <x v="3"/>
    <d v="2016-08-28T00:00:00"/>
    <x v="348"/>
    <x v="347"/>
    <x v="327"/>
    <n v="0"/>
    <x v="4"/>
    <x v="4"/>
    <x v="55"/>
  </r>
  <r>
    <x v="88"/>
    <x v="0"/>
    <d v="2003-06-30T00:00:00"/>
    <x v="349"/>
    <x v="348"/>
    <x v="328"/>
    <n v="65000"/>
    <x v="4"/>
    <x v="4"/>
    <x v="56"/>
  </r>
  <r>
    <x v="88"/>
    <x v="1"/>
    <d v="2004-06-30T00:00:00"/>
    <x v="350"/>
    <x v="349"/>
    <x v="329"/>
    <n v="30000"/>
    <x v="207"/>
    <x v="4"/>
    <x v="56"/>
  </r>
  <r>
    <x v="88"/>
    <x v="2"/>
    <d v="2006-02-28T00:00:00"/>
    <x v="351"/>
    <x v="350"/>
    <x v="330"/>
    <n v="0"/>
    <x v="4"/>
    <x v="4"/>
    <x v="56"/>
  </r>
  <r>
    <x v="88"/>
    <x v="3"/>
    <d v="2007-02-28T00:00:00"/>
    <x v="352"/>
    <x v="351"/>
    <x v="331"/>
    <n v="0"/>
    <x v="4"/>
    <x v="4"/>
    <x v="56"/>
  </r>
  <r>
    <x v="89"/>
    <x v="0"/>
    <d v="2013-07-28T00:00:00"/>
    <x v="353"/>
    <x v="352"/>
    <x v="332"/>
    <n v="128000000"/>
    <x v="4"/>
    <x v="4"/>
    <x v="40"/>
  </r>
  <r>
    <x v="89"/>
    <x v="1"/>
    <d v="2014-08-03T00:00:00"/>
    <x v="354"/>
    <x v="353"/>
    <x v="333"/>
    <n v="122000000"/>
    <x v="4"/>
    <x v="4"/>
    <x v="40"/>
  </r>
  <r>
    <x v="89"/>
    <x v="2"/>
    <d v="2015-08-02T00:00:00"/>
    <x v="355"/>
    <x v="354"/>
    <x v="334"/>
    <n v="117000000"/>
    <x v="4"/>
    <x v="4"/>
    <x v="40"/>
  </r>
  <r>
    <x v="89"/>
    <x v="3"/>
    <d v="2016-07-31T00:00:00"/>
    <x v="356"/>
    <x v="355"/>
    <x v="32"/>
    <n v="124000000"/>
    <x v="4"/>
    <x v="4"/>
    <x v="40"/>
  </r>
  <r>
    <x v="90"/>
    <x v="0"/>
    <d v="2013-01-31T00:00:00"/>
    <x v="357"/>
    <x v="356"/>
    <x v="335"/>
    <n v="429479000"/>
    <x v="4"/>
    <x v="2"/>
    <x v="16"/>
  </r>
  <r>
    <x v="90"/>
    <x v="1"/>
    <d v="2014-01-31T00:00:00"/>
    <x v="358"/>
    <x v="357"/>
    <x v="336"/>
    <n v="623798000"/>
    <x v="4"/>
    <x v="2"/>
    <x v="16"/>
  </r>
  <r>
    <x v="90"/>
    <x v="2"/>
    <d v="2015-01-31T00:00:00"/>
    <x v="359"/>
    <x v="358"/>
    <x v="337"/>
    <n v="792917000"/>
    <x v="4"/>
    <x v="2"/>
    <x v="16"/>
  </r>
  <r>
    <x v="90"/>
    <x v="3"/>
    <d v="2016-01-31T00:00:00"/>
    <x v="360"/>
    <x v="359"/>
    <x v="338"/>
    <n v="946300000"/>
    <x v="4"/>
    <x v="2"/>
    <x v="16"/>
  </r>
  <r>
    <x v="91"/>
    <x v="0"/>
    <d v="2013-07-27T00:00:00"/>
    <x v="361"/>
    <x v="360"/>
    <x v="339"/>
    <n v="5942000000"/>
    <x v="122"/>
    <x v="2"/>
    <x v="57"/>
  </r>
  <r>
    <x v="91"/>
    <x v="1"/>
    <d v="2014-07-26T00:00:00"/>
    <x v="362"/>
    <x v="361"/>
    <x v="340"/>
    <n v="6294000000"/>
    <x v="208"/>
    <x v="2"/>
    <x v="57"/>
  </r>
  <r>
    <x v="91"/>
    <x v="2"/>
    <d v="2015-07-25T00:00:00"/>
    <x v="363"/>
    <x v="362"/>
    <x v="341"/>
    <n v="6207000000"/>
    <x v="209"/>
    <x v="2"/>
    <x v="57"/>
  </r>
  <r>
    <x v="91"/>
    <x v="3"/>
    <d v="2016-07-30T00:00:00"/>
    <x v="364"/>
    <x v="363"/>
    <x v="342"/>
    <n v="6296000000"/>
    <x v="210"/>
    <x v="2"/>
    <x v="57"/>
  </r>
  <r>
    <x v="92"/>
    <x v="0"/>
    <d v="2015-04-03T00:00:00"/>
    <x v="365"/>
    <x v="364"/>
    <x v="343"/>
    <n v="0"/>
    <x v="211"/>
    <x v="2"/>
    <x v="58"/>
  </r>
  <r>
    <x v="92"/>
    <x v="1"/>
    <d v="2016-04-01T00:00:00"/>
    <x v="366"/>
    <x v="365"/>
    <x v="344"/>
    <n v="0"/>
    <x v="212"/>
    <x v="2"/>
    <x v="58"/>
  </r>
  <r>
    <x v="93"/>
    <x v="0"/>
    <d v="2013-12-31T00:00:00"/>
    <x v="367"/>
    <x v="366"/>
    <x v="345"/>
    <n v="0"/>
    <x v="213"/>
    <x v="0"/>
    <x v="59"/>
  </r>
  <r>
    <x v="93"/>
    <x v="1"/>
    <d v="2014-12-26T00:00:00"/>
    <x v="368"/>
    <x v="367"/>
    <x v="346"/>
    <n v="0"/>
    <x v="214"/>
    <x v="0"/>
    <x v="59"/>
  </r>
  <r>
    <x v="93"/>
    <x v="2"/>
    <d v="2015-12-25T00:00:00"/>
    <x v="369"/>
    <x v="368"/>
    <x v="347"/>
    <n v="0"/>
    <x v="215"/>
    <x v="0"/>
    <x v="59"/>
  </r>
  <r>
    <x v="93"/>
    <x v="3"/>
    <d v="2016-12-30T00:00:00"/>
    <x v="370"/>
    <x v="369"/>
    <x v="348"/>
    <n v="0"/>
    <x v="216"/>
    <x v="0"/>
    <x v="59"/>
  </r>
  <r>
    <x v="94"/>
    <x v="0"/>
    <d v="2013-05-31T00:00:00"/>
    <x v="371"/>
    <x v="370"/>
    <x v="349"/>
    <n v="0"/>
    <x v="4"/>
    <x v="0"/>
    <x v="60"/>
  </r>
  <r>
    <x v="94"/>
    <x v="1"/>
    <d v="2014-05-31T00:00:00"/>
    <x v="372"/>
    <x v="371"/>
    <x v="350"/>
    <n v="0"/>
    <x v="4"/>
    <x v="0"/>
    <x v="60"/>
  </r>
  <r>
    <x v="94"/>
    <x v="2"/>
    <d v="2015-05-31T00:00:00"/>
    <x v="373"/>
    <x v="372"/>
    <x v="351"/>
    <n v="0"/>
    <x v="4"/>
    <x v="0"/>
    <x v="60"/>
  </r>
  <r>
    <x v="94"/>
    <x v="3"/>
    <d v="2016-05-31T00:00:00"/>
    <x v="374"/>
    <x v="373"/>
    <x v="352"/>
    <n v="0"/>
    <x v="4"/>
    <x v="0"/>
    <x v="60"/>
  </r>
  <r>
    <x v="95"/>
    <x v="0"/>
    <d v="2012-12-31T00:00:00"/>
    <x v="375"/>
    <x v="374"/>
    <x v="353"/>
    <n v="0"/>
    <x v="217"/>
    <x v="10"/>
    <x v="61"/>
  </r>
  <r>
    <x v="95"/>
    <x v="1"/>
    <d v="2013-12-31T00:00:00"/>
    <x v="376"/>
    <x v="375"/>
    <x v="354"/>
    <n v="0"/>
    <x v="218"/>
    <x v="10"/>
    <x v="61"/>
  </r>
  <r>
    <x v="95"/>
    <x v="2"/>
    <d v="2014-12-31T00:00:00"/>
    <x v="377"/>
    <x v="376"/>
    <x v="355"/>
    <n v="0"/>
    <x v="219"/>
    <x v="10"/>
    <x v="61"/>
  </r>
  <r>
    <x v="95"/>
    <x v="3"/>
    <d v="2015-12-31T00:00:00"/>
    <x v="378"/>
    <x v="377"/>
    <x v="356"/>
    <n v="0"/>
    <x v="220"/>
    <x v="10"/>
    <x v="61"/>
  </r>
  <r>
    <x v="96"/>
    <x v="0"/>
    <d v="2012-12-31T00:00:00"/>
    <x v="379"/>
    <x v="378"/>
    <x v="357"/>
    <n v="0"/>
    <x v="221"/>
    <x v="2"/>
    <x v="58"/>
  </r>
  <r>
    <x v="96"/>
    <x v="1"/>
    <d v="2013-12-31T00:00:00"/>
    <x v="380"/>
    <x v="379"/>
    <x v="358"/>
    <n v="0"/>
    <x v="222"/>
    <x v="2"/>
    <x v="58"/>
  </r>
  <r>
    <x v="96"/>
    <x v="2"/>
    <d v="2014-12-31T00:00:00"/>
    <x v="381"/>
    <x v="380"/>
    <x v="359"/>
    <n v="0"/>
    <x v="223"/>
    <x v="2"/>
    <x v="58"/>
  </r>
  <r>
    <x v="96"/>
    <x v="3"/>
    <d v="2015-12-31T00:00:00"/>
    <x v="382"/>
    <x v="381"/>
    <x v="360"/>
    <n v="0"/>
    <x v="224"/>
    <x v="2"/>
    <x v="58"/>
  </r>
  <r>
    <x v="97"/>
    <x v="0"/>
    <d v="2013-12-31T00:00:00"/>
    <x v="383"/>
    <x v="382"/>
    <x v="361"/>
    <n v="516338000"/>
    <x v="225"/>
    <x v="2"/>
    <x v="16"/>
  </r>
  <r>
    <x v="97"/>
    <x v="1"/>
    <d v="2014-12-31T00:00:00"/>
    <x v="384"/>
    <x v="383"/>
    <x v="362"/>
    <n v="553817000"/>
    <x v="226"/>
    <x v="2"/>
    <x v="16"/>
  </r>
  <r>
    <x v="97"/>
    <x v="2"/>
    <d v="2015-12-31T00:00:00"/>
    <x v="385"/>
    <x v="384"/>
    <x v="363"/>
    <n v="563975000"/>
    <x v="227"/>
    <x v="2"/>
    <x v="16"/>
  </r>
  <r>
    <x v="97"/>
    <x v="3"/>
    <d v="2016-12-31T00:00:00"/>
    <x v="386"/>
    <x v="385"/>
    <x v="364"/>
    <n v="489265000"/>
    <x v="228"/>
    <x v="2"/>
    <x v="16"/>
  </r>
  <r>
    <x v="98"/>
    <x v="0"/>
    <d v="2013-12-31T00:00:00"/>
    <x v="387"/>
    <x v="386"/>
    <x v="52"/>
    <n v="0"/>
    <x v="4"/>
    <x v="4"/>
    <x v="62"/>
  </r>
  <r>
    <x v="98"/>
    <x v="1"/>
    <d v="2014-12-31T00:00:00"/>
    <x v="388"/>
    <x v="387"/>
    <x v="52"/>
    <n v="0"/>
    <x v="4"/>
    <x v="4"/>
    <x v="62"/>
  </r>
  <r>
    <x v="98"/>
    <x v="2"/>
    <d v="2015-12-31T00:00:00"/>
    <x v="389"/>
    <x v="388"/>
    <x v="52"/>
    <n v="0"/>
    <x v="4"/>
    <x v="4"/>
    <x v="62"/>
  </r>
  <r>
    <x v="98"/>
    <x v="3"/>
    <d v="2016-12-31T00:00:00"/>
    <x v="390"/>
    <x v="389"/>
    <x v="52"/>
    <n v="0"/>
    <x v="4"/>
    <x v="4"/>
    <x v="62"/>
  </r>
  <r>
    <x v="99"/>
    <x v="0"/>
    <d v="2012-12-31T00:00:00"/>
    <x v="391"/>
    <x v="390"/>
    <x v="365"/>
    <n v="0"/>
    <x v="229"/>
    <x v="9"/>
    <x v="48"/>
  </r>
  <r>
    <x v="99"/>
    <x v="1"/>
    <d v="2013-12-31T00:00:00"/>
    <x v="392"/>
    <x v="391"/>
    <x v="366"/>
    <n v="0"/>
    <x v="230"/>
    <x v="9"/>
    <x v="48"/>
  </r>
  <r>
    <x v="99"/>
    <x v="2"/>
    <d v="2014-12-31T00:00:00"/>
    <x v="393"/>
    <x v="392"/>
    <x v="367"/>
    <n v="0"/>
    <x v="231"/>
    <x v="9"/>
    <x v="48"/>
  </r>
  <r>
    <x v="99"/>
    <x v="3"/>
    <d v="2015-12-31T00:00:00"/>
    <x v="394"/>
    <x v="393"/>
    <x v="368"/>
    <n v="0"/>
    <x v="232"/>
    <x v="9"/>
    <x v="48"/>
  </r>
  <r>
    <x v="100"/>
    <x v="0"/>
    <d v="2012-12-31T00:00:00"/>
    <x v="395"/>
    <x v="394"/>
    <x v="369"/>
    <n v="0"/>
    <x v="233"/>
    <x v="9"/>
    <x v="27"/>
  </r>
  <r>
    <x v="100"/>
    <x v="1"/>
    <d v="2013-12-31T00:00:00"/>
    <x v="396"/>
    <x v="395"/>
    <x v="370"/>
    <n v="0"/>
    <x v="234"/>
    <x v="9"/>
    <x v="27"/>
  </r>
  <r>
    <x v="100"/>
    <x v="2"/>
    <d v="2014-12-31T00:00:00"/>
    <x v="397"/>
    <x v="396"/>
    <x v="371"/>
    <n v="0"/>
    <x v="235"/>
    <x v="9"/>
    <x v="27"/>
  </r>
  <r>
    <x v="100"/>
    <x v="3"/>
    <d v="2015-12-31T00:00:00"/>
    <x v="398"/>
    <x v="397"/>
    <x v="372"/>
    <n v="0"/>
    <x v="236"/>
    <x v="9"/>
    <x v="27"/>
  </r>
  <r>
    <x v="101"/>
    <x v="0"/>
    <d v="2012-12-31T00:00:00"/>
    <x v="399"/>
    <x v="398"/>
    <x v="373"/>
    <n v="0"/>
    <x v="237"/>
    <x v="5"/>
    <x v="11"/>
  </r>
  <r>
    <x v="101"/>
    <x v="1"/>
    <d v="2013-12-31T00:00:00"/>
    <x v="400"/>
    <x v="399"/>
    <x v="374"/>
    <n v="0"/>
    <x v="215"/>
    <x v="5"/>
    <x v="11"/>
  </r>
  <r>
    <x v="101"/>
    <x v="2"/>
    <d v="2014-12-31T00:00:00"/>
    <x v="401"/>
    <x v="400"/>
    <x v="47"/>
    <n v="0"/>
    <x v="238"/>
    <x v="5"/>
    <x v="11"/>
  </r>
  <r>
    <x v="101"/>
    <x v="3"/>
    <d v="2015-12-31T00:00:00"/>
    <x v="402"/>
    <x v="401"/>
    <x v="375"/>
    <n v="0"/>
    <x v="239"/>
    <x v="5"/>
    <x v="11"/>
  </r>
  <r>
    <x v="102"/>
    <x v="0"/>
    <d v="2013-12-31T00:00:00"/>
    <x v="403"/>
    <x v="402"/>
    <x v="376"/>
    <n v="0"/>
    <x v="240"/>
    <x v="0"/>
    <x v="0"/>
  </r>
  <r>
    <x v="102"/>
    <x v="1"/>
    <d v="2014-12-31T00:00:00"/>
    <x v="404"/>
    <x v="403"/>
    <x v="377"/>
    <n v="0"/>
    <x v="241"/>
    <x v="0"/>
    <x v="0"/>
  </r>
  <r>
    <x v="102"/>
    <x v="2"/>
    <d v="2015-12-31T00:00:00"/>
    <x v="405"/>
    <x v="404"/>
    <x v="378"/>
    <n v="0"/>
    <x v="242"/>
    <x v="0"/>
    <x v="0"/>
  </r>
  <r>
    <x v="102"/>
    <x v="3"/>
    <d v="2016-12-31T00:00:00"/>
    <x v="406"/>
    <x v="405"/>
    <x v="379"/>
    <n v="0"/>
    <x v="243"/>
    <x v="0"/>
    <x v="0"/>
  </r>
  <r>
    <x v="103"/>
    <x v="0"/>
    <d v="2013-12-31T00:00:00"/>
    <x v="407"/>
    <x v="406"/>
    <x v="380"/>
    <n v="2037000000"/>
    <x v="4"/>
    <x v="8"/>
    <x v="63"/>
  </r>
  <r>
    <x v="103"/>
    <x v="1"/>
    <d v="2014-12-31T00:00:00"/>
    <x v="408"/>
    <x v="407"/>
    <x v="381"/>
    <n v="1958000000"/>
    <x v="4"/>
    <x v="8"/>
    <x v="63"/>
  </r>
  <r>
    <x v="103"/>
    <x v="2"/>
    <d v="2015-12-31T00:00:00"/>
    <x v="409"/>
    <x v="408"/>
    <x v="382"/>
    <n v="1898000000"/>
    <x v="4"/>
    <x v="8"/>
    <x v="63"/>
  </r>
  <r>
    <x v="103"/>
    <x v="3"/>
    <d v="2016-12-31T00:00:00"/>
    <x v="410"/>
    <x v="409"/>
    <x v="383"/>
    <n v="1641000000"/>
    <x v="4"/>
    <x v="8"/>
    <x v="63"/>
  </r>
  <r>
    <x v="104"/>
    <x v="0"/>
    <d v="2013-10-31T00:00:00"/>
    <x v="411"/>
    <x v="410"/>
    <x v="384"/>
    <n v="1477300000"/>
    <x v="4"/>
    <x v="0"/>
    <x v="41"/>
  </r>
  <r>
    <x v="104"/>
    <x v="1"/>
    <d v="2014-10-31T00:00:00"/>
    <x v="412"/>
    <x v="411"/>
    <x v="385"/>
    <n v="1452000000"/>
    <x v="4"/>
    <x v="0"/>
    <x v="41"/>
  </r>
  <r>
    <x v="104"/>
    <x v="2"/>
    <d v="2015-10-31T00:00:00"/>
    <x v="413"/>
    <x v="412"/>
    <x v="386"/>
    <n v="1425100000"/>
    <x v="4"/>
    <x v="0"/>
    <x v="41"/>
  </r>
  <r>
    <x v="104"/>
    <x v="3"/>
    <d v="2016-10-31T00:00:00"/>
    <x v="414"/>
    <x v="413"/>
    <x v="387"/>
    <n v="1389100000"/>
    <x v="4"/>
    <x v="0"/>
    <x v="41"/>
  </r>
  <r>
    <x v="105"/>
    <x v="0"/>
    <d v="2012-11-30T00:00:00"/>
    <x v="415"/>
    <x v="414"/>
    <x v="388"/>
    <n v="0"/>
    <x v="244"/>
    <x v="6"/>
    <x v="34"/>
  </r>
  <r>
    <x v="105"/>
    <x v="1"/>
    <d v="2013-12-31T00:00:00"/>
    <x v="416"/>
    <x v="415"/>
    <x v="389"/>
    <n v="0"/>
    <x v="245"/>
    <x v="6"/>
    <x v="34"/>
  </r>
  <r>
    <x v="105"/>
    <x v="2"/>
    <d v="2014-12-31T00:00:00"/>
    <x v="417"/>
    <x v="416"/>
    <x v="390"/>
    <n v="0"/>
    <x v="246"/>
    <x v="6"/>
    <x v="34"/>
  </r>
  <r>
    <x v="105"/>
    <x v="3"/>
    <d v="2015-12-31T00:00:00"/>
    <x v="418"/>
    <x v="417"/>
    <x v="391"/>
    <n v="0"/>
    <x v="247"/>
    <x v="6"/>
    <x v="34"/>
  </r>
  <r>
    <x v="106"/>
    <x v="0"/>
    <d v="2013-02-01T00:00:00"/>
    <x v="419"/>
    <x v="418"/>
    <x v="392"/>
    <n v="0"/>
    <x v="4"/>
    <x v="1"/>
    <x v="64"/>
  </r>
  <r>
    <x v="106"/>
    <x v="1"/>
    <d v="2014-01-31T00:00:00"/>
    <x v="420"/>
    <x v="419"/>
    <x v="393"/>
    <n v="0"/>
    <x v="4"/>
    <x v="1"/>
    <x v="64"/>
  </r>
  <r>
    <x v="106"/>
    <x v="2"/>
    <d v="2015-01-30T00:00:00"/>
    <x v="421"/>
    <x v="420"/>
    <x v="394"/>
    <n v="0"/>
    <x v="4"/>
    <x v="1"/>
    <x v="64"/>
  </r>
  <r>
    <x v="106"/>
    <x v="3"/>
    <d v="2016-01-29T00:00:00"/>
    <x v="422"/>
    <x v="421"/>
    <x v="395"/>
    <n v="0"/>
    <x v="4"/>
    <x v="1"/>
    <x v="64"/>
  </r>
  <r>
    <x v="107"/>
    <x v="0"/>
    <d v="2012-12-31T00:00:00"/>
    <x v="423"/>
    <x v="422"/>
    <x v="396"/>
    <n v="0"/>
    <x v="248"/>
    <x v="3"/>
    <x v="65"/>
  </r>
  <r>
    <x v="107"/>
    <x v="1"/>
    <d v="2013-12-31T00:00:00"/>
    <x v="424"/>
    <x v="423"/>
    <x v="397"/>
    <n v="0"/>
    <x v="249"/>
    <x v="3"/>
    <x v="65"/>
  </r>
  <r>
    <x v="107"/>
    <x v="2"/>
    <d v="2014-12-31T00:00:00"/>
    <x v="425"/>
    <x v="424"/>
    <x v="398"/>
    <n v="0"/>
    <x v="250"/>
    <x v="3"/>
    <x v="65"/>
  </r>
  <r>
    <x v="107"/>
    <x v="3"/>
    <d v="2015-12-31T00:00:00"/>
    <x v="426"/>
    <x v="425"/>
    <x v="399"/>
    <n v="0"/>
    <x v="251"/>
    <x v="3"/>
    <x v="65"/>
  </r>
  <r>
    <x v="108"/>
    <x v="0"/>
    <d v="2013-09-30T00:00:00"/>
    <x v="427"/>
    <x v="426"/>
    <x v="400"/>
    <n v="0"/>
    <x v="4"/>
    <x v="1"/>
    <x v="66"/>
  </r>
  <r>
    <x v="108"/>
    <x v="1"/>
    <d v="2014-09-30T00:00:00"/>
    <x v="428"/>
    <x v="427"/>
    <x v="401"/>
    <n v="0"/>
    <x v="4"/>
    <x v="1"/>
    <x v="66"/>
  </r>
  <r>
    <x v="108"/>
    <x v="2"/>
    <d v="2015-09-30T00:00:00"/>
    <x v="429"/>
    <x v="428"/>
    <x v="402"/>
    <n v="0"/>
    <x v="4"/>
    <x v="1"/>
    <x v="66"/>
  </r>
  <r>
    <x v="108"/>
    <x v="3"/>
    <d v="2016-09-30T00:00:00"/>
    <x v="430"/>
    <x v="429"/>
    <x v="403"/>
    <n v="0"/>
    <x v="4"/>
    <x v="1"/>
    <x v="66"/>
  </r>
  <r>
    <x v="109"/>
    <x v="0"/>
    <d v="2012-12-31T00:00:00"/>
    <x v="431"/>
    <x v="430"/>
    <x v="404"/>
    <n v="1137900000"/>
    <x v="4"/>
    <x v="0"/>
    <x v="53"/>
  </r>
  <r>
    <x v="109"/>
    <x v="1"/>
    <d v="2013-12-31T00:00:00"/>
    <x v="432"/>
    <x v="431"/>
    <x v="405"/>
    <n v="1104400000"/>
    <x v="4"/>
    <x v="0"/>
    <x v="53"/>
  </r>
  <r>
    <x v="109"/>
    <x v="2"/>
    <d v="2014-12-31T00:00:00"/>
    <x v="433"/>
    <x v="432"/>
    <x v="406"/>
    <n v="1157000000"/>
    <x v="4"/>
    <x v="0"/>
    <x v="53"/>
  </r>
  <r>
    <x v="109"/>
    <x v="3"/>
    <d v="2015-12-31T00:00:00"/>
    <x v="434"/>
    <x v="433"/>
    <x v="407"/>
    <n v="1239100000"/>
    <x v="4"/>
    <x v="0"/>
    <x v="53"/>
  </r>
  <r>
    <x v="110"/>
    <x v="0"/>
    <d v="2013-09-28T00:00:00"/>
    <x v="435"/>
    <x v="434"/>
    <x v="408"/>
    <n v="0"/>
    <x v="252"/>
    <x v="1"/>
    <x v="67"/>
  </r>
  <r>
    <x v="110"/>
    <x v="1"/>
    <d v="2014-09-27T00:00:00"/>
    <x v="436"/>
    <x v="435"/>
    <x v="409"/>
    <n v="0"/>
    <x v="253"/>
    <x v="1"/>
    <x v="67"/>
  </r>
  <r>
    <x v="110"/>
    <x v="2"/>
    <d v="2015-10-03T00:00:00"/>
    <x v="437"/>
    <x v="436"/>
    <x v="410"/>
    <n v="0"/>
    <x v="254"/>
    <x v="1"/>
    <x v="67"/>
  </r>
  <r>
    <x v="110"/>
    <x v="3"/>
    <d v="2016-10-01T00:00:00"/>
    <x v="438"/>
    <x v="437"/>
    <x v="411"/>
    <n v="0"/>
    <x v="255"/>
    <x v="1"/>
    <x v="67"/>
  </r>
  <r>
    <x v="111"/>
    <x v="0"/>
    <d v="2013-12-31T00:00:00"/>
    <x v="439"/>
    <x v="438"/>
    <x v="412"/>
    <n v="0"/>
    <x v="256"/>
    <x v="1"/>
    <x v="50"/>
  </r>
  <r>
    <x v="111"/>
    <x v="1"/>
    <d v="2014-12-31T00:00:00"/>
    <x v="440"/>
    <x v="439"/>
    <x v="413"/>
    <n v="0"/>
    <x v="257"/>
    <x v="1"/>
    <x v="50"/>
  </r>
  <r>
    <x v="111"/>
    <x v="2"/>
    <d v="2015-12-31T00:00:00"/>
    <x v="441"/>
    <x v="440"/>
    <x v="414"/>
    <n v="0"/>
    <x v="258"/>
    <x v="1"/>
    <x v="50"/>
  </r>
  <r>
    <x v="111"/>
    <x v="3"/>
    <d v="2016-12-31T00:00:00"/>
    <x v="442"/>
    <x v="441"/>
    <x v="415"/>
    <n v="0"/>
    <x v="63"/>
    <x v="1"/>
    <x v="50"/>
  </r>
  <r>
    <x v="112"/>
    <x v="0"/>
    <d v="2013-12-31T00:00:00"/>
    <x v="439"/>
    <x v="438"/>
    <x v="412"/>
    <n v="0"/>
    <x v="256"/>
    <x v="1"/>
    <x v="50"/>
  </r>
  <r>
    <x v="112"/>
    <x v="1"/>
    <d v="2014-12-31T00:00:00"/>
    <x v="440"/>
    <x v="439"/>
    <x v="413"/>
    <n v="0"/>
    <x v="257"/>
    <x v="1"/>
    <x v="50"/>
  </r>
  <r>
    <x v="112"/>
    <x v="2"/>
    <d v="2015-12-31T00:00:00"/>
    <x v="441"/>
    <x v="440"/>
    <x v="414"/>
    <n v="0"/>
    <x v="258"/>
    <x v="1"/>
    <x v="50"/>
  </r>
  <r>
    <x v="112"/>
    <x v="3"/>
    <d v="2016-12-31T00:00:00"/>
    <x v="442"/>
    <x v="441"/>
    <x v="415"/>
    <n v="0"/>
    <x v="63"/>
    <x v="1"/>
    <x v="50"/>
  </r>
  <r>
    <x v="113"/>
    <x v="0"/>
    <d v="2013-12-31T00:00:00"/>
    <x v="443"/>
    <x v="442"/>
    <x v="416"/>
    <n v="0"/>
    <x v="259"/>
    <x v="1"/>
    <x v="39"/>
  </r>
  <r>
    <x v="113"/>
    <x v="1"/>
    <d v="2014-12-31T00:00:00"/>
    <x v="444"/>
    <x v="443"/>
    <x v="417"/>
    <n v="0"/>
    <x v="250"/>
    <x v="1"/>
    <x v="39"/>
  </r>
  <r>
    <x v="113"/>
    <x v="2"/>
    <d v="2015-12-31T00:00:00"/>
    <x v="445"/>
    <x v="444"/>
    <x v="418"/>
    <n v="0"/>
    <x v="260"/>
    <x v="1"/>
    <x v="39"/>
  </r>
  <r>
    <x v="113"/>
    <x v="3"/>
    <d v="2016-12-31T00:00:00"/>
    <x v="446"/>
    <x v="445"/>
    <x v="419"/>
    <n v="0"/>
    <x v="261"/>
    <x v="1"/>
    <x v="39"/>
  </r>
  <r>
    <x v="114"/>
    <x v="0"/>
    <d v="2012-12-31T00:00:00"/>
    <x v="447"/>
    <x v="446"/>
    <x v="420"/>
    <n v="0"/>
    <x v="262"/>
    <x v="7"/>
    <x v="23"/>
  </r>
  <r>
    <x v="114"/>
    <x v="1"/>
    <d v="2013-12-31T00:00:00"/>
    <x v="448"/>
    <x v="447"/>
    <x v="421"/>
    <n v="0"/>
    <x v="263"/>
    <x v="7"/>
    <x v="23"/>
  </r>
  <r>
    <x v="114"/>
    <x v="2"/>
    <d v="2014-12-31T00:00:00"/>
    <x v="449"/>
    <x v="448"/>
    <x v="422"/>
    <n v="0"/>
    <x v="264"/>
    <x v="7"/>
    <x v="23"/>
  </r>
  <r>
    <x v="114"/>
    <x v="3"/>
    <d v="2015-12-31T00:00:00"/>
    <x v="450"/>
    <x v="449"/>
    <x v="423"/>
    <n v="0"/>
    <x v="265"/>
    <x v="7"/>
    <x v="23"/>
  </r>
  <r>
    <x v="115"/>
    <x v="0"/>
    <d v="2013-02-02T00:00:00"/>
    <x v="451"/>
    <x v="450"/>
    <x v="424"/>
    <n v="0"/>
    <x v="4"/>
    <x v="1"/>
    <x v="64"/>
  </r>
  <r>
    <x v="115"/>
    <x v="1"/>
    <d v="2014-02-01T00:00:00"/>
    <x v="452"/>
    <x v="451"/>
    <x v="425"/>
    <n v="0"/>
    <x v="4"/>
    <x v="1"/>
    <x v="64"/>
  </r>
  <r>
    <x v="115"/>
    <x v="2"/>
    <d v="2015-01-31T00:00:00"/>
    <x v="453"/>
    <x v="452"/>
    <x v="426"/>
    <n v="0"/>
    <x v="4"/>
    <x v="1"/>
    <x v="64"/>
  </r>
  <r>
    <x v="115"/>
    <x v="3"/>
    <d v="2016-01-30T00:00:00"/>
    <x v="454"/>
    <x v="453"/>
    <x v="427"/>
    <n v="0"/>
    <x v="4"/>
    <x v="1"/>
    <x v="64"/>
  </r>
  <r>
    <x v="116"/>
    <x v="0"/>
    <d v="2012-12-31T00:00:00"/>
    <x v="455"/>
    <x v="454"/>
    <x v="428"/>
    <n v="0"/>
    <x v="266"/>
    <x v="0"/>
    <x v="68"/>
  </r>
  <r>
    <x v="116"/>
    <x v="1"/>
    <d v="2013-12-31T00:00:00"/>
    <x v="456"/>
    <x v="454"/>
    <x v="429"/>
    <n v="0"/>
    <x v="267"/>
    <x v="0"/>
    <x v="68"/>
  </r>
  <r>
    <x v="116"/>
    <x v="2"/>
    <d v="2014-12-31T00:00:00"/>
    <x v="457"/>
    <x v="454"/>
    <x v="430"/>
    <n v="0"/>
    <x v="268"/>
    <x v="0"/>
    <x v="68"/>
  </r>
  <r>
    <x v="116"/>
    <x v="3"/>
    <d v="2015-12-31T00:00:00"/>
    <x v="458"/>
    <x v="454"/>
    <x v="431"/>
    <n v="0"/>
    <x v="269"/>
    <x v="0"/>
    <x v="68"/>
  </r>
  <r>
    <x v="117"/>
    <x v="0"/>
    <d v="2013-12-31T00:00:00"/>
    <x v="459"/>
    <x v="455"/>
    <x v="432"/>
    <n v="0"/>
    <x v="4"/>
    <x v="0"/>
    <x v="52"/>
  </r>
  <r>
    <x v="117"/>
    <x v="1"/>
    <d v="2014-12-31T00:00:00"/>
    <x v="460"/>
    <x v="456"/>
    <x v="433"/>
    <n v="0"/>
    <x v="4"/>
    <x v="0"/>
    <x v="52"/>
  </r>
  <r>
    <x v="117"/>
    <x v="2"/>
    <d v="2015-12-31T00:00:00"/>
    <x v="461"/>
    <x v="457"/>
    <x v="434"/>
    <n v="0"/>
    <x v="4"/>
    <x v="0"/>
    <x v="52"/>
  </r>
  <r>
    <x v="117"/>
    <x v="3"/>
    <d v="2016-12-31T00:00:00"/>
    <x v="462"/>
    <x v="458"/>
    <x v="435"/>
    <n v="0"/>
    <x v="4"/>
    <x v="0"/>
    <x v="52"/>
  </r>
  <r>
    <x v="118"/>
    <x v="0"/>
    <d v="2013-12-31T00:00:00"/>
    <x v="463"/>
    <x v="459"/>
    <x v="436"/>
    <n v="0"/>
    <x v="270"/>
    <x v="4"/>
    <x v="69"/>
  </r>
  <r>
    <x v="118"/>
    <x v="1"/>
    <d v="2014-12-31T00:00:00"/>
    <x v="464"/>
    <x v="460"/>
    <x v="437"/>
    <n v="0"/>
    <x v="270"/>
    <x v="4"/>
    <x v="69"/>
  </r>
  <r>
    <x v="118"/>
    <x v="2"/>
    <d v="2015-12-31T00:00:00"/>
    <x v="465"/>
    <x v="461"/>
    <x v="438"/>
    <n v="0"/>
    <x v="271"/>
    <x v="4"/>
    <x v="69"/>
  </r>
  <r>
    <x v="118"/>
    <x v="3"/>
    <d v="2016-12-31T00:00:00"/>
    <x v="466"/>
    <x v="462"/>
    <x v="439"/>
    <n v="0"/>
    <x v="272"/>
    <x v="4"/>
    <x v="69"/>
  </r>
  <r>
    <x v="119"/>
    <x v="0"/>
    <d v="2013-05-26T00:00:00"/>
    <x v="467"/>
    <x v="463"/>
    <x v="440"/>
    <n v="0"/>
    <x v="273"/>
    <x v="1"/>
    <x v="51"/>
  </r>
  <r>
    <x v="119"/>
    <x v="1"/>
    <d v="2014-05-25T00:00:00"/>
    <x v="468"/>
    <x v="464"/>
    <x v="441"/>
    <n v="0"/>
    <x v="274"/>
    <x v="1"/>
    <x v="51"/>
  </r>
  <r>
    <x v="119"/>
    <x v="2"/>
    <d v="2015-05-31T00:00:00"/>
    <x v="469"/>
    <x v="465"/>
    <x v="442"/>
    <n v="0"/>
    <x v="275"/>
    <x v="1"/>
    <x v="51"/>
  </r>
  <r>
    <x v="119"/>
    <x v="3"/>
    <d v="2016-05-29T00:00:00"/>
    <x v="470"/>
    <x v="466"/>
    <x v="443"/>
    <n v="0"/>
    <x v="276"/>
    <x v="1"/>
    <x v="51"/>
  </r>
  <r>
    <x v="120"/>
    <x v="0"/>
    <d v="2012-12-31T00:00:00"/>
    <x v="471"/>
    <x v="467"/>
    <x v="444"/>
    <n v="0"/>
    <x v="277"/>
    <x v="5"/>
    <x v="11"/>
  </r>
  <r>
    <x v="120"/>
    <x v="1"/>
    <d v="2013-12-31T00:00:00"/>
    <x v="472"/>
    <x v="468"/>
    <x v="445"/>
    <n v="0"/>
    <x v="278"/>
    <x v="5"/>
    <x v="11"/>
  </r>
  <r>
    <x v="120"/>
    <x v="2"/>
    <d v="2014-12-31T00:00:00"/>
    <x v="473"/>
    <x v="469"/>
    <x v="446"/>
    <n v="0"/>
    <x v="279"/>
    <x v="5"/>
    <x v="11"/>
  </r>
  <r>
    <x v="120"/>
    <x v="3"/>
    <d v="2015-12-31T00:00:00"/>
    <x v="474"/>
    <x v="470"/>
    <x v="447"/>
    <n v="0"/>
    <x v="280"/>
    <x v="5"/>
    <x v="11"/>
  </r>
  <r>
    <x v="121"/>
    <x v="0"/>
    <d v="2012-12-31T00:00:00"/>
    <x v="475"/>
    <x v="471"/>
    <x v="448"/>
    <n v="0"/>
    <x v="281"/>
    <x v="3"/>
    <x v="65"/>
  </r>
  <r>
    <x v="121"/>
    <x v="1"/>
    <d v="2013-12-31T00:00:00"/>
    <x v="476"/>
    <x v="472"/>
    <x v="449"/>
    <n v="0"/>
    <x v="282"/>
    <x v="3"/>
    <x v="65"/>
  </r>
  <r>
    <x v="121"/>
    <x v="2"/>
    <d v="2014-12-31T00:00:00"/>
    <x v="477"/>
    <x v="473"/>
    <x v="450"/>
    <n v="0"/>
    <x v="283"/>
    <x v="3"/>
    <x v="65"/>
  </r>
  <r>
    <x v="121"/>
    <x v="3"/>
    <d v="2015-12-31T00:00:00"/>
    <x v="478"/>
    <x v="474"/>
    <x v="451"/>
    <n v="0"/>
    <x v="284"/>
    <x v="3"/>
    <x v="65"/>
  </r>
  <r>
    <x v="122"/>
    <x v="0"/>
    <d v="2013-12-31T00:00:00"/>
    <x v="479"/>
    <x v="475"/>
    <x v="452"/>
    <n v="0"/>
    <x v="285"/>
    <x v="9"/>
    <x v="27"/>
  </r>
  <r>
    <x v="122"/>
    <x v="1"/>
    <d v="2014-12-31T00:00:00"/>
    <x v="480"/>
    <x v="476"/>
    <x v="453"/>
    <n v="0"/>
    <x v="286"/>
    <x v="9"/>
    <x v="27"/>
  </r>
  <r>
    <x v="122"/>
    <x v="2"/>
    <d v="2015-12-31T00:00:00"/>
    <x v="481"/>
    <x v="477"/>
    <x v="454"/>
    <n v="0"/>
    <x v="287"/>
    <x v="9"/>
    <x v="27"/>
  </r>
  <r>
    <x v="122"/>
    <x v="3"/>
    <d v="2016-12-31T00:00:00"/>
    <x v="482"/>
    <x v="478"/>
    <x v="455"/>
    <n v="0"/>
    <x v="288"/>
    <x v="9"/>
    <x v="27"/>
  </r>
  <r>
    <x v="123"/>
    <x v="0"/>
    <d v="2013-03-31T00:00:00"/>
    <x v="483"/>
    <x v="479"/>
    <x v="456"/>
    <n v="1153000000"/>
    <x v="289"/>
    <x v="2"/>
    <x v="31"/>
  </r>
  <r>
    <x v="123"/>
    <x v="1"/>
    <d v="2014-03-31T00:00:00"/>
    <x v="484"/>
    <x v="480"/>
    <x v="457"/>
    <n v="1125000000"/>
    <x v="290"/>
    <x v="2"/>
    <x v="31"/>
  </r>
  <r>
    <x v="123"/>
    <x v="2"/>
    <d v="2015-03-31T00:00:00"/>
    <x v="485"/>
    <x v="481"/>
    <x v="458"/>
    <n v="1094000000"/>
    <x v="173"/>
    <x v="2"/>
    <x v="31"/>
  </r>
  <r>
    <x v="123"/>
    <x v="3"/>
    <d v="2016-03-31T00:00:00"/>
    <x v="486"/>
    <x v="482"/>
    <x v="459"/>
    <n v="1109000000"/>
    <x v="291"/>
    <x v="2"/>
    <x v="31"/>
  </r>
  <r>
    <x v="124"/>
    <x v="0"/>
    <d v="2013-12-31T00:00:00"/>
    <x v="487"/>
    <x v="483"/>
    <x v="460"/>
    <n v="915000000"/>
    <x v="292"/>
    <x v="2"/>
    <x v="16"/>
  </r>
  <r>
    <x v="124"/>
    <x v="1"/>
    <d v="2014-12-31T00:00:00"/>
    <x v="488"/>
    <x v="484"/>
    <x v="461"/>
    <n v="983000000"/>
    <x v="248"/>
    <x v="2"/>
    <x v="16"/>
  </r>
  <r>
    <x v="124"/>
    <x v="2"/>
    <d v="2015-12-31T00:00:00"/>
    <x v="489"/>
    <x v="485"/>
    <x v="462"/>
    <n v="923000000"/>
    <x v="293"/>
    <x v="2"/>
    <x v="16"/>
  </r>
  <r>
    <x v="124"/>
    <x v="3"/>
    <d v="2016-12-31T00:00:00"/>
    <x v="490"/>
    <x v="486"/>
    <x v="463"/>
    <n v="1114000000"/>
    <x v="294"/>
    <x v="2"/>
    <x v="16"/>
  </r>
  <r>
    <x v="125"/>
    <x v="0"/>
    <d v="2012-12-31T00:00:00"/>
    <x v="491"/>
    <x v="487"/>
    <x v="387"/>
    <n v="0"/>
    <x v="4"/>
    <x v="8"/>
    <x v="17"/>
  </r>
  <r>
    <x v="125"/>
    <x v="1"/>
    <d v="2013-12-31T00:00:00"/>
    <x v="492"/>
    <x v="488"/>
    <x v="464"/>
    <n v="0"/>
    <x v="4"/>
    <x v="8"/>
    <x v="17"/>
  </r>
  <r>
    <x v="125"/>
    <x v="2"/>
    <d v="2014-12-31T00:00:00"/>
    <x v="493"/>
    <x v="489"/>
    <x v="465"/>
    <n v="0"/>
    <x v="4"/>
    <x v="8"/>
    <x v="17"/>
  </r>
  <r>
    <x v="125"/>
    <x v="3"/>
    <d v="2015-12-31T00:00:00"/>
    <x v="494"/>
    <x v="490"/>
    <x v="466"/>
    <n v="0"/>
    <x v="4"/>
    <x v="8"/>
    <x v="17"/>
  </r>
  <r>
    <x v="126"/>
    <x v="0"/>
    <d v="2013-12-31T00:00:00"/>
    <x v="495"/>
    <x v="491"/>
    <x v="467"/>
    <n v="0"/>
    <x v="295"/>
    <x v="5"/>
    <x v="11"/>
  </r>
  <r>
    <x v="126"/>
    <x v="1"/>
    <d v="2014-12-31T00:00:00"/>
    <x v="496"/>
    <x v="492"/>
    <x v="468"/>
    <n v="0"/>
    <x v="296"/>
    <x v="5"/>
    <x v="11"/>
  </r>
  <r>
    <x v="126"/>
    <x v="2"/>
    <d v="2015-12-31T00:00:00"/>
    <x v="497"/>
    <x v="493"/>
    <x v="469"/>
    <n v="0"/>
    <x v="297"/>
    <x v="5"/>
    <x v="11"/>
  </r>
  <r>
    <x v="126"/>
    <x v="3"/>
    <d v="2016-12-31T00:00:00"/>
    <x v="498"/>
    <x v="494"/>
    <x v="470"/>
    <n v="0"/>
    <x v="298"/>
    <x v="5"/>
    <x v="11"/>
  </r>
  <r>
    <x v="127"/>
    <x v="0"/>
    <d v="2012-12-31T00:00:00"/>
    <x v="499"/>
    <x v="495"/>
    <x v="442"/>
    <n v="0"/>
    <x v="299"/>
    <x v="0"/>
    <x v="68"/>
  </r>
  <r>
    <x v="127"/>
    <x v="1"/>
    <d v="2013-12-31T00:00:00"/>
    <x v="500"/>
    <x v="496"/>
    <x v="471"/>
    <n v="0"/>
    <x v="300"/>
    <x v="0"/>
    <x v="68"/>
  </r>
  <r>
    <x v="127"/>
    <x v="2"/>
    <d v="2014-12-31T00:00:00"/>
    <x v="501"/>
    <x v="497"/>
    <x v="472"/>
    <n v="0"/>
    <x v="301"/>
    <x v="0"/>
    <x v="68"/>
  </r>
  <r>
    <x v="127"/>
    <x v="3"/>
    <d v="2015-12-31T00:00:00"/>
    <x v="502"/>
    <x v="498"/>
    <x v="473"/>
    <n v="0"/>
    <x v="302"/>
    <x v="0"/>
    <x v="68"/>
  </r>
  <r>
    <x v="128"/>
    <x v="0"/>
    <d v="2012-12-31T00:00:00"/>
    <x v="503"/>
    <x v="499"/>
    <x v="474"/>
    <n v="0"/>
    <x v="303"/>
    <x v="5"/>
    <x v="11"/>
  </r>
  <r>
    <x v="128"/>
    <x v="1"/>
    <d v="2013-12-31T00:00:00"/>
    <x v="504"/>
    <x v="500"/>
    <x v="475"/>
    <n v="0"/>
    <x v="304"/>
    <x v="5"/>
    <x v="11"/>
  </r>
  <r>
    <x v="128"/>
    <x v="2"/>
    <d v="2014-12-31T00:00:00"/>
    <x v="505"/>
    <x v="501"/>
    <x v="476"/>
    <n v="0"/>
    <x v="305"/>
    <x v="5"/>
    <x v="11"/>
  </r>
  <r>
    <x v="128"/>
    <x v="3"/>
    <d v="2015-12-31T00:00:00"/>
    <x v="506"/>
    <x v="502"/>
    <x v="477"/>
    <n v="0"/>
    <x v="306"/>
    <x v="5"/>
    <x v="11"/>
  </r>
  <r>
    <x v="129"/>
    <x v="0"/>
    <d v="2013-06-30T00:00:00"/>
    <x v="507"/>
    <x v="503"/>
    <x v="478"/>
    <n v="0"/>
    <x v="4"/>
    <x v="4"/>
    <x v="56"/>
  </r>
  <r>
    <x v="129"/>
    <x v="1"/>
    <d v="2014-06-30T00:00:00"/>
    <x v="508"/>
    <x v="504"/>
    <x v="479"/>
    <n v="0"/>
    <x v="4"/>
    <x v="4"/>
    <x v="56"/>
  </r>
  <r>
    <x v="129"/>
    <x v="2"/>
    <d v="2015-06-30T00:00:00"/>
    <x v="509"/>
    <x v="505"/>
    <x v="480"/>
    <n v="0"/>
    <x v="4"/>
    <x v="4"/>
    <x v="56"/>
  </r>
  <r>
    <x v="129"/>
    <x v="3"/>
    <d v="2016-06-30T00:00:00"/>
    <x v="510"/>
    <x v="506"/>
    <x v="481"/>
    <n v="0"/>
    <x v="4"/>
    <x v="4"/>
    <x v="56"/>
  </r>
  <r>
    <x v="130"/>
    <x v="0"/>
    <d v="2012-12-31T00:00:00"/>
    <x v="511"/>
    <x v="507"/>
    <x v="482"/>
    <n v="198000000"/>
    <x v="4"/>
    <x v="8"/>
    <x v="63"/>
  </r>
  <r>
    <x v="130"/>
    <x v="1"/>
    <d v="2013-12-31T00:00:00"/>
    <x v="512"/>
    <x v="508"/>
    <x v="483"/>
    <n v="193000000"/>
    <x v="4"/>
    <x v="8"/>
    <x v="63"/>
  </r>
  <r>
    <x v="130"/>
    <x v="2"/>
    <d v="2014-12-31T00:00:00"/>
    <x v="513"/>
    <x v="509"/>
    <x v="484"/>
    <n v="227000000"/>
    <x v="4"/>
    <x v="8"/>
    <x v="63"/>
  </r>
  <r>
    <x v="130"/>
    <x v="3"/>
    <d v="2015-12-31T00:00:00"/>
    <x v="514"/>
    <x v="510"/>
    <x v="485"/>
    <n v="251000000"/>
    <x v="4"/>
    <x v="8"/>
    <x v="63"/>
  </r>
  <r>
    <x v="131"/>
    <x v="0"/>
    <d v="2013-09-30T00:00:00"/>
    <x v="515"/>
    <x v="511"/>
    <x v="486"/>
    <n v="0"/>
    <x v="4"/>
    <x v="0"/>
    <x v="53"/>
  </r>
  <r>
    <x v="131"/>
    <x v="1"/>
    <d v="2014-09-30T00:00:00"/>
    <x v="516"/>
    <x v="512"/>
    <x v="487"/>
    <n v="0"/>
    <x v="4"/>
    <x v="0"/>
    <x v="53"/>
  </r>
  <r>
    <x v="131"/>
    <x v="2"/>
    <d v="2015-09-30T00:00:00"/>
    <x v="517"/>
    <x v="513"/>
    <x v="488"/>
    <n v="0"/>
    <x v="4"/>
    <x v="0"/>
    <x v="53"/>
  </r>
  <r>
    <x v="131"/>
    <x v="3"/>
    <d v="2016-09-30T00:00:00"/>
    <x v="518"/>
    <x v="514"/>
    <x v="489"/>
    <n v="0"/>
    <x v="4"/>
    <x v="0"/>
    <x v="53"/>
  </r>
  <r>
    <x v="132"/>
    <x v="0"/>
    <d v="2012-12-31T00:00:00"/>
    <x v="519"/>
    <x v="515"/>
    <x v="490"/>
    <n v="0"/>
    <x v="307"/>
    <x v="9"/>
    <x v="27"/>
  </r>
  <r>
    <x v="132"/>
    <x v="1"/>
    <d v="2013-12-31T00:00:00"/>
    <x v="520"/>
    <x v="516"/>
    <x v="491"/>
    <n v="0"/>
    <x v="308"/>
    <x v="9"/>
    <x v="27"/>
  </r>
  <r>
    <x v="132"/>
    <x v="2"/>
    <d v="2014-12-31T00:00:00"/>
    <x v="521"/>
    <x v="517"/>
    <x v="492"/>
    <n v="0"/>
    <x v="309"/>
    <x v="9"/>
    <x v="27"/>
  </r>
  <r>
    <x v="132"/>
    <x v="3"/>
    <d v="2015-12-31T00:00:00"/>
    <x v="522"/>
    <x v="518"/>
    <x v="493"/>
    <n v="0"/>
    <x v="310"/>
    <x v="9"/>
    <x v="27"/>
  </r>
  <r>
    <x v="133"/>
    <x v="0"/>
    <d v="2012-12-31T00:00:00"/>
    <x v="523"/>
    <x v="519"/>
    <x v="494"/>
    <n v="0"/>
    <x v="4"/>
    <x v="7"/>
    <x v="14"/>
  </r>
  <r>
    <x v="133"/>
    <x v="1"/>
    <d v="2013-12-31T00:00:00"/>
    <x v="524"/>
    <x v="520"/>
    <x v="495"/>
    <n v="0"/>
    <x v="4"/>
    <x v="7"/>
    <x v="14"/>
  </r>
  <r>
    <x v="133"/>
    <x v="2"/>
    <d v="2014-12-31T00:00:00"/>
    <x v="525"/>
    <x v="521"/>
    <x v="496"/>
    <n v="0"/>
    <x v="4"/>
    <x v="7"/>
    <x v="14"/>
  </r>
  <r>
    <x v="133"/>
    <x v="3"/>
    <d v="2015-12-31T00:00:00"/>
    <x v="526"/>
    <x v="522"/>
    <x v="497"/>
    <n v="0"/>
    <x v="4"/>
    <x v="7"/>
    <x v="14"/>
  </r>
  <r>
    <x v="134"/>
    <x v="0"/>
    <d v="2012-12-31T00:00:00"/>
    <x v="527"/>
    <x v="523"/>
    <x v="498"/>
    <n v="0"/>
    <x v="311"/>
    <x v="7"/>
    <x v="14"/>
  </r>
  <r>
    <x v="134"/>
    <x v="1"/>
    <d v="2013-12-31T00:00:00"/>
    <x v="528"/>
    <x v="524"/>
    <x v="499"/>
    <n v="0"/>
    <x v="312"/>
    <x v="7"/>
    <x v="14"/>
  </r>
  <r>
    <x v="134"/>
    <x v="2"/>
    <d v="2014-12-31T00:00:00"/>
    <x v="529"/>
    <x v="525"/>
    <x v="500"/>
    <n v="0"/>
    <x v="313"/>
    <x v="7"/>
    <x v="14"/>
  </r>
  <r>
    <x v="134"/>
    <x v="3"/>
    <d v="2015-12-31T00:00:00"/>
    <x v="530"/>
    <x v="526"/>
    <x v="501"/>
    <n v="0"/>
    <x v="314"/>
    <x v="7"/>
    <x v="14"/>
  </r>
  <r>
    <x v="135"/>
    <x v="0"/>
    <d v="2013-12-31T00:00:00"/>
    <x v="531"/>
    <x v="527"/>
    <x v="502"/>
    <n v="0"/>
    <x v="315"/>
    <x v="9"/>
    <x v="27"/>
  </r>
  <r>
    <x v="135"/>
    <x v="1"/>
    <d v="2014-12-31T00:00:00"/>
    <x v="532"/>
    <x v="528"/>
    <x v="503"/>
    <n v="0"/>
    <x v="316"/>
    <x v="9"/>
    <x v="27"/>
  </r>
  <r>
    <x v="135"/>
    <x v="2"/>
    <d v="2015-12-31T00:00:00"/>
    <x v="533"/>
    <x v="529"/>
    <x v="504"/>
    <n v="0"/>
    <x v="317"/>
    <x v="9"/>
    <x v="27"/>
  </r>
  <r>
    <x v="135"/>
    <x v="3"/>
    <d v="2016-12-31T00:00:00"/>
    <x v="534"/>
    <x v="530"/>
    <x v="505"/>
    <n v="0"/>
    <x v="318"/>
    <x v="9"/>
    <x v="27"/>
  </r>
  <r>
    <x v="136"/>
    <x v="0"/>
    <d v="2012-12-31T00:00:00"/>
    <x v="535"/>
    <x v="531"/>
    <x v="506"/>
    <n v="0"/>
    <x v="319"/>
    <x v="5"/>
    <x v="10"/>
  </r>
  <r>
    <x v="136"/>
    <x v="1"/>
    <d v="2013-12-31T00:00:00"/>
    <x v="536"/>
    <x v="532"/>
    <x v="507"/>
    <n v="0"/>
    <x v="320"/>
    <x v="5"/>
    <x v="10"/>
  </r>
  <r>
    <x v="136"/>
    <x v="2"/>
    <d v="2014-12-31T00:00:00"/>
    <x v="537"/>
    <x v="533"/>
    <x v="508"/>
    <n v="0"/>
    <x v="321"/>
    <x v="5"/>
    <x v="10"/>
  </r>
  <r>
    <x v="136"/>
    <x v="3"/>
    <d v="2015-12-31T00:00:00"/>
    <x v="538"/>
    <x v="534"/>
    <x v="509"/>
    <n v="0"/>
    <x v="322"/>
    <x v="5"/>
    <x v="10"/>
  </r>
  <r>
    <x v="137"/>
    <x v="0"/>
    <d v="2012-12-31T00:00:00"/>
    <x v="539"/>
    <x v="535"/>
    <x v="510"/>
    <n v="0"/>
    <x v="323"/>
    <x v="7"/>
    <x v="70"/>
  </r>
  <r>
    <x v="137"/>
    <x v="1"/>
    <d v="2013-12-31T00:00:00"/>
    <x v="540"/>
    <x v="536"/>
    <x v="511"/>
    <n v="0"/>
    <x v="324"/>
    <x v="7"/>
    <x v="70"/>
  </r>
  <r>
    <x v="137"/>
    <x v="2"/>
    <d v="2014-12-31T00:00:00"/>
    <x v="541"/>
    <x v="537"/>
    <x v="512"/>
    <n v="0"/>
    <x v="325"/>
    <x v="7"/>
    <x v="70"/>
  </r>
  <r>
    <x v="137"/>
    <x v="3"/>
    <d v="2015-12-31T00:00:00"/>
    <x v="542"/>
    <x v="538"/>
    <x v="513"/>
    <n v="0"/>
    <x v="326"/>
    <x v="7"/>
    <x v="70"/>
  </r>
  <r>
    <x v="138"/>
    <x v="0"/>
    <d v="2012-12-31T00:00:00"/>
    <x v="543"/>
    <x v="454"/>
    <x v="514"/>
    <n v="0"/>
    <x v="327"/>
    <x v="6"/>
    <x v="71"/>
  </r>
  <r>
    <x v="138"/>
    <x v="1"/>
    <d v="2013-12-31T00:00:00"/>
    <x v="544"/>
    <x v="454"/>
    <x v="515"/>
    <n v="0"/>
    <x v="328"/>
    <x v="6"/>
    <x v="71"/>
  </r>
  <r>
    <x v="138"/>
    <x v="2"/>
    <d v="2014-12-31T00:00:00"/>
    <x v="545"/>
    <x v="454"/>
    <x v="516"/>
    <n v="0"/>
    <x v="292"/>
    <x v="6"/>
    <x v="71"/>
  </r>
  <r>
    <x v="138"/>
    <x v="3"/>
    <d v="2015-12-31T00:00:00"/>
    <x v="546"/>
    <x v="454"/>
    <x v="517"/>
    <n v="0"/>
    <x v="329"/>
    <x v="6"/>
    <x v="71"/>
  </r>
  <r>
    <x v="139"/>
    <x v="0"/>
    <d v="2012-12-31T00:00:00"/>
    <x v="547"/>
    <x v="539"/>
    <x v="518"/>
    <n v="439000000"/>
    <x v="4"/>
    <x v="0"/>
    <x v="53"/>
  </r>
  <r>
    <x v="139"/>
    <x v="1"/>
    <d v="2013-12-31T00:00:00"/>
    <x v="548"/>
    <x v="540"/>
    <x v="519"/>
    <n v="644000000"/>
    <x v="4"/>
    <x v="0"/>
    <x v="53"/>
  </r>
  <r>
    <x v="139"/>
    <x v="2"/>
    <d v="2014-12-31T00:00:00"/>
    <x v="549"/>
    <x v="541"/>
    <x v="520"/>
    <n v="647000000"/>
    <x v="4"/>
    <x v="0"/>
    <x v="53"/>
  </r>
  <r>
    <x v="139"/>
    <x v="3"/>
    <d v="2015-12-31T00:00:00"/>
    <x v="550"/>
    <x v="542"/>
    <x v="521"/>
    <n v="625000000"/>
    <x v="4"/>
    <x v="0"/>
    <x v="53"/>
  </r>
  <r>
    <x v="140"/>
    <x v="0"/>
    <d v="2012-12-31T00:00:00"/>
    <x v="551"/>
    <x v="543"/>
    <x v="522"/>
    <n v="0"/>
    <x v="330"/>
    <x v="5"/>
    <x v="11"/>
  </r>
  <r>
    <x v="140"/>
    <x v="1"/>
    <d v="2013-12-31T00:00:00"/>
    <x v="552"/>
    <x v="544"/>
    <x v="523"/>
    <n v="0"/>
    <x v="331"/>
    <x v="5"/>
    <x v="11"/>
  </r>
  <r>
    <x v="140"/>
    <x v="2"/>
    <d v="2014-12-31T00:00:00"/>
    <x v="553"/>
    <x v="545"/>
    <x v="524"/>
    <n v="0"/>
    <x v="332"/>
    <x v="5"/>
    <x v="11"/>
  </r>
  <r>
    <x v="140"/>
    <x v="3"/>
    <d v="2015-12-31T00:00:00"/>
    <x v="554"/>
    <x v="546"/>
    <x v="525"/>
    <n v="0"/>
    <x v="333"/>
    <x v="5"/>
    <x v="11"/>
  </r>
  <r>
    <x v="141"/>
    <x v="0"/>
    <d v="2012-12-31T00:00:00"/>
    <x v="555"/>
    <x v="547"/>
    <x v="526"/>
    <n v="291300000"/>
    <x v="4"/>
    <x v="3"/>
    <x v="5"/>
  </r>
  <r>
    <x v="141"/>
    <x v="1"/>
    <d v="2013-12-31T00:00:00"/>
    <x v="556"/>
    <x v="548"/>
    <x v="527"/>
    <n v="323000000"/>
    <x v="4"/>
    <x v="3"/>
    <x v="5"/>
  </r>
  <r>
    <x v="141"/>
    <x v="2"/>
    <d v="2014-12-31T00:00:00"/>
    <x v="557"/>
    <x v="549"/>
    <x v="528"/>
    <n v="346500000"/>
    <x v="4"/>
    <x v="3"/>
    <x v="5"/>
  </r>
  <r>
    <x v="141"/>
    <x v="3"/>
    <d v="2015-12-31T00:00:00"/>
    <x v="558"/>
    <x v="550"/>
    <x v="529"/>
    <n v="383100000"/>
    <x v="4"/>
    <x v="3"/>
    <x v="5"/>
  </r>
  <r>
    <x v="142"/>
    <x v="0"/>
    <d v="2013-12-31T00:00:00"/>
    <x v="559"/>
    <x v="551"/>
    <x v="118"/>
    <n v="0"/>
    <x v="334"/>
    <x v="5"/>
    <x v="10"/>
  </r>
  <r>
    <x v="142"/>
    <x v="1"/>
    <d v="2014-12-31T00:00:00"/>
    <x v="560"/>
    <x v="552"/>
    <x v="530"/>
    <n v="0"/>
    <x v="335"/>
    <x v="5"/>
    <x v="10"/>
  </r>
  <r>
    <x v="142"/>
    <x v="2"/>
    <d v="2015-12-31T00:00:00"/>
    <x v="561"/>
    <x v="553"/>
    <x v="531"/>
    <n v="0"/>
    <x v="336"/>
    <x v="5"/>
    <x v="10"/>
  </r>
  <r>
    <x v="142"/>
    <x v="3"/>
    <d v="2016-12-31T00:00:00"/>
    <x v="562"/>
    <x v="554"/>
    <x v="532"/>
    <n v="0"/>
    <x v="337"/>
    <x v="5"/>
    <x v="10"/>
  </r>
  <r>
    <x v="143"/>
    <x v="0"/>
    <d v="2012-12-31T00:00:00"/>
    <x v="563"/>
    <x v="555"/>
    <x v="533"/>
    <n v="0"/>
    <x v="338"/>
    <x v="0"/>
    <x v="49"/>
  </r>
  <r>
    <x v="143"/>
    <x v="1"/>
    <d v="2013-12-31T00:00:00"/>
    <x v="564"/>
    <x v="556"/>
    <x v="534"/>
    <n v="0"/>
    <x v="339"/>
    <x v="0"/>
    <x v="49"/>
  </r>
  <r>
    <x v="143"/>
    <x v="2"/>
    <d v="2014-12-31T00:00:00"/>
    <x v="565"/>
    <x v="557"/>
    <x v="535"/>
    <n v="0"/>
    <x v="340"/>
    <x v="0"/>
    <x v="49"/>
  </r>
  <r>
    <x v="143"/>
    <x v="3"/>
    <d v="2015-12-31T00:00:00"/>
    <x v="566"/>
    <x v="558"/>
    <x v="536"/>
    <n v="0"/>
    <x v="341"/>
    <x v="0"/>
    <x v="49"/>
  </r>
  <r>
    <x v="144"/>
    <x v="0"/>
    <d v="2013-12-31T00:00:00"/>
    <x v="567"/>
    <x v="559"/>
    <x v="537"/>
    <n v="0"/>
    <x v="342"/>
    <x v="1"/>
    <x v="24"/>
  </r>
  <r>
    <x v="144"/>
    <x v="1"/>
    <d v="2014-12-31T00:00:00"/>
    <x v="568"/>
    <x v="560"/>
    <x v="538"/>
    <n v="0"/>
    <x v="343"/>
    <x v="1"/>
    <x v="24"/>
  </r>
  <r>
    <x v="144"/>
    <x v="2"/>
    <d v="2015-12-31T00:00:00"/>
    <x v="569"/>
    <x v="561"/>
    <x v="539"/>
    <n v="0"/>
    <x v="344"/>
    <x v="1"/>
    <x v="24"/>
  </r>
  <r>
    <x v="144"/>
    <x v="3"/>
    <d v="2016-12-31T00:00:00"/>
    <x v="570"/>
    <x v="562"/>
    <x v="540"/>
    <n v="0"/>
    <x v="345"/>
    <x v="1"/>
    <x v="24"/>
  </r>
  <r>
    <x v="145"/>
    <x v="0"/>
    <d v="2012-12-31T00:00:00"/>
    <x v="571"/>
    <x v="563"/>
    <x v="541"/>
    <n v="0"/>
    <x v="346"/>
    <x v="7"/>
    <x v="23"/>
  </r>
  <r>
    <x v="145"/>
    <x v="1"/>
    <d v="2013-12-31T00:00:00"/>
    <x v="572"/>
    <x v="564"/>
    <x v="542"/>
    <n v="0"/>
    <x v="347"/>
    <x v="7"/>
    <x v="23"/>
  </r>
  <r>
    <x v="145"/>
    <x v="2"/>
    <d v="2014-12-31T00:00:00"/>
    <x v="573"/>
    <x v="565"/>
    <x v="543"/>
    <n v="0"/>
    <x v="348"/>
    <x v="7"/>
    <x v="23"/>
  </r>
  <r>
    <x v="145"/>
    <x v="3"/>
    <d v="2015-12-31T00:00:00"/>
    <x v="574"/>
    <x v="566"/>
    <x v="544"/>
    <n v="0"/>
    <x v="349"/>
    <x v="7"/>
    <x v="23"/>
  </r>
  <r>
    <x v="146"/>
    <x v="0"/>
    <d v="2013-12-31T00:00:00"/>
    <x v="575"/>
    <x v="567"/>
    <x v="545"/>
    <n v="0"/>
    <x v="4"/>
    <x v="1"/>
    <x v="72"/>
  </r>
  <r>
    <x v="146"/>
    <x v="1"/>
    <d v="2014-12-31T00:00:00"/>
    <x v="576"/>
    <x v="568"/>
    <x v="546"/>
    <n v="0"/>
    <x v="4"/>
    <x v="1"/>
    <x v="72"/>
  </r>
  <r>
    <x v="146"/>
    <x v="2"/>
    <d v="2015-12-31T00:00:00"/>
    <x v="577"/>
    <x v="569"/>
    <x v="547"/>
    <n v="0"/>
    <x v="4"/>
    <x v="1"/>
    <x v="72"/>
  </r>
  <r>
    <x v="146"/>
    <x v="3"/>
    <d v="2016-12-31T00:00:00"/>
    <x v="578"/>
    <x v="570"/>
    <x v="548"/>
    <n v="0"/>
    <x v="4"/>
    <x v="1"/>
    <x v="72"/>
  </r>
  <r>
    <x v="147"/>
    <x v="0"/>
    <d v="2013-12-31T00:00:00"/>
    <x v="579"/>
    <x v="571"/>
    <x v="549"/>
    <n v="0"/>
    <x v="4"/>
    <x v="0"/>
    <x v="18"/>
  </r>
  <r>
    <x v="147"/>
    <x v="1"/>
    <d v="2014-12-31T00:00:00"/>
    <x v="580"/>
    <x v="572"/>
    <x v="550"/>
    <n v="0"/>
    <x v="4"/>
    <x v="0"/>
    <x v="18"/>
  </r>
  <r>
    <x v="147"/>
    <x v="2"/>
    <d v="2015-12-31T00:00:00"/>
    <x v="581"/>
    <x v="573"/>
    <x v="551"/>
    <n v="0"/>
    <x v="4"/>
    <x v="0"/>
    <x v="18"/>
  </r>
  <r>
    <x v="147"/>
    <x v="3"/>
    <d v="2016-12-31T00:00:00"/>
    <x v="582"/>
    <x v="574"/>
    <x v="552"/>
    <n v="0"/>
    <x v="4"/>
    <x v="0"/>
    <x v="18"/>
  </r>
  <r>
    <x v="148"/>
    <x v="0"/>
    <d v="2013-12-31T00:00:00"/>
    <x v="583"/>
    <x v="575"/>
    <x v="553"/>
    <n v="1415000000"/>
    <x v="4"/>
    <x v="2"/>
    <x v="16"/>
  </r>
  <r>
    <x v="148"/>
    <x v="1"/>
    <d v="2014-12-31T00:00:00"/>
    <x v="584"/>
    <x v="576"/>
    <x v="554"/>
    <n v="2666000000"/>
    <x v="4"/>
    <x v="2"/>
    <x v="16"/>
  </r>
  <r>
    <x v="148"/>
    <x v="2"/>
    <d v="2015-12-31T00:00:00"/>
    <x v="585"/>
    <x v="577"/>
    <x v="555"/>
    <n v="4816000000"/>
    <x v="4"/>
    <x v="2"/>
    <x v="16"/>
  </r>
  <r>
    <x v="148"/>
    <x v="3"/>
    <d v="2016-12-31T00:00:00"/>
    <x v="586"/>
    <x v="578"/>
    <x v="556"/>
    <n v="5919000000"/>
    <x v="4"/>
    <x v="2"/>
    <x v="16"/>
  </r>
  <r>
    <x v="149"/>
    <x v="0"/>
    <d v="2012-12-31T00:00:00"/>
    <x v="587"/>
    <x v="579"/>
    <x v="557"/>
    <n v="0"/>
    <x v="350"/>
    <x v="0"/>
    <x v="18"/>
  </r>
  <r>
    <x v="149"/>
    <x v="1"/>
    <d v="2013-12-31T00:00:00"/>
    <x v="588"/>
    <x v="580"/>
    <x v="558"/>
    <n v="0"/>
    <x v="351"/>
    <x v="0"/>
    <x v="18"/>
  </r>
  <r>
    <x v="149"/>
    <x v="2"/>
    <d v="2014-12-31T00:00:00"/>
    <x v="589"/>
    <x v="581"/>
    <x v="559"/>
    <n v="0"/>
    <x v="352"/>
    <x v="0"/>
    <x v="18"/>
  </r>
  <r>
    <x v="149"/>
    <x v="3"/>
    <d v="2015-12-31T00:00:00"/>
    <x v="590"/>
    <x v="582"/>
    <x v="560"/>
    <n v="0"/>
    <x v="353"/>
    <x v="0"/>
    <x v="18"/>
  </r>
  <r>
    <x v="150"/>
    <x v="0"/>
    <d v="2012-12-31T00:00:00"/>
    <x v="591"/>
    <x v="583"/>
    <x v="561"/>
    <n v="285000000"/>
    <x v="4"/>
    <x v="8"/>
    <x v="73"/>
  </r>
  <r>
    <x v="150"/>
    <x v="1"/>
    <d v="2013-12-31T00:00:00"/>
    <x v="592"/>
    <x v="584"/>
    <x v="562"/>
    <n v="210000000"/>
    <x v="4"/>
    <x v="8"/>
    <x v="73"/>
  </r>
  <r>
    <x v="150"/>
    <x v="2"/>
    <d v="2014-12-31T00:00:00"/>
    <x v="593"/>
    <x v="585"/>
    <x v="563"/>
    <n v="126000000"/>
    <x v="4"/>
    <x v="8"/>
    <x v="73"/>
  </r>
  <r>
    <x v="150"/>
    <x v="3"/>
    <d v="2015-12-31T00:00:00"/>
    <x v="594"/>
    <x v="586"/>
    <x v="564"/>
    <n v="127000000"/>
    <x v="4"/>
    <x v="8"/>
    <x v="73"/>
  </r>
  <r>
    <x v="151"/>
    <x v="0"/>
    <d v="2013-05-31T00:00:00"/>
    <x v="595"/>
    <x v="587"/>
    <x v="565"/>
    <n v="0"/>
    <x v="354"/>
    <x v="0"/>
    <x v="49"/>
  </r>
  <r>
    <x v="151"/>
    <x v="1"/>
    <d v="2014-05-31T00:00:00"/>
    <x v="596"/>
    <x v="588"/>
    <x v="566"/>
    <n v="0"/>
    <x v="355"/>
    <x v="0"/>
    <x v="49"/>
  </r>
  <r>
    <x v="151"/>
    <x v="2"/>
    <d v="2015-05-31T00:00:00"/>
    <x v="597"/>
    <x v="589"/>
    <x v="567"/>
    <n v="0"/>
    <x v="356"/>
    <x v="0"/>
    <x v="49"/>
  </r>
  <r>
    <x v="151"/>
    <x v="3"/>
    <d v="2016-05-31T00:00:00"/>
    <x v="598"/>
    <x v="590"/>
    <x v="568"/>
    <n v="0"/>
    <x v="357"/>
    <x v="0"/>
    <x v="49"/>
  </r>
  <r>
    <x v="152"/>
    <x v="0"/>
    <d v="2012-12-31T00:00:00"/>
    <x v="599"/>
    <x v="591"/>
    <x v="569"/>
    <n v="0"/>
    <x v="358"/>
    <x v="5"/>
    <x v="11"/>
  </r>
  <r>
    <x v="152"/>
    <x v="1"/>
    <d v="2013-12-31T00:00:00"/>
    <x v="600"/>
    <x v="592"/>
    <x v="570"/>
    <n v="0"/>
    <x v="359"/>
    <x v="5"/>
    <x v="11"/>
  </r>
  <r>
    <x v="152"/>
    <x v="2"/>
    <d v="2014-12-31T00:00:00"/>
    <x v="601"/>
    <x v="593"/>
    <x v="571"/>
    <n v="0"/>
    <x v="360"/>
    <x v="5"/>
    <x v="11"/>
  </r>
  <r>
    <x v="152"/>
    <x v="3"/>
    <d v="2015-12-31T00:00:00"/>
    <x v="602"/>
    <x v="594"/>
    <x v="572"/>
    <n v="0"/>
    <x v="361"/>
    <x v="5"/>
    <x v="11"/>
  </r>
  <r>
    <x v="153"/>
    <x v="0"/>
    <d v="2013-09-30T00:00:00"/>
    <x v="603"/>
    <x v="595"/>
    <x v="573"/>
    <n v="209614000"/>
    <x v="4"/>
    <x v="2"/>
    <x v="57"/>
  </r>
  <r>
    <x v="153"/>
    <x v="1"/>
    <d v="2014-09-30T00:00:00"/>
    <x v="604"/>
    <x v="596"/>
    <x v="574"/>
    <n v="263792000"/>
    <x v="4"/>
    <x v="2"/>
    <x v="57"/>
  </r>
  <r>
    <x v="153"/>
    <x v="2"/>
    <d v="2015-09-30T00:00:00"/>
    <x v="605"/>
    <x v="597"/>
    <x v="575"/>
    <n v="296583000"/>
    <x v="4"/>
    <x v="2"/>
    <x v="57"/>
  </r>
  <r>
    <x v="153"/>
    <x v="3"/>
    <d v="2016-09-30T00:00:00"/>
    <x v="606"/>
    <x v="598"/>
    <x v="576"/>
    <n v="334227000"/>
    <x v="4"/>
    <x v="2"/>
    <x v="57"/>
  </r>
  <r>
    <x v="154"/>
    <x v="0"/>
    <d v="2012-12-31T00:00:00"/>
    <x v="607"/>
    <x v="599"/>
    <x v="577"/>
    <n v="0"/>
    <x v="4"/>
    <x v="2"/>
    <x v="16"/>
  </r>
  <r>
    <x v="154"/>
    <x v="1"/>
    <d v="2013-12-31T00:00:00"/>
    <x v="608"/>
    <x v="600"/>
    <x v="578"/>
    <n v="0"/>
    <x v="4"/>
    <x v="2"/>
    <x v="16"/>
  </r>
  <r>
    <x v="154"/>
    <x v="2"/>
    <d v="2014-12-31T00:00:00"/>
    <x v="609"/>
    <x v="601"/>
    <x v="579"/>
    <n v="0"/>
    <x v="4"/>
    <x v="2"/>
    <x v="16"/>
  </r>
  <r>
    <x v="154"/>
    <x v="3"/>
    <d v="2015-12-31T00:00:00"/>
    <x v="610"/>
    <x v="602"/>
    <x v="580"/>
    <n v="0"/>
    <x v="4"/>
    <x v="2"/>
    <x v="16"/>
  </r>
  <r>
    <x v="155"/>
    <x v="0"/>
    <d v="2012-12-31T00:00:00"/>
    <x v="611"/>
    <x v="603"/>
    <x v="581"/>
    <n v="0"/>
    <x v="4"/>
    <x v="2"/>
    <x v="16"/>
  </r>
  <r>
    <x v="155"/>
    <x v="1"/>
    <d v="2013-12-31T00:00:00"/>
    <x v="612"/>
    <x v="604"/>
    <x v="582"/>
    <n v="0"/>
    <x v="4"/>
    <x v="2"/>
    <x v="16"/>
  </r>
  <r>
    <x v="155"/>
    <x v="2"/>
    <d v="2014-12-31T00:00:00"/>
    <x v="613"/>
    <x v="605"/>
    <x v="583"/>
    <n v="0"/>
    <x v="4"/>
    <x v="2"/>
    <x v="16"/>
  </r>
  <r>
    <x v="155"/>
    <x v="3"/>
    <d v="2015-12-31T00:00:00"/>
    <x v="614"/>
    <x v="606"/>
    <x v="584"/>
    <n v="0"/>
    <x v="4"/>
    <x v="2"/>
    <x v="16"/>
  </r>
  <r>
    <x v="156"/>
    <x v="0"/>
    <d v="2013-02-02T00:00:00"/>
    <x v="615"/>
    <x v="607"/>
    <x v="585"/>
    <n v="0"/>
    <x v="362"/>
    <x v="1"/>
    <x v="74"/>
  </r>
  <r>
    <x v="156"/>
    <x v="1"/>
    <d v="2014-02-01T00:00:00"/>
    <x v="616"/>
    <x v="608"/>
    <x v="586"/>
    <n v="0"/>
    <x v="363"/>
    <x v="1"/>
    <x v="74"/>
  </r>
  <r>
    <x v="156"/>
    <x v="2"/>
    <d v="2015-01-31T00:00:00"/>
    <x v="617"/>
    <x v="609"/>
    <x v="587"/>
    <n v="0"/>
    <x v="364"/>
    <x v="1"/>
    <x v="74"/>
  </r>
  <r>
    <x v="156"/>
    <x v="3"/>
    <d v="2016-01-30T00:00:00"/>
    <x v="618"/>
    <x v="610"/>
    <x v="588"/>
    <n v="0"/>
    <x v="365"/>
    <x v="1"/>
    <x v="74"/>
  </r>
  <r>
    <x v="157"/>
    <x v="0"/>
    <d v="2012-12-31T00:00:00"/>
    <x v="619"/>
    <x v="611"/>
    <x v="589"/>
    <n v="137354000"/>
    <x v="4"/>
    <x v="2"/>
    <x v="75"/>
  </r>
  <r>
    <x v="157"/>
    <x v="1"/>
    <d v="2013-12-31T00:00:00"/>
    <x v="620"/>
    <x v="612"/>
    <x v="590"/>
    <n v="147696000"/>
    <x v="4"/>
    <x v="2"/>
    <x v="75"/>
  </r>
  <r>
    <x v="157"/>
    <x v="2"/>
    <d v="2014-12-31T00:00:00"/>
    <x v="621"/>
    <x v="613"/>
    <x v="591"/>
    <n v="142751000"/>
    <x v="4"/>
    <x v="2"/>
    <x v="75"/>
  </r>
  <r>
    <x v="157"/>
    <x v="3"/>
    <d v="2015-12-31T00:00:00"/>
    <x v="622"/>
    <x v="614"/>
    <x v="592"/>
    <n v="132892000"/>
    <x v="4"/>
    <x v="2"/>
    <x v="75"/>
  </r>
  <r>
    <x v="158"/>
    <x v="0"/>
    <d v="2013-12-31T00:00:00"/>
    <x v="623"/>
    <x v="615"/>
    <x v="593"/>
    <n v="0"/>
    <x v="4"/>
    <x v="0"/>
    <x v="76"/>
  </r>
  <r>
    <x v="158"/>
    <x v="1"/>
    <d v="2014-12-31T00:00:00"/>
    <x v="624"/>
    <x v="616"/>
    <x v="594"/>
    <n v="0"/>
    <x v="4"/>
    <x v="0"/>
    <x v="76"/>
  </r>
  <r>
    <x v="158"/>
    <x v="2"/>
    <d v="2015-12-31T00:00:00"/>
    <x v="625"/>
    <x v="617"/>
    <x v="595"/>
    <n v="0"/>
    <x v="4"/>
    <x v="0"/>
    <x v="76"/>
  </r>
  <r>
    <x v="158"/>
    <x v="3"/>
    <d v="2016-12-31T00:00:00"/>
    <x v="626"/>
    <x v="618"/>
    <x v="596"/>
    <n v="0"/>
    <x v="4"/>
    <x v="0"/>
    <x v="76"/>
  </r>
  <r>
    <x v="159"/>
    <x v="0"/>
    <d v="2013-12-31T00:00:00"/>
    <x v="627"/>
    <x v="619"/>
    <x v="597"/>
    <n v="0"/>
    <x v="4"/>
    <x v="0"/>
    <x v="52"/>
  </r>
  <r>
    <x v="159"/>
    <x v="1"/>
    <d v="2014-12-31T00:00:00"/>
    <x v="628"/>
    <x v="620"/>
    <x v="598"/>
    <n v="0"/>
    <x v="4"/>
    <x v="0"/>
    <x v="52"/>
  </r>
  <r>
    <x v="159"/>
    <x v="2"/>
    <d v="2015-12-31T00:00:00"/>
    <x v="629"/>
    <x v="621"/>
    <x v="599"/>
    <n v="0"/>
    <x v="4"/>
    <x v="0"/>
    <x v="52"/>
  </r>
  <r>
    <x v="159"/>
    <x v="3"/>
    <d v="2016-12-31T00:00:00"/>
    <x v="630"/>
    <x v="622"/>
    <x v="600"/>
    <n v="0"/>
    <x v="4"/>
    <x v="0"/>
    <x v="52"/>
  </r>
  <r>
    <x v="160"/>
    <x v="0"/>
    <d v="2012-12-31T00:00:00"/>
    <x v="631"/>
    <x v="623"/>
    <x v="601"/>
    <n v="112000000"/>
    <x v="4"/>
    <x v="8"/>
    <x v="63"/>
  </r>
  <r>
    <x v="160"/>
    <x v="1"/>
    <d v="2013-12-31T00:00:00"/>
    <x v="632"/>
    <x v="624"/>
    <x v="602"/>
    <n v="115600000"/>
    <x v="4"/>
    <x v="8"/>
    <x v="63"/>
  </r>
  <r>
    <x v="160"/>
    <x v="2"/>
    <d v="2014-12-31T00:00:00"/>
    <x v="633"/>
    <x v="625"/>
    <x v="603"/>
    <n v="126300000"/>
    <x v="4"/>
    <x v="8"/>
    <x v="63"/>
  </r>
  <r>
    <x v="160"/>
    <x v="3"/>
    <d v="2015-12-31T00:00:00"/>
    <x v="634"/>
    <x v="626"/>
    <x v="604"/>
    <n v="143700000"/>
    <x v="4"/>
    <x v="8"/>
    <x v="63"/>
  </r>
  <r>
    <x v="161"/>
    <x v="0"/>
    <d v="2013-12-31T00:00:00"/>
    <x v="635"/>
    <x v="627"/>
    <x v="605"/>
    <n v="0"/>
    <x v="366"/>
    <x v="7"/>
    <x v="77"/>
  </r>
  <r>
    <x v="161"/>
    <x v="1"/>
    <d v="2014-12-31T00:00:00"/>
    <x v="636"/>
    <x v="628"/>
    <x v="606"/>
    <n v="0"/>
    <x v="367"/>
    <x v="7"/>
    <x v="77"/>
  </r>
  <r>
    <x v="161"/>
    <x v="2"/>
    <d v="2015-12-31T00:00:00"/>
    <x v="637"/>
    <x v="629"/>
    <x v="607"/>
    <n v="0"/>
    <x v="368"/>
    <x v="7"/>
    <x v="77"/>
  </r>
  <r>
    <x v="161"/>
    <x v="3"/>
    <d v="2016-12-31T00:00:00"/>
    <x v="638"/>
    <x v="630"/>
    <x v="608"/>
    <n v="0"/>
    <x v="369"/>
    <x v="7"/>
    <x v="77"/>
  </r>
  <r>
    <x v="162"/>
    <x v="0"/>
    <d v="2012-12-31T00:00:00"/>
    <x v="639"/>
    <x v="631"/>
    <x v="609"/>
    <n v="132460000"/>
    <x v="4"/>
    <x v="2"/>
    <x v="7"/>
  </r>
  <r>
    <x v="162"/>
    <x v="1"/>
    <d v="2013-12-31T00:00:00"/>
    <x v="640"/>
    <x v="632"/>
    <x v="610"/>
    <n v="134300000"/>
    <x v="4"/>
    <x v="2"/>
    <x v="7"/>
  </r>
  <r>
    <x v="162"/>
    <x v="2"/>
    <d v="2014-12-31T00:00:00"/>
    <x v="641"/>
    <x v="633"/>
    <x v="611"/>
    <n v="143969000"/>
    <x v="4"/>
    <x v="2"/>
    <x v="7"/>
  </r>
  <r>
    <x v="162"/>
    <x v="3"/>
    <d v="2015-12-31T00:00:00"/>
    <x v="642"/>
    <x v="634"/>
    <x v="612"/>
    <n v="130593000"/>
    <x v="4"/>
    <x v="2"/>
    <x v="7"/>
  </r>
  <r>
    <x v="163"/>
    <x v="0"/>
    <d v="2012-12-31T00:00:00"/>
    <x v="643"/>
    <x v="454"/>
    <x v="613"/>
    <n v="0"/>
    <x v="370"/>
    <x v="10"/>
    <x v="61"/>
  </r>
  <r>
    <x v="163"/>
    <x v="1"/>
    <d v="2013-12-31T00:00:00"/>
    <x v="644"/>
    <x v="454"/>
    <x v="614"/>
    <n v="0"/>
    <x v="371"/>
    <x v="10"/>
    <x v="61"/>
  </r>
  <r>
    <x v="163"/>
    <x v="2"/>
    <d v="2014-12-31T00:00:00"/>
    <x v="645"/>
    <x v="454"/>
    <x v="615"/>
    <n v="0"/>
    <x v="372"/>
    <x v="10"/>
    <x v="61"/>
  </r>
  <r>
    <x v="163"/>
    <x v="3"/>
    <d v="2015-12-31T00:00:00"/>
    <x v="646"/>
    <x v="454"/>
    <x v="616"/>
    <n v="0"/>
    <x v="373"/>
    <x v="10"/>
    <x v="61"/>
  </r>
  <r>
    <x v="164"/>
    <x v="0"/>
    <d v="2013-12-31T00:00:00"/>
    <x v="647"/>
    <x v="635"/>
    <x v="617"/>
    <n v="0"/>
    <x v="4"/>
    <x v="0"/>
    <x v="30"/>
  </r>
  <r>
    <x v="164"/>
    <x v="1"/>
    <d v="2014-12-31T00:00:00"/>
    <x v="648"/>
    <x v="636"/>
    <x v="618"/>
    <n v="0"/>
    <x v="4"/>
    <x v="0"/>
    <x v="30"/>
  </r>
  <r>
    <x v="164"/>
    <x v="2"/>
    <d v="2015-12-31T00:00:00"/>
    <x v="649"/>
    <x v="637"/>
    <x v="619"/>
    <n v="0"/>
    <x v="4"/>
    <x v="0"/>
    <x v="30"/>
  </r>
  <r>
    <x v="164"/>
    <x v="3"/>
    <d v="2016-12-31T00:00:00"/>
    <x v="650"/>
    <x v="638"/>
    <x v="620"/>
    <n v="0"/>
    <x v="4"/>
    <x v="0"/>
    <x v="30"/>
  </r>
  <r>
    <x v="165"/>
    <x v="0"/>
    <d v="2012-12-31T00:00:00"/>
    <x v="651"/>
    <x v="639"/>
    <x v="621"/>
    <n v="0"/>
    <x v="374"/>
    <x v="7"/>
    <x v="77"/>
  </r>
  <r>
    <x v="165"/>
    <x v="1"/>
    <d v="2013-12-31T00:00:00"/>
    <x v="652"/>
    <x v="640"/>
    <x v="622"/>
    <n v="0"/>
    <x v="375"/>
    <x v="7"/>
    <x v="77"/>
  </r>
  <r>
    <x v="165"/>
    <x v="2"/>
    <d v="2014-12-31T00:00:00"/>
    <x v="653"/>
    <x v="641"/>
    <x v="623"/>
    <n v="0"/>
    <x v="376"/>
    <x v="7"/>
    <x v="77"/>
  </r>
  <r>
    <x v="165"/>
    <x v="3"/>
    <d v="2015-12-31T00:00:00"/>
    <x v="654"/>
    <x v="642"/>
    <x v="624"/>
    <n v="0"/>
    <x v="377"/>
    <x v="7"/>
    <x v="77"/>
  </r>
  <r>
    <x v="166"/>
    <x v="0"/>
    <d v="2012-12-31T00:00:00"/>
    <x v="655"/>
    <x v="643"/>
    <x v="625"/>
    <n v="1760000000"/>
    <x v="4"/>
    <x v="3"/>
    <x v="19"/>
  </r>
  <r>
    <x v="166"/>
    <x v="1"/>
    <d v="2013-12-31T00:00:00"/>
    <x v="656"/>
    <x v="644"/>
    <x v="626"/>
    <n v="2120000000"/>
    <x v="4"/>
    <x v="3"/>
    <x v="19"/>
  </r>
  <r>
    <x v="166"/>
    <x v="2"/>
    <d v="2014-12-31T00:00:00"/>
    <x v="657"/>
    <x v="645"/>
    <x v="627"/>
    <n v="2854000000"/>
    <x v="4"/>
    <x v="3"/>
    <x v="19"/>
  </r>
  <r>
    <x v="166"/>
    <x v="3"/>
    <d v="2015-12-31T00:00:00"/>
    <x v="658"/>
    <x v="646"/>
    <x v="628"/>
    <n v="3014000000"/>
    <x v="4"/>
    <x v="3"/>
    <x v="19"/>
  </r>
  <r>
    <x v="167"/>
    <x v="0"/>
    <d v="2013-05-26T00:00:00"/>
    <x v="659"/>
    <x v="647"/>
    <x v="629"/>
    <n v="0"/>
    <x v="4"/>
    <x v="4"/>
    <x v="40"/>
  </r>
  <r>
    <x v="167"/>
    <x v="1"/>
    <d v="2014-05-25T00:00:00"/>
    <x v="660"/>
    <x v="648"/>
    <x v="630"/>
    <n v="0"/>
    <x v="4"/>
    <x v="4"/>
    <x v="40"/>
  </r>
  <r>
    <x v="167"/>
    <x v="2"/>
    <d v="2015-05-31T00:00:00"/>
    <x v="661"/>
    <x v="649"/>
    <x v="356"/>
    <n v="0"/>
    <x v="4"/>
    <x v="4"/>
    <x v="40"/>
  </r>
  <r>
    <x v="167"/>
    <x v="3"/>
    <d v="2016-05-29T00:00:00"/>
    <x v="662"/>
    <x v="650"/>
    <x v="631"/>
    <n v="0"/>
    <x v="4"/>
    <x v="4"/>
    <x v="40"/>
  </r>
  <r>
    <x v="168"/>
    <x v="0"/>
    <d v="2013-12-31T00:00:00"/>
    <x v="663"/>
    <x v="651"/>
    <x v="632"/>
    <n v="710000000"/>
    <x v="378"/>
    <x v="2"/>
    <x v="29"/>
  </r>
  <r>
    <x v="168"/>
    <x v="1"/>
    <d v="2014-12-31T00:00:00"/>
    <x v="664"/>
    <x v="652"/>
    <x v="633"/>
    <n v="815000000"/>
    <x v="379"/>
    <x v="2"/>
    <x v="29"/>
  </r>
  <r>
    <x v="168"/>
    <x v="2"/>
    <d v="2015-12-31T00:00:00"/>
    <x v="665"/>
    <x v="653"/>
    <x v="634"/>
    <n v="769000000"/>
    <x v="380"/>
    <x v="2"/>
    <x v="29"/>
  </r>
  <r>
    <x v="168"/>
    <x v="3"/>
    <d v="2016-12-31T00:00:00"/>
    <x v="666"/>
    <x v="654"/>
    <x v="635"/>
    <n v="742000000"/>
    <x v="381"/>
    <x v="2"/>
    <x v="29"/>
  </r>
  <r>
    <x v="169"/>
    <x v="0"/>
    <d v="2013-12-31T00:00:00"/>
    <x v="667"/>
    <x v="655"/>
    <x v="636"/>
    <n v="0"/>
    <x v="4"/>
    <x v="1"/>
    <x v="72"/>
  </r>
  <r>
    <x v="169"/>
    <x v="1"/>
    <d v="2014-12-31T00:00:00"/>
    <x v="668"/>
    <x v="656"/>
    <x v="637"/>
    <n v="0"/>
    <x v="4"/>
    <x v="1"/>
    <x v="72"/>
  </r>
  <r>
    <x v="169"/>
    <x v="2"/>
    <d v="2015-12-31T00:00:00"/>
    <x v="669"/>
    <x v="657"/>
    <x v="638"/>
    <n v="0"/>
    <x v="4"/>
    <x v="1"/>
    <x v="72"/>
  </r>
  <r>
    <x v="169"/>
    <x v="3"/>
    <d v="2016-12-31T00:00:00"/>
    <x v="670"/>
    <x v="658"/>
    <x v="639"/>
    <n v="0"/>
    <x v="4"/>
    <x v="1"/>
    <x v="72"/>
  </r>
  <r>
    <x v="170"/>
    <x v="0"/>
    <d v="2012-12-31T00:00:00"/>
    <x v="671"/>
    <x v="659"/>
    <x v="640"/>
    <n v="0"/>
    <x v="382"/>
    <x v="1"/>
    <x v="25"/>
  </r>
  <r>
    <x v="170"/>
    <x v="1"/>
    <d v="2013-12-31T00:00:00"/>
    <x v="672"/>
    <x v="660"/>
    <x v="641"/>
    <n v="0"/>
    <x v="383"/>
    <x v="1"/>
    <x v="25"/>
  </r>
  <r>
    <x v="170"/>
    <x v="2"/>
    <d v="2014-12-31T00:00:00"/>
    <x v="673"/>
    <x v="661"/>
    <x v="642"/>
    <n v="0"/>
    <x v="384"/>
    <x v="1"/>
    <x v="25"/>
  </r>
  <r>
    <x v="170"/>
    <x v="3"/>
    <d v="2015-12-31T00:00:00"/>
    <x v="674"/>
    <x v="662"/>
    <x v="643"/>
    <n v="0"/>
    <x v="385"/>
    <x v="1"/>
    <x v="25"/>
  </r>
  <r>
    <x v="171"/>
    <x v="0"/>
    <d v="2013-05-31T00:00:00"/>
    <x v="675"/>
    <x v="663"/>
    <x v="644"/>
    <n v="0"/>
    <x v="4"/>
    <x v="2"/>
    <x v="9"/>
  </r>
  <r>
    <x v="171"/>
    <x v="1"/>
    <d v="2014-05-31T00:00:00"/>
    <x v="676"/>
    <x v="664"/>
    <x v="645"/>
    <n v="0"/>
    <x v="4"/>
    <x v="2"/>
    <x v="9"/>
  </r>
  <r>
    <x v="171"/>
    <x v="2"/>
    <d v="2015-05-31T00:00:00"/>
    <x v="677"/>
    <x v="665"/>
    <x v="646"/>
    <n v="0"/>
    <x v="4"/>
    <x v="2"/>
    <x v="9"/>
  </r>
  <r>
    <x v="171"/>
    <x v="3"/>
    <d v="2016-05-31T00:00:00"/>
    <x v="678"/>
    <x v="666"/>
    <x v="647"/>
    <n v="0"/>
    <x v="4"/>
    <x v="2"/>
    <x v="9"/>
  </r>
  <r>
    <x v="172"/>
    <x v="0"/>
    <d v="2013-02-02T00:00:00"/>
    <x v="679"/>
    <x v="667"/>
    <x v="52"/>
    <n v="0"/>
    <x v="4"/>
    <x v="1"/>
    <x v="74"/>
  </r>
  <r>
    <x v="172"/>
    <x v="1"/>
    <d v="2014-02-01T00:00:00"/>
    <x v="680"/>
    <x v="668"/>
    <x v="52"/>
    <n v="0"/>
    <x v="4"/>
    <x v="1"/>
    <x v="74"/>
  </r>
  <r>
    <x v="172"/>
    <x v="2"/>
    <d v="2015-01-31T00:00:00"/>
    <x v="681"/>
    <x v="669"/>
    <x v="52"/>
    <n v="0"/>
    <x v="4"/>
    <x v="1"/>
    <x v="74"/>
  </r>
  <r>
    <x v="172"/>
    <x v="3"/>
    <d v="2016-01-30T00:00:00"/>
    <x v="682"/>
    <x v="670"/>
    <x v="52"/>
    <n v="0"/>
    <x v="4"/>
    <x v="1"/>
    <x v="74"/>
  </r>
  <r>
    <x v="173"/>
    <x v="0"/>
    <d v="2012-12-29T00:00:00"/>
    <x v="683"/>
    <x v="671"/>
    <x v="648"/>
    <n v="325773000"/>
    <x v="4"/>
    <x v="1"/>
    <x v="78"/>
  </r>
  <r>
    <x v="173"/>
    <x v="1"/>
    <d v="2013-12-28T00:00:00"/>
    <x v="684"/>
    <x v="672"/>
    <x v="649"/>
    <n v="364923000"/>
    <x v="4"/>
    <x v="1"/>
    <x v="78"/>
  </r>
  <r>
    <x v="173"/>
    <x v="2"/>
    <d v="2014-12-27T00:00:00"/>
    <x v="685"/>
    <x v="673"/>
    <x v="650"/>
    <n v="395121000"/>
    <x v="4"/>
    <x v="1"/>
    <x v="78"/>
  </r>
  <r>
    <x v="173"/>
    <x v="3"/>
    <d v="2015-12-26T00:00:00"/>
    <x v="686"/>
    <x v="674"/>
    <x v="651"/>
    <n v="427043000"/>
    <x v="4"/>
    <x v="1"/>
    <x v="78"/>
  </r>
  <r>
    <x v="174"/>
    <x v="0"/>
    <d v="2013-12-31T00:00:00"/>
    <x v="687"/>
    <x v="675"/>
    <x v="652"/>
    <n v="0"/>
    <x v="4"/>
    <x v="1"/>
    <x v="79"/>
  </r>
  <r>
    <x v="174"/>
    <x v="1"/>
    <d v="2014-12-31T00:00:00"/>
    <x v="688"/>
    <x v="676"/>
    <x v="653"/>
    <n v="0"/>
    <x v="4"/>
    <x v="1"/>
    <x v="79"/>
  </r>
  <r>
    <x v="174"/>
    <x v="2"/>
    <d v="2015-12-31T00:00:00"/>
    <x v="689"/>
    <x v="677"/>
    <x v="654"/>
    <n v="0"/>
    <x v="4"/>
    <x v="1"/>
    <x v="79"/>
  </r>
  <r>
    <x v="174"/>
    <x v="3"/>
    <d v="2016-12-31T00:00:00"/>
    <x v="690"/>
    <x v="678"/>
    <x v="655"/>
    <n v="0"/>
    <x v="4"/>
    <x v="1"/>
    <x v="79"/>
  </r>
  <r>
    <x v="175"/>
    <x v="0"/>
    <d v="2012-12-31T00:00:00"/>
    <x v="691"/>
    <x v="679"/>
    <x v="656"/>
    <n v="0"/>
    <x v="4"/>
    <x v="0"/>
    <x v="80"/>
  </r>
  <r>
    <x v="175"/>
    <x v="1"/>
    <d v="2013-12-31T00:00:00"/>
    <x v="692"/>
    <x v="680"/>
    <x v="657"/>
    <n v="0"/>
    <x v="4"/>
    <x v="0"/>
    <x v="80"/>
  </r>
  <r>
    <x v="175"/>
    <x v="2"/>
    <d v="2014-12-31T00:00:00"/>
    <x v="693"/>
    <x v="681"/>
    <x v="658"/>
    <n v="0"/>
    <x v="4"/>
    <x v="0"/>
    <x v="80"/>
  </r>
  <r>
    <x v="175"/>
    <x v="3"/>
    <d v="2015-12-31T00:00:00"/>
    <x v="694"/>
    <x v="682"/>
    <x v="659"/>
    <n v="0"/>
    <x v="4"/>
    <x v="0"/>
    <x v="80"/>
  </r>
  <r>
    <x v="176"/>
    <x v="0"/>
    <d v="2013-12-31T00:00:00"/>
    <x v="695"/>
    <x v="683"/>
    <x v="116"/>
    <n v="0"/>
    <x v="4"/>
    <x v="9"/>
    <x v="37"/>
  </r>
  <r>
    <x v="176"/>
    <x v="1"/>
    <d v="2014-12-31T00:00:00"/>
    <x v="696"/>
    <x v="684"/>
    <x v="660"/>
    <n v="0"/>
    <x v="4"/>
    <x v="9"/>
    <x v="37"/>
  </r>
  <r>
    <x v="176"/>
    <x v="2"/>
    <d v="2015-12-31T00:00:00"/>
    <x v="697"/>
    <x v="685"/>
    <x v="661"/>
    <n v="0"/>
    <x v="4"/>
    <x v="9"/>
    <x v="37"/>
  </r>
  <r>
    <x v="176"/>
    <x v="3"/>
    <d v="2016-12-31T00:00:00"/>
    <x v="698"/>
    <x v="686"/>
    <x v="662"/>
    <n v="0"/>
    <x v="4"/>
    <x v="9"/>
    <x v="37"/>
  </r>
  <r>
    <x v="177"/>
    <x v="0"/>
    <d v="2013-06-30T00:00:00"/>
    <x v="699"/>
    <x v="687"/>
    <x v="663"/>
    <n v="0"/>
    <x v="4"/>
    <x v="1"/>
    <x v="78"/>
  </r>
  <r>
    <x v="177"/>
    <x v="1"/>
    <d v="2014-06-30T00:00:00"/>
    <x v="700"/>
    <x v="688"/>
    <x v="664"/>
    <n v="0"/>
    <x v="4"/>
    <x v="1"/>
    <x v="78"/>
  </r>
  <r>
    <x v="177"/>
    <x v="2"/>
    <d v="2015-06-30T00:00:00"/>
    <x v="701"/>
    <x v="689"/>
    <x v="665"/>
    <n v="0"/>
    <x v="4"/>
    <x v="1"/>
    <x v="78"/>
  </r>
  <r>
    <x v="177"/>
    <x v="3"/>
    <d v="2016-06-30T00:00:00"/>
    <x v="702"/>
    <x v="690"/>
    <x v="666"/>
    <n v="0"/>
    <x v="4"/>
    <x v="1"/>
    <x v="78"/>
  </r>
  <r>
    <x v="178"/>
    <x v="0"/>
    <d v="2012-12-31T00:00:00"/>
    <x v="703"/>
    <x v="691"/>
    <x v="667"/>
    <n v="201197000"/>
    <x v="386"/>
    <x v="1"/>
    <x v="81"/>
  </r>
  <r>
    <x v="178"/>
    <x v="1"/>
    <d v="2013-12-29T00:00:00"/>
    <x v="704"/>
    <x v="692"/>
    <x v="668"/>
    <n v="207591000"/>
    <x v="387"/>
    <x v="1"/>
    <x v="81"/>
  </r>
  <r>
    <x v="178"/>
    <x v="2"/>
    <d v="2014-12-28T00:00:00"/>
    <x v="705"/>
    <x v="693"/>
    <x v="669"/>
    <n v="222556000"/>
    <x v="388"/>
    <x v="1"/>
    <x v="81"/>
  </r>
  <r>
    <x v="178"/>
    <x v="3"/>
    <d v="2015-12-27T00:00:00"/>
    <x v="706"/>
    <x v="694"/>
    <x v="670"/>
    <n v="242944000"/>
    <x v="389"/>
    <x v="1"/>
    <x v="81"/>
  </r>
  <r>
    <x v="179"/>
    <x v="0"/>
    <d v="2012-12-31T00:00:00"/>
    <x v="707"/>
    <x v="695"/>
    <x v="671"/>
    <n v="0"/>
    <x v="390"/>
    <x v="6"/>
    <x v="35"/>
  </r>
  <r>
    <x v="179"/>
    <x v="1"/>
    <d v="2013-12-31T00:00:00"/>
    <x v="708"/>
    <x v="696"/>
    <x v="672"/>
    <n v="0"/>
    <x v="391"/>
    <x v="6"/>
    <x v="35"/>
  </r>
  <r>
    <x v="179"/>
    <x v="2"/>
    <d v="2014-12-31T00:00:00"/>
    <x v="709"/>
    <x v="697"/>
    <x v="673"/>
    <n v="0"/>
    <x v="392"/>
    <x v="6"/>
    <x v="35"/>
  </r>
  <r>
    <x v="179"/>
    <x v="3"/>
    <d v="2015-12-31T00:00:00"/>
    <x v="710"/>
    <x v="698"/>
    <x v="674"/>
    <n v="0"/>
    <x v="393"/>
    <x v="6"/>
    <x v="35"/>
  </r>
  <r>
    <x v="180"/>
    <x v="0"/>
    <d v="2013-12-28T00:00:00"/>
    <x v="711"/>
    <x v="699"/>
    <x v="675"/>
    <n v="0"/>
    <x v="4"/>
    <x v="1"/>
    <x v="82"/>
  </r>
  <r>
    <x v="180"/>
    <x v="1"/>
    <d v="2015-01-03T00:00:00"/>
    <x v="712"/>
    <x v="700"/>
    <x v="676"/>
    <n v="0"/>
    <x v="4"/>
    <x v="1"/>
    <x v="82"/>
  </r>
  <r>
    <x v="180"/>
    <x v="2"/>
    <d v="2016-01-02T00:00:00"/>
    <x v="713"/>
    <x v="701"/>
    <x v="677"/>
    <n v="0"/>
    <x v="4"/>
    <x v="1"/>
    <x v="82"/>
  </r>
  <r>
    <x v="180"/>
    <x v="3"/>
    <d v="2016-12-31T00:00:00"/>
    <x v="714"/>
    <x v="702"/>
    <x v="678"/>
    <n v="0"/>
    <x v="4"/>
    <x v="1"/>
    <x v="82"/>
  </r>
  <r>
    <x v="181"/>
    <x v="0"/>
    <d v="2012-12-31T00:00:00"/>
    <x v="715"/>
    <x v="703"/>
    <x v="679"/>
    <n v="0"/>
    <x v="394"/>
    <x v="3"/>
    <x v="65"/>
  </r>
  <r>
    <x v="181"/>
    <x v="1"/>
    <d v="2013-12-31T00:00:00"/>
    <x v="716"/>
    <x v="704"/>
    <x v="680"/>
    <n v="0"/>
    <x v="395"/>
    <x v="3"/>
    <x v="65"/>
  </r>
  <r>
    <x v="181"/>
    <x v="2"/>
    <d v="2014-12-31T00:00:00"/>
    <x v="717"/>
    <x v="705"/>
    <x v="681"/>
    <n v="0"/>
    <x v="396"/>
    <x v="3"/>
    <x v="65"/>
  </r>
  <r>
    <x v="181"/>
    <x v="3"/>
    <d v="2015-12-31T00:00:00"/>
    <x v="718"/>
    <x v="706"/>
    <x v="682"/>
    <n v="0"/>
    <x v="397"/>
    <x v="3"/>
    <x v="65"/>
  </r>
  <r>
    <x v="182"/>
    <x v="0"/>
    <d v="2012-12-31T00:00:00"/>
    <x v="719"/>
    <x v="707"/>
    <x v="683"/>
    <n v="0"/>
    <x v="398"/>
    <x v="7"/>
    <x v="14"/>
  </r>
  <r>
    <x v="182"/>
    <x v="1"/>
    <d v="2013-12-31T00:00:00"/>
    <x v="720"/>
    <x v="708"/>
    <x v="684"/>
    <n v="0"/>
    <x v="399"/>
    <x v="7"/>
    <x v="14"/>
  </r>
  <r>
    <x v="182"/>
    <x v="2"/>
    <d v="2014-12-31T00:00:00"/>
    <x v="721"/>
    <x v="709"/>
    <x v="685"/>
    <n v="0"/>
    <x v="400"/>
    <x v="7"/>
    <x v="14"/>
  </r>
  <r>
    <x v="182"/>
    <x v="3"/>
    <d v="2015-12-31T00:00:00"/>
    <x v="722"/>
    <x v="710"/>
    <x v="686"/>
    <n v="0"/>
    <x v="401"/>
    <x v="7"/>
    <x v="14"/>
  </r>
  <r>
    <x v="183"/>
    <x v="0"/>
    <d v="2013-12-31T00:00:00"/>
    <x v="723"/>
    <x v="454"/>
    <x v="687"/>
    <n v="0"/>
    <x v="402"/>
    <x v="7"/>
    <x v="14"/>
  </r>
  <r>
    <x v="183"/>
    <x v="1"/>
    <d v="2014-12-31T00:00:00"/>
    <x v="724"/>
    <x v="454"/>
    <x v="688"/>
    <n v="0"/>
    <x v="403"/>
    <x v="7"/>
    <x v="14"/>
  </r>
  <r>
    <x v="183"/>
    <x v="2"/>
    <d v="2015-12-31T00:00:00"/>
    <x v="725"/>
    <x v="454"/>
    <x v="689"/>
    <n v="0"/>
    <x v="404"/>
    <x v="7"/>
    <x v="14"/>
  </r>
  <r>
    <x v="183"/>
    <x v="3"/>
    <d v="2016-12-31T00:00:00"/>
    <x v="726"/>
    <x v="454"/>
    <x v="690"/>
    <n v="0"/>
    <x v="405"/>
    <x v="7"/>
    <x v="14"/>
  </r>
  <r>
    <x v="184"/>
    <x v="0"/>
    <d v="2013-02-03T00:00:00"/>
    <x v="727"/>
    <x v="711"/>
    <x v="691"/>
    <n v="0"/>
    <x v="406"/>
    <x v="1"/>
    <x v="83"/>
  </r>
  <r>
    <x v="184"/>
    <x v="1"/>
    <d v="2014-02-02T00:00:00"/>
    <x v="728"/>
    <x v="712"/>
    <x v="692"/>
    <n v="0"/>
    <x v="407"/>
    <x v="1"/>
    <x v="83"/>
  </r>
  <r>
    <x v="184"/>
    <x v="2"/>
    <d v="2015-02-01T00:00:00"/>
    <x v="729"/>
    <x v="713"/>
    <x v="693"/>
    <n v="0"/>
    <x v="408"/>
    <x v="1"/>
    <x v="83"/>
  </r>
  <r>
    <x v="184"/>
    <x v="3"/>
    <d v="2016-01-31T00:00:00"/>
    <x v="730"/>
    <x v="714"/>
    <x v="694"/>
    <n v="0"/>
    <x v="409"/>
    <x v="1"/>
    <x v="83"/>
  </r>
  <r>
    <x v="185"/>
    <x v="0"/>
    <d v="2012-12-31T00:00:00"/>
    <x v="731"/>
    <x v="715"/>
    <x v="632"/>
    <n v="0"/>
    <x v="410"/>
    <x v="9"/>
    <x v="48"/>
  </r>
  <r>
    <x v="185"/>
    <x v="1"/>
    <d v="2013-12-31T00:00:00"/>
    <x v="732"/>
    <x v="716"/>
    <x v="695"/>
    <n v="0"/>
    <x v="411"/>
    <x v="9"/>
    <x v="48"/>
  </r>
  <r>
    <x v="185"/>
    <x v="2"/>
    <d v="2014-12-31T00:00:00"/>
    <x v="186"/>
    <x v="174"/>
    <x v="696"/>
    <n v="0"/>
    <x v="412"/>
    <x v="9"/>
    <x v="48"/>
  </r>
  <r>
    <x v="185"/>
    <x v="3"/>
    <d v="2015-12-31T00:00:00"/>
    <x v="733"/>
    <x v="717"/>
    <x v="697"/>
    <n v="0"/>
    <x v="413"/>
    <x v="9"/>
    <x v="48"/>
  </r>
  <r>
    <x v="186"/>
    <x v="0"/>
    <d v="2012-12-31T00:00:00"/>
    <x v="734"/>
    <x v="718"/>
    <x v="52"/>
    <n v="0"/>
    <x v="414"/>
    <x v="6"/>
    <x v="13"/>
  </r>
  <r>
    <x v="186"/>
    <x v="1"/>
    <d v="2013-12-31T00:00:00"/>
    <x v="735"/>
    <x v="719"/>
    <x v="52"/>
    <n v="0"/>
    <x v="415"/>
    <x v="6"/>
    <x v="13"/>
  </r>
  <r>
    <x v="186"/>
    <x v="2"/>
    <d v="2014-12-31T00:00:00"/>
    <x v="736"/>
    <x v="720"/>
    <x v="52"/>
    <n v="0"/>
    <x v="416"/>
    <x v="6"/>
    <x v="13"/>
  </r>
  <r>
    <x v="186"/>
    <x v="3"/>
    <d v="2015-12-31T00:00:00"/>
    <x v="737"/>
    <x v="721"/>
    <x v="52"/>
    <n v="0"/>
    <x v="417"/>
    <x v="6"/>
    <x v="13"/>
  </r>
  <r>
    <x v="187"/>
    <x v="0"/>
    <d v="2012-12-31T00:00:00"/>
    <x v="738"/>
    <x v="722"/>
    <x v="698"/>
    <n v="0"/>
    <x v="4"/>
    <x v="1"/>
    <x v="84"/>
  </r>
  <r>
    <x v="187"/>
    <x v="1"/>
    <d v="2013-12-31T00:00:00"/>
    <x v="739"/>
    <x v="723"/>
    <x v="699"/>
    <n v="0"/>
    <x v="4"/>
    <x v="1"/>
    <x v="84"/>
  </r>
  <r>
    <x v="187"/>
    <x v="2"/>
    <d v="2014-12-31T00:00:00"/>
    <x v="740"/>
    <x v="724"/>
    <x v="700"/>
    <n v="0"/>
    <x v="4"/>
    <x v="1"/>
    <x v="84"/>
  </r>
  <r>
    <x v="187"/>
    <x v="3"/>
    <d v="2015-12-31T00:00:00"/>
    <x v="741"/>
    <x v="725"/>
    <x v="701"/>
    <n v="0"/>
    <x v="4"/>
    <x v="1"/>
    <x v="84"/>
  </r>
  <r>
    <x v="188"/>
    <x v="0"/>
    <d v="2013-09-28T00:00:00"/>
    <x v="742"/>
    <x v="726"/>
    <x v="702"/>
    <n v="197600000"/>
    <x v="418"/>
    <x v="3"/>
    <x v="5"/>
  </r>
  <r>
    <x v="188"/>
    <x v="1"/>
    <d v="2014-09-27T00:00:00"/>
    <x v="743"/>
    <x v="727"/>
    <x v="703"/>
    <n v="203200000"/>
    <x v="419"/>
    <x v="3"/>
    <x v="5"/>
  </r>
  <r>
    <x v="188"/>
    <x v="2"/>
    <d v="2015-09-26T00:00:00"/>
    <x v="744"/>
    <x v="728"/>
    <x v="704"/>
    <n v="214900000"/>
    <x v="420"/>
    <x v="3"/>
    <x v="5"/>
  </r>
  <r>
    <x v="188"/>
    <x v="3"/>
    <d v="2016-09-24T00:00:00"/>
    <x v="745"/>
    <x v="729"/>
    <x v="705"/>
    <n v="232100000"/>
    <x v="421"/>
    <x v="3"/>
    <x v="5"/>
  </r>
  <r>
    <x v="189"/>
    <x v="0"/>
    <d v="2013-12-31T00:00:00"/>
    <x v="746"/>
    <x v="436"/>
    <x v="706"/>
    <n v="0"/>
    <x v="4"/>
    <x v="0"/>
    <x v="53"/>
  </r>
  <r>
    <x v="189"/>
    <x v="1"/>
    <d v="2014-12-31T00:00:00"/>
    <x v="747"/>
    <x v="730"/>
    <x v="707"/>
    <n v="0"/>
    <x v="4"/>
    <x v="0"/>
    <x v="53"/>
  </r>
  <r>
    <x v="189"/>
    <x v="2"/>
    <d v="2015-12-31T00:00:00"/>
    <x v="748"/>
    <x v="731"/>
    <x v="708"/>
    <n v="0"/>
    <x v="4"/>
    <x v="0"/>
    <x v="53"/>
  </r>
  <r>
    <x v="189"/>
    <x v="3"/>
    <d v="2016-12-31T00:00:00"/>
    <x v="749"/>
    <x v="732"/>
    <x v="709"/>
    <n v="0"/>
    <x v="4"/>
    <x v="0"/>
    <x v="53"/>
  </r>
  <r>
    <x v="190"/>
    <x v="0"/>
    <d v="2013-09-30T00:00:00"/>
    <x v="750"/>
    <x v="733"/>
    <x v="710"/>
    <n v="15235000"/>
    <x v="422"/>
    <x v="9"/>
    <x v="85"/>
  </r>
  <r>
    <x v="190"/>
    <x v="1"/>
    <d v="2014-09-30T00:00:00"/>
    <x v="751"/>
    <x v="734"/>
    <x v="711"/>
    <n v="15905000"/>
    <x v="423"/>
    <x v="9"/>
    <x v="85"/>
  </r>
  <r>
    <x v="190"/>
    <x v="2"/>
    <d v="2015-09-30T00:00:00"/>
    <x v="752"/>
    <x v="735"/>
    <x v="712"/>
    <n v="16104000"/>
    <x v="424"/>
    <x v="9"/>
    <x v="85"/>
  </r>
  <r>
    <x v="190"/>
    <x v="3"/>
    <d v="2016-09-30T00:00:00"/>
    <x v="753"/>
    <x v="736"/>
    <x v="713"/>
    <n v="10269000"/>
    <x v="425"/>
    <x v="9"/>
    <x v="85"/>
  </r>
  <r>
    <x v="191"/>
    <x v="0"/>
    <d v="2014-10-31T00:00:00"/>
    <x v="754"/>
    <x v="737"/>
    <x v="714"/>
    <n v="2197000000"/>
    <x v="426"/>
    <x v="2"/>
    <x v="86"/>
  </r>
  <r>
    <x v="191"/>
    <x v="1"/>
    <d v="2015-10-31T00:00:00"/>
    <x v="755"/>
    <x v="738"/>
    <x v="715"/>
    <n v="2338000000"/>
    <x v="427"/>
    <x v="2"/>
    <x v="86"/>
  </r>
  <r>
    <x v="191"/>
    <x v="2"/>
    <d v="2016-10-31T00:00:00"/>
    <x v="756"/>
    <x v="739"/>
    <x v="716"/>
    <n v="2298000000"/>
    <x v="428"/>
    <x v="2"/>
    <x v="86"/>
  </r>
  <r>
    <x v="192"/>
    <x v="0"/>
    <d v="2013-10-31T00:00:00"/>
    <x v="757"/>
    <x v="740"/>
    <x v="717"/>
    <n v="3135000000"/>
    <x v="429"/>
    <x v="2"/>
    <x v="2"/>
  </r>
  <r>
    <x v="192"/>
    <x v="1"/>
    <d v="2014-10-31T00:00:00"/>
    <x v="758"/>
    <x v="741"/>
    <x v="718"/>
    <n v="1298000000"/>
    <x v="430"/>
    <x v="2"/>
    <x v="2"/>
  </r>
  <r>
    <x v="192"/>
    <x v="2"/>
    <d v="2015-10-31T00:00:00"/>
    <x v="759"/>
    <x v="742"/>
    <x v="719"/>
    <n v="1191000000"/>
    <x v="431"/>
    <x v="2"/>
    <x v="2"/>
  </r>
  <r>
    <x v="192"/>
    <x v="3"/>
    <d v="2016-10-31T00:00:00"/>
    <x v="760"/>
    <x v="743"/>
    <x v="720"/>
    <n v="1209000000"/>
    <x v="290"/>
    <x v="2"/>
    <x v="2"/>
  </r>
  <r>
    <x v="193"/>
    <x v="0"/>
    <d v="2013-04-30T00:00:00"/>
    <x v="761"/>
    <x v="744"/>
    <x v="721"/>
    <n v="0"/>
    <x v="432"/>
    <x v="6"/>
    <x v="34"/>
  </r>
  <r>
    <x v="193"/>
    <x v="1"/>
    <d v="2014-04-30T00:00:00"/>
    <x v="762"/>
    <x v="745"/>
    <x v="722"/>
    <n v="0"/>
    <x v="433"/>
    <x v="6"/>
    <x v="34"/>
  </r>
  <r>
    <x v="193"/>
    <x v="2"/>
    <d v="2015-04-30T00:00:00"/>
    <x v="763"/>
    <x v="746"/>
    <x v="723"/>
    <n v="0"/>
    <x v="434"/>
    <x v="6"/>
    <x v="34"/>
  </r>
  <r>
    <x v="193"/>
    <x v="3"/>
    <d v="2016-04-30T00:00:00"/>
    <x v="764"/>
    <x v="747"/>
    <x v="724"/>
    <n v="0"/>
    <x v="435"/>
    <x v="6"/>
    <x v="34"/>
  </r>
  <r>
    <x v="194"/>
    <x v="0"/>
    <d v="2013-10-27T00:00:00"/>
    <x v="765"/>
    <x v="748"/>
    <x v="725"/>
    <n v="0"/>
    <x v="4"/>
    <x v="4"/>
    <x v="40"/>
  </r>
  <r>
    <x v="194"/>
    <x v="1"/>
    <d v="2014-10-26T00:00:00"/>
    <x v="766"/>
    <x v="749"/>
    <x v="726"/>
    <n v="0"/>
    <x v="4"/>
    <x v="4"/>
    <x v="40"/>
  </r>
  <r>
    <x v="194"/>
    <x v="2"/>
    <d v="2015-10-31T00:00:00"/>
    <x v="767"/>
    <x v="750"/>
    <x v="727"/>
    <n v="0"/>
    <x v="4"/>
    <x v="4"/>
    <x v="40"/>
  </r>
  <r>
    <x v="194"/>
    <x v="3"/>
    <d v="2016-10-30T00:00:00"/>
    <x v="768"/>
    <x v="751"/>
    <x v="728"/>
    <n v="0"/>
    <x v="4"/>
    <x v="4"/>
    <x v="40"/>
  </r>
  <r>
    <x v="195"/>
    <x v="0"/>
    <d v="2013-06-28T00:00:00"/>
    <x v="769"/>
    <x v="752"/>
    <x v="729"/>
    <n v="0"/>
    <x v="4"/>
    <x v="2"/>
    <x v="87"/>
  </r>
  <r>
    <x v="195"/>
    <x v="1"/>
    <d v="2014-06-27T00:00:00"/>
    <x v="770"/>
    <x v="753"/>
    <x v="730"/>
    <n v="0"/>
    <x v="4"/>
    <x v="2"/>
    <x v="87"/>
  </r>
  <r>
    <x v="195"/>
    <x v="2"/>
    <d v="2015-07-03T00:00:00"/>
    <x v="771"/>
    <x v="754"/>
    <x v="731"/>
    <n v="0"/>
    <x v="4"/>
    <x v="2"/>
    <x v="87"/>
  </r>
  <r>
    <x v="195"/>
    <x v="3"/>
    <d v="2016-07-01T00:00:00"/>
    <x v="772"/>
    <x v="755"/>
    <x v="732"/>
    <n v="0"/>
    <x v="4"/>
    <x v="2"/>
    <x v="87"/>
  </r>
  <r>
    <x v="196"/>
    <x v="0"/>
    <d v="2012-12-29T00:00:00"/>
    <x v="773"/>
    <x v="756"/>
    <x v="733"/>
    <n v="0"/>
    <x v="4"/>
    <x v="3"/>
    <x v="4"/>
  </r>
  <r>
    <x v="196"/>
    <x v="1"/>
    <d v="2013-12-28T00:00:00"/>
    <x v="774"/>
    <x v="757"/>
    <x v="734"/>
    <n v="0"/>
    <x v="4"/>
    <x v="3"/>
    <x v="4"/>
  </r>
  <r>
    <x v="196"/>
    <x v="2"/>
    <d v="2014-12-27T00:00:00"/>
    <x v="775"/>
    <x v="758"/>
    <x v="735"/>
    <n v="0"/>
    <x v="4"/>
    <x v="3"/>
    <x v="4"/>
  </r>
  <r>
    <x v="196"/>
    <x v="3"/>
    <d v="2015-12-26T00:00:00"/>
    <x v="776"/>
    <x v="759"/>
    <x v="736"/>
    <n v="0"/>
    <x v="4"/>
    <x v="3"/>
    <x v="4"/>
  </r>
  <r>
    <x v="197"/>
    <x v="0"/>
    <d v="2012-12-31T00:00:00"/>
    <x v="777"/>
    <x v="760"/>
    <x v="737"/>
    <n v="0"/>
    <x v="436"/>
    <x v="7"/>
    <x v="14"/>
  </r>
  <r>
    <x v="197"/>
    <x v="1"/>
    <d v="2013-12-31T00:00:00"/>
    <x v="778"/>
    <x v="761"/>
    <x v="738"/>
    <n v="0"/>
    <x v="437"/>
    <x v="7"/>
    <x v="14"/>
  </r>
  <r>
    <x v="197"/>
    <x v="2"/>
    <d v="2014-12-31T00:00:00"/>
    <x v="779"/>
    <x v="762"/>
    <x v="739"/>
    <n v="0"/>
    <x v="438"/>
    <x v="7"/>
    <x v="14"/>
  </r>
  <r>
    <x v="197"/>
    <x v="3"/>
    <d v="2015-12-31T00:00:00"/>
    <x v="780"/>
    <x v="763"/>
    <x v="740"/>
    <n v="0"/>
    <x v="439"/>
    <x v="7"/>
    <x v="14"/>
  </r>
  <r>
    <x v="198"/>
    <x v="0"/>
    <d v="2012-12-31T00:00:00"/>
    <x v="781"/>
    <x v="764"/>
    <x v="741"/>
    <n v="0"/>
    <x v="4"/>
    <x v="4"/>
    <x v="40"/>
  </r>
  <r>
    <x v="198"/>
    <x v="1"/>
    <d v="2013-12-31T00:00:00"/>
    <x v="782"/>
    <x v="765"/>
    <x v="742"/>
    <n v="0"/>
    <x v="4"/>
    <x v="4"/>
    <x v="40"/>
  </r>
  <r>
    <x v="198"/>
    <x v="2"/>
    <d v="2014-12-31T00:00:00"/>
    <x v="783"/>
    <x v="766"/>
    <x v="743"/>
    <n v="0"/>
    <x v="4"/>
    <x v="4"/>
    <x v="40"/>
  </r>
  <r>
    <x v="198"/>
    <x v="3"/>
    <d v="2015-12-31T00:00:00"/>
    <x v="784"/>
    <x v="767"/>
    <x v="744"/>
    <n v="0"/>
    <x v="4"/>
    <x v="4"/>
    <x v="40"/>
  </r>
  <r>
    <x v="199"/>
    <x v="0"/>
    <d v="2013-12-31T00:00:00"/>
    <x v="785"/>
    <x v="768"/>
    <x v="52"/>
    <n v="0"/>
    <x v="440"/>
    <x v="3"/>
    <x v="26"/>
  </r>
  <r>
    <x v="199"/>
    <x v="1"/>
    <d v="2014-12-31T00:00:00"/>
    <x v="786"/>
    <x v="769"/>
    <x v="52"/>
    <n v="0"/>
    <x v="441"/>
    <x v="3"/>
    <x v="26"/>
  </r>
  <r>
    <x v="199"/>
    <x v="2"/>
    <d v="2015-12-31T00:00:00"/>
    <x v="787"/>
    <x v="770"/>
    <x v="52"/>
    <n v="0"/>
    <x v="442"/>
    <x v="3"/>
    <x v="26"/>
  </r>
  <r>
    <x v="199"/>
    <x v="3"/>
    <d v="2016-12-31T00:00:00"/>
    <x v="788"/>
    <x v="771"/>
    <x v="52"/>
    <n v="0"/>
    <x v="443"/>
    <x v="3"/>
    <x v="26"/>
  </r>
  <r>
    <x v="200"/>
    <x v="0"/>
    <d v="2012-12-31T00:00:00"/>
    <x v="789"/>
    <x v="772"/>
    <x v="745"/>
    <n v="5816000000"/>
    <x v="4"/>
    <x v="2"/>
    <x v="58"/>
  </r>
  <r>
    <x v="200"/>
    <x v="1"/>
    <d v="2013-12-31T00:00:00"/>
    <x v="790"/>
    <x v="773"/>
    <x v="746"/>
    <n v="5743000000"/>
    <x v="4"/>
    <x v="2"/>
    <x v="58"/>
  </r>
  <r>
    <x v="200"/>
    <x v="2"/>
    <d v="2014-12-31T00:00:00"/>
    <x v="791"/>
    <x v="774"/>
    <x v="747"/>
    <n v="5437000000"/>
    <x v="4"/>
    <x v="2"/>
    <x v="58"/>
  </r>
  <r>
    <x v="200"/>
    <x v="3"/>
    <d v="2015-12-31T00:00:00"/>
    <x v="792"/>
    <x v="775"/>
    <x v="748"/>
    <n v="5247000000"/>
    <x v="4"/>
    <x v="2"/>
    <x v="58"/>
  </r>
  <r>
    <x v="201"/>
    <x v="0"/>
    <d v="2012-12-31T00:00:00"/>
    <x v="793"/>
    <x v="776"/>
    <x v="749"/>
    <n v="82014000"/>
    <x v="4"/>
    <x v="3"/>
    <x v="5"/>
  </r>
  <r>
    <x v="201"/>
    <x v="1"/>
    <d v="2013-12-31T00:00:00"/>
    <x v="794"/>
    <x v="777"/>
    <x v="750"/>
    <n v="88003000"/>
    <x v="4"/>
    <x v="3"/>
    <x v="5"/>
  </r>
  <r>
    <x v="201"/>
    <x v="2"/>
    <d v="2014-12-31T00:00:00"/>
    <x v="795"/>
    <x v="778"/>
    <x v="751"/>
    <n v="98263000"/>
    <x v="4"/>
    <x v="3"/>
    <x v="5"/>
  </r>
  <r>
    <x v="201"/>
    <x v="3"/>
    <d v="2015-12-31T00:00:00"/>
    <x v="796"/>
    <x v="779"/>
    <x v="752"/>
    <n v="99681000"/>
    <x v="4"/>
    <x v="3"/>
    <x v="5"/>
  </r>
  <r>
    <x v="202"/>
    <x v="0"/>
    <d v="2012-12-31T00:00:00"/>
    <x v="797"/>
    <x v="780"/>
    <x v="753"/>
    <n v="233713000"/>
    <x v="4"/>
    <x v="8"/>
    <x v="17"/>
  </r>
  <r>
    <x v="202"/>
    <x v="1"/>
    <d v="2013-12-31T00:00:00"/>
    <x v="798"/>
    <x v="781"/>
    <x v="754"/>
    <n v="259838000"/>
    <x v="4"/>
    <x v="8"/>
    <x v="17"/>
  </r>
  <r>
    <x v="202"/>
    <x v="2"/>
    <d v="2014-12-31T00:00:00"/>
    <x v="799"/>
    <x v="782"/>
    <x v="755"/>
    <n v="253640000"/>
    <x v="4"/>
    <x v="8"/>
    <x v="17"/>
  </r>
  <r>
    <x v="202"/>
    <x v="3"/>
    <d v="2015-12-31T00:00:00"/>
    <x v="800"/>
    <x v="783"/>
    <x v="756"/>
    <n v="246101000"/>
    <x v="4"/>
    <x v="8"/>
    <x v="17"/>
  </r>
  <r>
    <x v="203"/>
    <x v="0"/>
    <d v="2013-12-29T00:00:00"/>
    <x v="801"/>
    <x v="784"/>
    <x v="757"/>
    <n v="276743000"/>
    <x v="4"/>
    <x v="3"/>
    <x v="88"/>
  </r>
  <r>
    <x v="203"/>
    <x v="1"/>
    <d v="2014-12-28T00:00:00"/>
    <x v="802"/>
    <x v="785"/>
    <x v="758"/>
    <n v="388055000"/>
    <x v="4"/>
    <x v="3"/>
    <x v="88"/>
  </r>
  <r>
    <x v="203"/>
    <x v="2"/>
    <d v="2016-01-03T00:00:00"/>
    <x v="803"/>
    <x v="786"/>
    <x v="759"/>
    <n v="401527000"/>
    <x v="4"/>
    <x v="3"/>
    <x v="88"/>
  </r>
  <r>
    <x v="203"/>
    <x v="3"/>
    <d v="2017-01-01T00:00:00"/>
    <x v="804"/>
    <x v="787"/>
    <x v="760"/>
    <n v="504415000"/>
    <x v="4"/>
    <x v="3"/>
    <x v="88"/>
  </r>
  <r>
    <x v="204"/>
    <x v="0"/>
    <d v="2013-12-28T00:00:00"/>
    <x v="805"/>
    <x v="788"/>
    <x v="761"/>
    <n v="10611000000"/>
    <x v="444"/>
    <x v="2"/>
    <x v="7"/>
  </r>
  <r>
    <x v="204"/>
    <x v="1"/>
    <d v="2014-12-27T00:00:00"/>
    <x v="806"/>
    <x v="789"/>
    <x v="762"/>
    <n v="11537000000"/>
    <x v="55"/>
    <x v="2"/>
    <x v="7"/>
  </r>
  <r>
    <x v="204"/>
    <x v="2"/>
    <d v="2015-12-26T00:00:00"/>
    <x v="807"/>
    <x v="790"/>
    <x v="763"/>
    <n v="12128000000"/>
    <x v="445"/>
    <x v="2"/>
    <x v="7"/>
  </r>
  <r>
    <x v="204"/>
    <x v="3"/>
    <d v="2016-12-31T00:00:00"/>
    <x v="808"/>
    <x v="791"/>
    <x v="764"/>
    <n v="12740000000"/>
    <x v="55"/>
    <x v="2"/>
    <x v="7"/>
  </r>
  <r>
    <x v="205"/>
    <x v="0"/>
    <d v="2013-07-31T00:00:00"/>
    <x v="809"/>
    <x v="792"/>
    <x v="765"/>
    <n v="647000000"/>
    <x v="289"/>
    <x v="2"/>
    <x v="16"/>
  </r>
  <r>
    <x v="205"/>
    <x v="1"/>
    <d v="2014-07-31T00:00:00"/>
    <x v="810"/>
    <x v="793"/>
    <x v="766"/>
    <n v="714000000"/>
    <x v="446"/>
    <x v="2"/>
    <x v="16"/>
  </r>
  <r>
    <x v="205"/>
    <x v="2"/>
    <d v="2015-07-31T00:00:00"/>
    <x v="811"/>
    <x v="794"/>
    <x v="767"/>
    <n v="798000000"/>
    <x v="447"/>
    <x v="2"/>
    <x v="16"/>
  </r>
  <r>
    <x v="205"/>
    <x v="3"/>
    <d v="2016-07-31T00:00:00"/>
    <x v="812"/>
    <x v="795"/>
    <x v="768"/>
    <n v="881000000"/>
    <x v="294"/>
    <x v="2"/>
    <x v="16"/>
  </r>
  <r>
    <x v="206"/>
    <x v="0"/>
    <d v="2012-12-31T00:00:00"/>
    <x v="813"/>
    <x v="796"/>
    <x v="769"/>
    <n v="0"/>
    <x v="448"/>
    <x v="8"/>
    <x v="32"/>
  </r>
  <r>
    <x v="206"/>
    <x v="1"/>
    <d v="2013-12-31T00:00:00"/>
    <x v="814"/>
    <x v="797"/>
    <x v="770"/>
    <n v="0"/>
    <x v="449"/>
    <x v="8"/>
    <x v="32"/>
  </r>
  <r>
    <x v="206"/>
    <x v="2"/>
    <d v="2014-12-31T00:00:00"/>
    <x v="815"/>
    <x v="798"/>
    <x v="771"/>
    <n v="0"/>
    <x v="189"/>
    <x v="8"/>
    <x v="32"/>
  </r>
  <r>
    <x v="206"/>
    <x v="3"/>
    <d v="2015-12-31T00:00:00"/>
    <x v="816"/>
    <x v="799"/>
    <x v="772"/>
    <n v="0"/>
    <x v="450"/>
    <x v="8"/>
    <x v="32"/>
  </r>
  <r>
    <x v="207"/>
    <x v="0"/>
    <d v="2012-12-31T00:00:00"/>
    <x v="817"/>
    <x v="454"/>
    <x v="773"/>
    <n v="0"/>
    <x v="4"/>
    <x v="1"/>
    <x v="89"/>
  </r>
  <r>
    <x v="207"/>
    <x v="1"/>
    <d v="2013-12-31T00:00:00"/>
    <x v="818"/>
    <x v="454"/>
    <x v="774"/>
    <n v="0"/>
    <x v="4"/>
    <x v="1"/>
    <x v="89"/>
  </r>
  <r>
    <x v="207"/>
    <x v="2"/>
    <d v="2014-12-31T00:00:00"/>
    <x v="819"/>
    <x v="454"/>
    <x v="775"/>
    <n v="0"/>
    <x v="4"/>
    <x v="1"/>
    <x v="89"/>
  </r>
  <r>
    <x v="207"/>
    <x v="3"/>
    <d v="2015-12-31T00:00:00"/>
    <x v="820"/>
    <x v="454"/>
    <x v="776"/>
    <n v="0"/>
    <x v="4"/>
    <x v="1"/>
    <x v="89"/>
  </r>
  <r>
    <x v="208"/>
    <x v="0"/>
    <d v="2012-12-31T00:00:00"/>
    <x v="821"/>
    <x v="800"/>
    <x v="777"/>
    <n v="0"/>
    <x v="451"/>
    <x v="7"/>
    <x v="14"/>
  </r>
  <r>
    <x v="208"/>
    <x v="1"/>
    <d v="2013-12-31T00:00:00"/>
    <x v="822"/>
    <x v="801"/>
    <x v="778"/>
    <n v="0"/>
    <x v="452"/>
    <x v="7"/>
    <x v="14"/>
  </r>
  <r>
    <x v="208"/>
    <x v="2"/>
    <d v="2014-12-31T00:00:00"/>
    <x v="823"/>
    <x v="802"/>
    <x v="779"/>
    <n v="0"/>
    <x v="453"/>
    <x v="7"/>
    <x v="14"/>
  </r>
  <r>
    <x v="208"/>
    <x v="3"/>
    <d v="2015-12-31T00:00:00"/>
    <x v="824"/>
    <x v="803"/>
    <x v="780"/>
    <n v="0"/>
    <x v="454"/>
    <x v="7"/>
    <x v="14"/>
  </r>
  <r>
    <x v="209"/>
    <x v="0"/>
    <d v="2013-12-31T00:00:00"/>
    <x v="825"/>
    <x v="804"/>
    <x v="781"/>
    <n v="167700000"/>
    <x v="4"/>
    <x v="3"/>
    <x v="5"/>
  </r>
  <r>
    <x v="209"/>
    <x v="1"/>
    <d v="2014-12-31T00:00:00"/>
    <x v="826"/>
    <x v="805"/>
    <x v="782"/>
    <n v="178000000"/>
    <x v="4"/>
    <x v="3"/>
    <x v="5"/>
  </r>
  <r>
    <x v="209"/>
    <x v="2"/>
    <d v="2015-12-31T00:00:00"/>
    <x v="827"/>
    <x v="806"/>
    <x v="783"/>
    <n v="197400000"/>
    <x v="4"/>
    <x v="3"/>
    <x v="5"/>
  </r>
  <r>
    <x v="209"/>
    <x v="3"/>
    <d v="2016-12-31T00:00:00"/>
    <x v="828"/>
    <x v="807"/>
    <x v="784"/>
    <n v="239600000"/>
    <x v="4"/>
    <x v="3"/>
    <x v="5"/>
  </r>
  <r>
    <x v="210"/>
    <x v="0"/>
    <d v="2013-12-31T00:00:00"/>
    <x v="829"/>
    <x v="808"/>
    <x v="653"/>
    <n v="0"/>
    <x v="455"/>
    <x v="0"/>
    <x v="52"/>
  </r>
  <r>
    <x v="210"/>
    <x v="1"/>
    <d v="2014-12-31T00:00:00"/>
    <x v="830"/>
    <x v="809"/>
    <x v="210"/>
    <n v="0"/>
    <x v="456"/>
    <x v="0"/>
    <x v="52"/>
  </r>
  <r>
    <x v="210"/>
    <x v="2"/>
    <d v="2015-12-31T00:00:00"/>
    <x v="831"/>
    <x v="810"/>
    <x v="785"/>
    <n v="0"/>
    <x v="80"/>
    <x v="0"/>
    <x v="52"/>
  </r>
  <r>
    <x v="210"/>
    <x v="3"/>
    <d v="2016-12-31T00:00:00"/>
    <x v="832"/>
    <x v="811"/>
    <x v="786"/>
    <n v="0"/>
    <x v="457"/>
    <x v="0"/>
    <x v="52"/>
  </r>
  <r>
    <x v="211"/>
    <x v="0"/>
    <d v="2012-12-31T00:00:00"/>
    <x v="833"/>
    <x v="454"/>
    <x v="787"/>
    <n v="0"/>
    <x v="4"/>
    <x v="6"/>
    <x v="22"/>
  </r>
  <r>
    <x v="211"/>
    <x v="1"/>
    <d v="2013-12-31T00:00:00"/>
    <x v="834"/>
    <x v="454"/>
    <x v="788"/>
    <n v="0"/>
    <x v="4"/>
    <x v="6"/>
    <x v="22"/>
  </r>
  <r>
    <x v="211"/>
    <x v="2"/>
    <d v="2014-12-31T00:00:00"/>
    <x v="835"/>
    <x v="454"/>
    <x v="789"/>
    <n v="0"/>
    <x v="4"/>
    <x v="6"/>
    <x v="22"/>
  </r>
  <r>
    <x v="211"/>
    <x v="3"/>
    <d v="2015-12-31T00:00:00"/>
    <x v="836"/>
    <x v="454"/>
    <x v="790"/>
    <n v="0"/>
    <x v="4"/>
    <x v="6"/>
    <x v="22"/>
  </r>
  <r>
    <x v="212"/>
    <x v="0"/>
    <d v="2012-12-31T00:00:00"/>
    <x v="837"/>
    <x v="812"/>
    <x v="791"/>
    <n v="0"/>
    <x v="458"/>
    <x v="0"/>
    <x v="90"/>
  </r>
  <r>
    <x v="212"/>
    <x v="1"/>
    <d v="2013-12-31T00:00:00"/>
    <x v="838"/>
    <x v="813"/>
    <x v="792"/>
    <n v="0"/>
    <x v="459"/>
    <x v="0"/>
    <x v="90"/>
  </r>
  <r>
    <x v="212"/>
    <x v="2"/>
    <d v="2014-12-31T00:00:00"/>
    <x v="839"/>
    <x v="814"/>
    <x v="793"/>
    <n v="0"/>
    <x v="460"/>
    <x v="0"/>
    <x v="90"/>
  </r>
  <r>
    <x v="212"/>
    <x v="3"/>
    <d v="2015-12-31T00:00:00"/>
    <x v="840"/>
    <x v="815"/>
    <x v="794"/>
    <n v="0"/>
    <x v="461"/>
    <x v="0"/>
    <x v="90"/>
  </r>
  <r>
    <x v="213"/>
    <x v="0"/>
    <d v="2013-09-27T00:00:00"/>
    <x v="841"/>
    <x v="816"/>
    <x v="795"/>
    <n v="0"/>
    <x v="4"/>
    <x v="0"/>
    <x v="53"/>
  </r>
  <r>
    <x v="213"/>
    <x v="1"/>
    <d v="2014-09-26T00:00:00"/>
    <x v="842"/>
    <x v="817"/>
    <x v="796"/>
    <n v="0"/>
    <x v="4"/>
    <x v="0"/>
    <x v="53"/>
  </r>
  <r>
    <x v="213"/>
    <x v="2"/>
    <d v="2015-10-02T00:00:00"/>
    <x v="843"/>
    <x v="818"/>
    <x v="797"/>
    <n v="0"/>
    <x v="4"/>
    <x v="0"/>
    <x v="53"/>
  </r>
  <r>
    <x v="213"/>
    <x v="3"/>
    <d v="2016-09-30T00:00:00"/>
    <x v="844"/>
    <x v="819"/>
    <x v="798"/>
    <n v="0"/>
    <x v="4"/>
    <x v="0"/>
    <x v="53"/>
  </r>
  <r>
    <x v="214"/>
    <x v="0"/>
    <d v="2012-12-31T00:00:00"/>
    <x v="845"/>
    <x v="820"/>
    <x v="799"/>
    <n v="1101600000"/>
    <x v="4"/>
    <x v="2"/>
    <x v="57"/>
  </r>
  <r>
    <x v="214"/>
    <x v="1"/>
    <d v="2013-12-31T00:00:00"/>
    <x v="846"/>
    <x v="821"/>
    <x v="800"/>
    <n v="1043200000"/>
    <x v="4"/>
    <x v="2"/>
    <x v="57"/>
  </r>
  <r>
    <x v="214"/>
    <x v="2"/>
    <d v="2014-12-31T00:00:00"/>
    <x v="847"/>
    <x v="822"/>
    <x v="801"/>
    <n v="1006200000"/>
    <x v="4"/>
    <x v="2"/>
    <x v="57"/>
  </r>
  <r>
    <x v="214"/>
    <x v="3"/>
    <d v="2015-12-31T00:00:00"/>
    <x v="848"/>
    <x v="823"/>
    <x v="802"/>
    <n v="994500000"/>
    <x v="4"/>
    <x v="2"/>
    <x v="57"/>
  </r>
  <r>
    <x v="215"/>
    <x v="0"/>
    <d v="2012-12-31T00:00:00"/>
    <x v="849"/>
    <x v="454"/>
    <x v="803"/>
    <n v="0"/>
    <x v="462"/>
    <x v="6"/>
    <x v="35"/>
  </r>
  <r>
    <x v="215"/>
    <x v="1"/>
    <d v="2013-12-31T00:00:00"/>
    <x v="850"/>
    <x v="454"/>
    <x v="804"/>
    <n v="0"/>
    <x v="463"/>
    <x v="6"/>
    <x v="35"/>
  </r>
  <r>
    <x v="215"/>
    <x v="2"/>
    <d v="2014-12-31T00:00:00"/>
    <x v="851"/>
    <x v="454"/>
    <x v="805"/>
    <n v="0"/>
    <x v="464"/>
    <x v="6"/>
    <x v="35"/>
  </r>
  <r>
    <x v="215"/>
    <x v="3"/>
    <d v="2015-12-31T00:00:00"/>
    <x v="852"/>
    <x v="454"/>
    <x v="806"/>
    <n v="0"/>
    <x v="465"/>
    <x v="6"/>
    <x v="35"/>
  </r>
  <r>
    <x v="216"/>
    <x v="0"/>
    <d v="2013-02-02T00:00:00"/>
    <x v="853"/>
    <x v="824"/>
    <x v="807"/>
    <n v="0"/>
    <x v="4"/>
    <x v="1"/>
    <x v="91"/>
  </r>
  <r>
    <x v="216"/>
    <x v="1"/>
    <d v="2014-02-01T00:00:00"/>
    <x v="854"/>
    <x v="825"/>
    <x v="808"/>
    <n v="0"/>
    <x v="4"/>
    <x v="1"/>
    <x v="91"/>
  </r>
  <r>
    <x v="216"/>
    <x v="2"/>
    <d v="2015-01-31T00:00:00"/>
    <x v="855"/>
    <x v="826"/>
    <x v="809"/>
    <n v="0"/>
    <x v="4"/>
    <x v="1"/>
    <x v="91"/>
  </r>
  <r>
    <x v="216"/>
    <x v="3"/>
    <d v="2016-01-30T00:00:00"/>
    <x v="856"/>
    <x v="827"/>
    <x v="810"/>
    <n v="0"/>
    <x v="4"/>
    <x v="1"/>
    <x v="91"/>
  </r>
  <r>
    <x v="217"/>
    <x v="0"/>
    <d v="2012-12-29T00:00:00"/>
    <x v="857"/>
    <x v="828"/>
    <x v="811"/>
    <n v="0"/>
    <x v="4"/>
    <x v="4"/>
    <x v="40"/>
  </r>
  <r>
    <x v="217"/>
    <x v="1"/>
    <d v="2013-12-28T00:00:00"/>
    <x v="858"/>
    <x v="829"/>
    <x v="812"/>
    <n v="0"/>
    <x v="4"/>
    <x v="4"/>
    <x v="40"/>
  </r>
  <r>
    <x v="217"/>
    <x v="2"/>
    <d v="2015-01-03T00:00:00"/>
    <x v="859"/>
    <x v="830"/>
    <x v="813"/>
    <n v="0"/>
    <x v="4"/>
    <x v="4"/>
    <x v="40"/>
  </r>
  <r>
    <x v="217"/>
    <x v="3"/>
    <d v="2016-01-02T00:00:00"/>
    <x v="860"/>
    <x v="831"/>
    <x v="814"/>
    <n v="0"/>
    <x v="4"/>
    <x v="4"/>
    <x v="40"/>
  </r>
  <r>
    <x v="218"/>
    <x v="0"/>
    <d v="2013-09-30T00:00:00"/>
    <x v="861"/>
    <x v="832"/>
    <x v="815"/>
    <n v="0"/>
    <x v="466"/>
    <x v="6"/>
    <x v="35"/>
  </r>
  <r>
    <x v="218"/>
    <x v="1"/>
    <d v="2014-09-30T00:00:00"/>
    <x v="862"/>
    <x v="833"/>
    <x v="816"/>
    <n v="0"/>
    <x v="467"/>
    <x v="6"/>
    <x v="35"/>
  </r>
  <r>
    <x v="218"/>
    <x v="2"/>
    <d v="2015-09-30T00:00:00"/>
    <x v="863"/>
    <x v="834"/>
    <x v="817"/>
    <n v="0"/>
    <x v="468"/>
    <x v="6"/>
    <x v="35"/>
  </r>
  <r>
    <x v="218"/>
    <x v="3"/>
    <d v="2016-09-30T00:00:00"/>
    <x v="864"/>
    <x v="835"/>
    <x v="818"/>
    <n v="0"/>
    <x v="469"/>
    <x v="6"/>
    <x v="35"/>
  </r>
  <r>
    <x v="219"/>
    <x v="0"/>
    <d v="2012-12-31T00:00:00"/>
    <x v="865"/>
    <x v="836"/>
    <x v="819"/>
    <n v="0"/>
    <x v="470"/>
    <x v="7"/>
    <x v="14"/>
  </r>
  <r>
    <x v="219"/>
    <x v="1"/>
    <d v="2013-12-31T00:00:00"/>
    <x v="866"/>
    <x v="837"/>
    <x v="820"/>
    <n v="0"/>
    <x v="471"/>
    <x v="7"/>
    <x v="14"/>
  </r>
  <r>
    <x v="219"/>
    <x v="2"/>
    <d v="2014-12-31T00:00:00"/>
    <x v="867"/>
    <x v="838"/>
    <x v="821"/>
    <n v="0"/>
    <x v="472"/>
    <x v="7"/>
    <x v="14"/>
  </r>
  <r>
    <x v="219"/>
    <x v="3"/>
    <d v="2015-12-31T00:00:00"/>
    <x v="868"/>
    <x v="839"/>
    <x v="822"/>
    <n v="0"/>
    <x v="473"/>
    <x v="7"/>
    <x v="14"/>
  </r>
  <r>
    <x v="220"/>
    <x v="0"/>
    <d v="2013-06-30T00:00:00"/>
    <x v="869"/>
    <x v="840"/>
    <x v="823"/>
    <n v="487832000"/>
    <x v="4"/>
    <x v="2"/>
    <x v="20"/>
  </r>
  <r>
    <x v="220"/>
    <x v="1"/>
    <d v="2014-06-30T00:00:00"/>
    <x v="870"/>
    <x v="841"/>
    <x v="824"/>
    <n v="539469000"/>
    <x v="4"/>
    <x v="2"/>
    <x v="20"/>
  </r>
  <r>
    <x v="220"/>
    <x v="2"/>
    <d v="2015-06-30T00:00:00"/>
    <x v="871"/>
    <x v="842"/>
    <x v="825"/>
    <n v="530616000"/>
    <x v="4"/>
    <x v="2"/>
    <x v="20"/>
  </r>
  <r>
    <x v="220"/>
    <x v="3"/>
    <d v="2016-06-30T00:00:00"/>
    <x v="872"/>
    <x v="843"/>
    <x v="826"/>
    <n v="481258000"/>
    <x v="4"/>
    <x v="2"/>
    <x v="20"/>
  </r>
  <r>
    <x v="221"/>
    <x v="0"/>
    <d v="2013-12-31T00:00:00"/>
    <x v="873"/>
    <x v="844"/>
    <x v="827"/>
    <n v="0"/>
    <x v="4"/>
    <x v="4"/>
    <x v="47"/>
  </r>
  <r>
    <x v="221"/>
    <x v="1"/>
    <d v="2014-12-31T00:00:00"/>
    <x v="874"/>
    <x v="845"/>
    <x v="828"/>
    <n v="0"/>
    <x v="4"/>
    <x v="4"/>
    <x v="47"/>
  </r>
  <r>
    <x v="221"/>
    <x v="2"/>
    <d v="2015-12-31T00:00:00"/>
    <x v="875"/>
    <x v="846"/>
    <x v="829"/>
    <n v="0"/>
    <x v="4"/>
    <x v="4"/>
    <x v="47"/>
  </r>
  <r>
    <x v="221"/>
    <x v="3"/>
    <d v="2016-12-31T00:00:00"/>
    <x v="876"/>
    <x v="847"/>
    <x v="830"/>
    <n v="0"/>
    <x v="4"/>
    <x v="4"/>
    <x v="47"/>
  </r>
  <r>
    <x v="222"/>
    <x v="0"/>
    <d v="2013-12-31T00:00:00"/>
    <x v="877"/>
    <x v="848"/>
    <x v="831"/>
    <n v="0"/>
    <x v="474"/>
    <x v="9"/>
    <x v="92"/>
  </r>
  <r>
    <x v="222"/>
    <x v="1"/>
    <d v="2014-12-31T00:00:00"/>
    <x v="878"/>
    <x v="849"/>
    <x v="832"/>
    <n v="0"/>
    <x v="475"/>
    <x v="9"/>
    <x v="92"/>
  </r>
  <r>
    <x v="222"/>
    <x v="2"/>
    <d v="2015-12-31T00:00:00"/>
    <x v="879"/>
    <x v="850"/>
    <x v="632"/>
    <n v="0"/>
    <x v="476"/>
    <x v="9"/>
    <x v="92"/>
  </r>
  <r>
    <x v="222"/>
    <x v="3"/>
    <d v="2016-12-31T00:00:00"/>
    <x v="880"/>
    <x v="851"/>
    <x v="833"/>
    <n v="0"/>
    <x v="477"/>
    <x v="9"/>
    <x v="92"/>
  </r>
  <r>
    <x v="223"/>
    <x v="0"/>
    <d v="2013-02-28T00:00:00"/>
    <x v="881"/>
    <x v="852"/>
    <x v="834"/>
    <n v="0"/>
    <x v="4"/>
    <x v="1"/>
    <x v="25"/>
  </r>
  <r>
    <x v="223"/>
    <x v="1"/>
    <d v="2014-02-28T00:00:00"/>
    <x v="882"/>
    <x v="853"/>
    <x v="835"/>
    <n v="0"/>
    <x v="4"/>
    <x v="1"/>
    <x v="25"/>
  </r>
  <r>
    <x v="223"/>
    <x v="2"/>
    <d v="2015-02-28T00:00:00"/>
    <x v="883"/>
    <x v="854"/>
    <x v="836"/>
    <n v="0"/>
    <x v="4"/>
    <x v="1"/>
    <x v="25"/>
  </r>
  <r>
    <x v="223"/>
    <x v="3"/>
    <d v="2016-02-29T00:00:00"/>
    <x v="884"/>
    <x v="855"/>
    <x v="837"/>
    <n v="0"/>
    <x v="4"/>
    <x v="1"/>
    <x v="25"/>
  </r>
  <r>
    <x v="224"/>
    <x v="0"/>
    <d v="2012-12-31T00:00:00"/>
    <x v="885"/>
    <x v="856"/>
    <x v="838"/>
    <n v="0"/>
    <x v="4"/>
    <x v="4"/>
    <x v="69"/>
  </r>
  <r>
    <x v="224"/>
    <x v="1"/>
    <d v="2013-12-31T00:00:00"/>
    <x v="886"/>
    <x v="857"/>
    <x v="839"/>
    <n v="0"/>
    <x v="4"/>
    <x v="4"/>
    <x v="69"/>
  </r>
  <r>
    <x v="224"/>
    <x v="2"/>
    <d v="2014-12-31T00:00:00"/>
    <x v="887"/>
    <x v="858"/>
    <x v="840"/>
    <n v="0"/>
    <x v="4"/>
    <x v="4"/>
    <x v="69"/>
  </r>
  <r>
    <x v="224"/>
    <x v="3"/>
    <d v="2015-12-31T00:00:00"/>
    <x v="888"/>
    <x v="859"/>
    <x v="841"/>
    <n v="0"/>
    <x v="4"/>
    <x v="4"/>
    <x v="69"/>
  </r>
  <r>
    <x v="225"/>
    <x v="0"/>
    <d v="2013-03-30T00:00:00"/>
    <x v="889"/>
    <x v="860"/>
    <x v="842"/>
    <n v="0"/>
    <x v="478"/>
    <x v="1"/>
    <x v="82"/>
  </r>
  <r>
    <x v="225"/>
    <x v="1"/>
    <d v="2014-03-29T00:00:00"/>
    <x v="890"/>
    <x v="861"/>
    <x v="843"/>
    <n v="0"/>
    <x v="479"/>
    <x v="1"/>
    <x v="82"/>
  </r>
  <r>
    <x v="225"/>
    <x v="2"/>
    <d v="2015-03-28T00:00:00"/>
    <x v="891"/>
    <x v="862"/>
    <x v="844"/>
    <n v="0"/>
    <x v="480"/>
    <x v="1"/>
    <x v="82"/>
  </r>
  <r>
    <x v="225"/>
    <x v="3"/>
    <d v="2016-04-02T00:00:00"/>
    <x v="892"/>
    <x v="863"/>
    <x v="845"/>
    <n v="0"/>
    <x v="481"/>
    <x v="1"/>
    <x v="82"/>
  </r>
  <r>
    <x v="226"/>
    <x v="0"/>
    <d v="2013-02-02T00:00:00"/>
    <x v="893"/>
    <x v="864"/>
    <x v="846"/>
    <n v="0"/>
    <x v="482"/>
    <x v="4"/>
    <x v="93"/>
  </r>
  <r>
    <x v="226"/>
    <x v="1"/>
    <d v="2014-02-01T00:00:00"/>
    <x v="894"/>
    <x v="865"/>
    <x v="847"/>
    <n v="0"/>
    <x v="483"/>
    <x v="4"/>
    <x v="93"/>
  </r>
  <r>
    <x v="226"/>
    <x v="2"/>
    <d v="2015-01-31T00:00:00"/>
    <x v="895"/>
    <x v="866"/>
    <x v="848"/>
    <n v="0"/>
    <x v="484"/>
    <x v="4"/>
    <x v="93"/>
  </r>
  <r>
    <x v="226"/>
    <x v="3"/>
    <d v="2016-01-30T00:00:00"/>
    <x v="896"/>
    <x v="867"/>
    <x v="849"/>
    <n v="0"/>
    <x v="485"/>
    <x v="4"/>
    <x v="93"/>
  </r>
  <r>
    <x v="227"/>
    <x v="0"/>
    <d v="2013-02-02T00:00:00"/>
    <x v="897"/>
    <x v="868"/>
    <x v="850"/>
    <n v="0"/>
    <x v="486"/>
    <x v="1"/>
    <x v="64"/>
  </r>
  <r>
    <x v="227"/>
    <x v="1"/>
    <d v="2014-02-01T00:00:00"/>
    <x v="898"/>
    <x v="869"/>
    <x v="851"/>
    <n v="0"/>
    <x v="487"/>
    <x v="1"/>
    <x v="64"/>
  </r>
  <r>
    <x v="227"/>
    <x v="2"/>
    <d v="2015-01-31T00:00:00"/>
    <x v="899"/>
    <x v="870"/>
    <x v="852"/>
    <n v="0"/>
    <x v="488"/>
    <x v="1"/>
    <x v="64"/>
  </r>
  <r>
    <x v="227"/>
    <x v="3"/>
    <d v="2016-01-30T00:00:00"/>
    <x v="900"/>
    <x v="871"/>
    <x v="853"/>
    <n v="0"/>
    <x v="489"/>
    <x v="1"/>
    <x v="64"/>
  </r>
  <r>
    <x v="228"/>
    <x v="0"/>
    <d v="2013-12-31T00:00:00"/>
    <x v="901"/>
    <x v="872"/>
    <x v="854"/>
    <n v="0"/>
    <x v="490"/>
    <x v="0"/>
    <x v="59"/>
  </r>
  <r>
    <x v="228"/>
    <x v="1"/>
    <d v="2014-12-31T00:00:00"/>
    <x v="902"/>
    <x v="873"/>
    <x v="855"/>
    <n v="0"/>
    <x v="491"/>
    <x v="0"/>
    <x v="59"/>
  </r>
  <r>
    <x v="228"/>
    <x v="2"/>
    <d v="2015-12-31T00:00:00"/>
    <x v="903"/>
    <x v="874"/>
    <x v="856"/>
    <n v="0"/>
    <x v="492"/>
    <x v="0"/>
    <x v="59"/>
  </r>
  <r>
    <x v="228"/>
    <x v="3"/>
    <d v="2016-12-31T00:00:00"/>
    <x v="904"/>
    <x v="875"/>
    <x v="857"/>
    <n v="0"/>
    <x v="493"/>
    <x v="0"/>
    <x v="59"/>
  </r>
  <r>
    <x v="229"/>
    <x v="0"/>
    <d v="2013-02-02T00:00:00"/>
    <x v="905"/>
    <x v="876"/>
    <x v="858"/>
    <n v="0"/>
    <x v="4"/>
    <x v="1"/>
    <x v="74"/>
  </r>
  <r>
    <x v="229"/>
    <x v="1"/>
    <d v="2014-02-01T00:00:00"/>
    <x v="906"/>
    <x v="877"/>
    <x v="859"/>
    <n v="0"/>
    <x v="4"/>
    <x v="1"/>
    <x v="74"/>
  </r>
  <r>
    <x v="229"/>
    <x v="2"/>
    <d v="2015-01-31T00:00:00"/>
    <x v="907"/>
    <x v="878"/>
    <x v="860"/>
    <n v="0"/>
    <x v="4"/>
    <x v="1"/>
    <x v="74"/>
  </r>
  <r>
    <x v="229"/>
    <x v="3"/>
    <d v="2016-01-30T00:00:00"/>
    <x v="908"/>
    <x v="879"/>
    <x v="861"/>
    <n v="0"/>
    <x v="4"/>
    <x v="1"/>
    <x v="74"/>
  </r>
  <r>
    <x v="230"/>
    <x v="0"/>
    <d v="2012-12-31T00:00:00"/>
    <x v="909"/>
    <x v="880"/>
    <x v="862"/>
    <n v="0"/>
    <x v="494"/>
    <x v="0"/>
    <x v="53"/>
  </r>
  <r>
    <x v="230"/>
    <x v="1"/>
    <d v="2013-12-31T00:00:00"/>
    <x v="910"/>
    <x v="881"/>
    <x v="863"/>
    <n v="0"/>
    <x v="495"/>
    <x v="0"/>
    <x v="53"/>
  </r>
  <r>
    <x v="230"/>
    <x v="2"/>
    <d v="2014-12-31T00:00:00"/>
    <x v="911"/>
    <x v="882"/>
    <x v="864"/>
    <n v="0"/>
    <x v="496"/>
    <x v="0"/>
    <x v="53"/>
  </r>
  <r>
    <x v="230"/>
    <x v="3"/>
    <d v="2015-12-31T00:00:00"/>
    <x v="912"/>
    <x v="883"/>
    <x v="865"/>
    <n v="0"/>
    <x v="497"/>
    <x v="0"/>
    <x v="53"/>
  </r>
  <r>
    <x v="231"/>
    <x v="0"/>
    <d v="2013-11-30T00:00:00"/>
    <x v="913"/>
    <x v="884"/>
    <x v="866"/>
    <n v="0"/>
    <x v="4"/>
    <x v="1"/>
    <x v="66"/>
  </r>
  <r>
    <x v="231"/>
    <x v="1"/>
    <d v="2014-11-30T00:00:00"/>
    <x v="914"/>
    <x v="885"/>
    <x v="867"/>
    <n v="0"/>
    <x v="4"/>
    <x v="1"/>
    <x v="66"/>
  </r>
  <r>
    <x v="231"/>
    <x v="2"/>
    <d v="2015-11-30T00:00:00"/>
    <x v="915"/>
    <x v="886"/>
    <x v="868"/>
    <n v="0"/>
    <x v="4"/>
    <x v="1"/>
    <x v="66"/>
  </r>
  <r>
    <x v="231"/>
    <x v="3"/>
    <d v="2016-11-30T00:00:00"/>
    <x v="916"/>
    <x v="887"/>
    <x v="869"/>
    <n v="0"/>
    <x v="4"/>
    <x v="1"/>
    <x v="66"/>
  </r>
  <r>
    <x v="232"/>
    <x v="0"/>
    <d v="2012-12-31T00:00:00"/>
    <x v="917"/>
    <x v="888"/>
    <x v="870"/>
    <n v="0"/>
    <x v="498"/>
    <x v="3"/>
    <x v="65"/>
  </r>
  <r>
    <x v="232"/>
    <x v="1"/>
    <d v="2013-12-31T00:00:00"/>
    <x v="918"/>
    <x v="889"/>
    <x v="871"/>
    <n v="0"/>
    <x v="499"/>
    <x v="3"/>
    <x v="65"/>
  </r>
  <r>
    <x v="232"/>
    <x v="2"/>
    <d v="2014-12-31T00:00:00"/>
    <x v="919"/>
    <x v="890"/>
    <x v="872"/>
    <n v="0"/>
    <x v="500"/>
    <x v="3"/>
    <x v="65"/>
  </r>
  <r>
    <x v="232"/>
    <x v="3"/>
    <d v="2015-12-31T00:00:00"/>
    <x v="920"/>
    <x v="891"/>
    <x v="873"/>
    <n v="0"/>
    <x v="501"/>
    <x v="3"/>
    <x v="65"/>
  </r>
  <r>
    <x v="233"/>
    <x v="0"/>
    <d v="2012-12-31T00:00:00"/>
    <x v="921"/>
    <x v="892"/>
    <x v="874"/>
    <n v="0"/>
    <x v="502"/>
    <x v="1"/>
    <x v="94"/>
  </r>
  <r>
    <x v="233"/>
    <x v="1"/>
    <d v="2013-12-31T00:00:00"/>
    <x v="922"/>
    <x v="893"/>
    <x v="875"/>
    <n v="0"/>
    <x v="503"/>
    <x v="1"/>
    <x v="94"/>
  </r>
  <r>
    <x v="233"/>
    <x v="2"/>
    <d v="2014-12-31T00:00:00"/>
    <x v="923"/>
    <x v="894"/>
    <x v="876"/>
    <n v="0"/>
    <x v="504"/>
    <x v="1"/>
    <x v="94"/>
  </r>
  <r>
    <x v="233"/>
    <x v="3"/>
    <d v="2015-12-31T00:00:00"/>
    <x v="924"/>
    <x v="895"/>
    <x v="877"/>
    <n v="0"/>
    <x v="505"/>
    <x v="1"/>
    <x v="94"/>
  </r>
  <r>
    <x v="234"/>
    <x v="0"/>
    <d v="2012-12-31T00:00:00"/>
    <x v="925"/>
    <x v="896"/>
    <x v="52"/>
    <n v="0"/>
    <x v="4"/>
    <x v="0"/>
    <x v="53"/>
  </r>
  <r>
    <x v="234"/>
    <x v="1"/>
    <d v="2013-12-31T00:00:00"/>
    <x v="926"/>
    <x v="897"/>
    <x v="52"/>
    <n v="0"/>
    <x v="4"/>
    <x v="0"/>
    <x v="53"/>
  </r>
  <r>
    <x v="234"/>
    <x v="2"/>
    <d v="2014-12-31T00:00:00"/>
    <x v="927"/>
    <x v="898"/>
    <x v="52"/>
    <n v="0"/>
    <x v="4"/>
    <x v="0"/>
    <x v="53"/>
  </r>
  <r>
    <x v="234"/>
    <x v="3"/>
    <d v="2015-12-31T00:00:00"/>
    <x v="928"/>
    <x v="899"/>
    <x v="52"/>
    <n v="0"/>
    <x v="4"/>
    <x v="0"/>
    <x v="53"/>
  </r>
  <r>
    <x v="235"/>
    <x v="0"/>
    <d v="2013-06-30T00:00:00"/>
    <x v="929"/>
    <x v="900"/>
    <x v="878"/>
    <n v="235184000"/>
    <x v="4"/>
    <x v="2"/>
    <x v="7"/>
  </r>
  <r>
    <x v="235"/>
    <x v="1"/>
    <d v="2014-06-29T00:00:00"/>
    <x v="930"/>
    <x v="901"/>
    <x v="879"/>
    <n v="250434000"/>
    <x v="4"/>
    <x v="2"/>
    <x v="7"/>
  </r>
  <r>
    <x v="235"/>
    <x v="2"/>
    <d v="2015-06-28T00:00:00"/>
    <x v="931"/>
    <x v="902"/>
    <x v="880"/>
    <n v="266761000"/>
    <x v="4"/>
    <x v="2"/>
    <x v="7"/>
  </r>
  <r>
    <x v="235"/>
    <x v="3"/>
    <d v="2016-07-03T00:00:00"/>
    <x v="932"/>
    <x v="903"/>
    <x v="881"/>
    <n v="276462000"/>
    <x v="4"/>
    <x v="2"/>
    <x v="7"/>
  </r>
  <r>
    <x v="236"/>
    <x v="0"/>
    <d v="2012-12-31T00:00:00"/>
    <x v="933"/>
    <x v="904"/>
    <x v="882"/>
    <n v="5278100000"/>
    <x v="4"/>
    <x v="3"/>
    <x v="3"/>
  </r>
  <r>
    <x v="236"/>
    <x v="1"/>
    <d v="2013-12-31T00:00:00"/>
    <x v="934"/>
    <x v="905"/>
    <x v="883"/>
    <n v="5531300000"/>
    <x v="4"/>
    <x v="3"/>
    <x v="3"/>
  </r>
  <r>
    <x v="236"/>
    <x v="2"/>
    <d v="2014-12-31T00:00:00"/>
    <x v="935"/>
    <x v="906"/>
    <x v="884"/>
    <n v="4733600000"/>
    <x v="4"/>
    <x v="3"/>
    <x v="3"/>
  </r>
  <r>
    <x v="236"/>
    <x v="3"/>
    <d v="2015-12-31T00:00:00"/>
    <x v="936"/>
    <x v="907"/>
    <x v="885"/>
    <n v="4796400000"/>
    <x v="4"/>
    <x v="3"/>
    <x v="3"/>
  </r>
  <r>
    <x v="237"/>
    <x v="0"/>
    <d v="2013-12-31T00:00:00"/>
    <x v="937"/>
    <x v="908"/>
    <x v="886"/>
    <n v="0"/>
    <x v="4"/>
    <x v="0"/>
    <x v="30"/>
  </r>
  <r>
    <x v="237"/>
    <x v="1"/>
    <d v="2014-12-31T00:00:00"/>
    <x v="938"/>
    <x v="909"/>
    <x v="887"/>
    <n v="0"/>
    <x v="4"/>
    <x v="0"/>
    <x v="30"/>
  </r>
  <r>
    <x v="237"/>
    <x v="2"/>
    <d v="2015-12-31T00:00:00"/>
    <x v="939"/>
    <x v="910"/>
    <x v="888"/>
    <n v="0"/>
    <x v="4"/>
    <x v="0"/>
    <x v="30"/>
  </r>
  <r>
    <x v="237"/>
    <x v="3"/>
    <d v="2016-12-31T00:00:00"/>
    <x v="940"/>
    <x v="911"/>
    <x v="889"/>
    <n v="0"/>
    <x v="4"/>
    <x v="0"/>
    <x v="30"/>
  </r>
  <r>
    <x v="238"/>
    <x v="0"/>
    <d v="2012-12-31T00:00:00"/>
    <x v="941"/>
    <x v="912"/>
    <x v="890"/>
    <n v="0"/>
    <x v="506"/>
    <x v="5"/>
    <x v="11"/>
  </r>
  <r>
    <x v="238"/>
    <x v="1"/>
    <d v="2013-12-31T00:00:00"/>
    <x v="942"/>
    <x v="913"/>
    <x v="891"/>
    <n v="0"/>
    <x v="507"/>
    <x v="5"/>
    <x v="11"/>
  </r>
  <r>
    <x v="238"/>
    <x v="2"/>
    <d v="2014-12-31T00:00:00"/>
    <x v="943"/>
    <x v="914"/>
    <x v="892"/>
    <n v="0"/>
    <x v="508"/>
    <x v="5"/>
    <x v="11"/>
  </r>
  <r>
    <x v="238"/>
    <x v="3"/>
    <d v="2015-12-31T00:00:00"/>
    <x v="944"/>
    <x v="915"/>
    <x v="893"/>
    <n v="0"/>
    <x v="509"/>
    <x v="5"/>
    <x v="11"/>
  </r>
  <r>
    <x v="239"/>
    <x v="0"/>
    <d v="2013-02-01T00:00:00"/>
    <x v="945"/>
    <x v="916"/>
    <x v="894"/>
    <n v="0"/>
    <x v="510"/>
    <x v="1"/>
    <x v="83"/>
  </r>
  <r>
    <x v="239"/>
    <x v="1"/>
    <d v="2014-01-31T00:00:00"/>
    <x v="946"/>
    <x v="917"/>
    <x v="895"/>
    <n v="0"/>
    <x v="511"/>
    <x v="1"/>
    <x v="83"/>
  </r>
  <r>
    <x v="239"/>
    <x v="2"/>
    <d v="2015-01-30T00:00:00"/>
    <x v="947"/>
    <x v="918"/>
    <x v="896"/>
    <n v="0"/>
    <x v="512"/>
    <x v="1"/>
    <x v="83"/>
  </r>
  <r>
    <x v="239"/>
    <x v="3"/>
    <d v="2016-01-29T00:00:00"/>
    <x v="948"/>
    <x v="919"/>
    <x v="897"/>
    <n v="0"/>
    <x v="513"/>
    <x v="1"/>
    <x v="83"/>
  </r>
  <r>
    <x v="240"/>
    <x v="0"/>
    <d v="2013-06-30T00:00:00"/>
    <x v="949"/>
    <x v="920"/>
    <x v="898"/>
    <n v="683688000"/>
    <x v="4"/>
    <x v="2"/>
    <x v="20"/>
  </r>
  <r>
    <x v="240"/>
    <x v="1"/>
    <d v="2014-06-29T00:00:00"/>
    <x v="950"/>
    <x v="921"/>
    <x v="899"/>
    <n v="716471000"/>
    <x v="4"/>
    <x v="2"/>
    <x v="20"/>
  </r>
  <r>
    <x v="240"/>
    <x v="2"/>
    <d v="2015-06-28T00:00:00"/>
    <x v="951"/>
    <x v="922"/>
    <x v="900"/>
    <n v="825242000"/>
    <x v="4"/>
    <x v="2"/>
    <x v="20"/>
  </r>
  <r>
    <x v="240"/>
    <x v="3"/>
    <d v="2016-06-26T00:00:00"/>
    <x v="952"/>
    <x v="923"/>
    <x v="901"/>
    <n v="913712000"/>
    <x v="4"/>
    <x v="2"/>
    <x v="20"/>
  </r>
  <r>
    <x v="241"/>
    <x v="0"/>
    <d v="2012-12-31T00:00:00"/>
    <x v="953"/>
    <x v="924"/>
    <x v="902"/>
    <n v="0"/>
    <x v="514"/>
    <x v="6"/>
    <x v="95"/>
  </r>
  <r>
    <x v="241"/>
    <x v="1"/>
    <d v="2013-12-31T00:00:00"/>
    <x v="954"/>
    <x v="925"/>
    <x v="903"/>
    <n v="0"/>
    <x v="515"/>
    <x v="6"/>
    <x v="95"/>
  </r>
  <r>
    <x v="241"/>
    <x v="2"/>
    <d v="2014-12-31T00:00:00"/>
    <x v="955"/>
    <x v="926"/>
    <x v="904"/>
    <n v="0"/>
    <x v="516"/>
    <x v="6"/>
    <x v="95"/>
  </r>
  <r>
    <x v="241"/>
    <x v="3"/>
    <d v="2015-12-31T00:00:00"/>
    <x v="956"/>
    <x v="927"/>
    <x v="905"/>
    <n v="0"/>
    <x v="517"/>
    <x v="6"/>
    <x v="95"/>
  </r>
  <r>
    <x v="242"/>
    <x v="0"/>
    <d v="2013-12-31T00:00:00"/>
    <x v="957"/>
    <x v="928"/>
    <x v="906"/>
    <n v="0"/>
    <x v="518"/>
    <x v="0"/>
    <x v="0"/>
  </r>
  <r>
    <x v="242"/>
    <x v="1"/>
    <d v="2014-12-31T00:00:00"/>
    <x v="958"/>
    <x v="929"/>
    <x v="907"/>
    <n v="0"/>
    <x v="519"/>
    <x v="0"/>
    <x v="0"/>
  </r>
  <r>
    <x v="242"/>
    <x v="2"/>
    <d v="2015-12-31T00:00:00"/>
    <x v="959"/>
    <x v="930"/>
    <x v="908"/>
    <n v="0"/>
    <x v="520"/>
    <x v="0"/>
    <x v="0"/>
  </r>
  <r>
    <x v="242"/>
    <x v="3"/>
    <d v="2016-12-31T00:00:00"/>
    <x v="960"/>
    <x v="931"/>
    <x v="909"/>
    <n v="0"/>
    <x v="521"/>
    <x v="0"/>
    <x v="0"/>
  </r>
  <r>
    <x v="243"/>
    <x v="0"/>
    <d v="2012-12-31T00:00:00"/>
    <x v="961"/>
    <x v="932"/>
    <x v="910"/>
    <n v="0"/>
    <x v="522"/>
    <x v="10"/>
    <x v="96"/>
  </r>
  <r>
    <x v="243"/>
    <x v="1"/>
    <d v="2013-12-31T00:00:00"/>
    <x v="962"/>
    <x v="933"/>
    <x v="911"/>
    <n v="0"/>
    <x v="523"/>
    <x v="10"/>
    <x v="96"/>
  </r>
  <r>
    <x v="243"/>
    <x v="2"/>
    <d v="2014-12-31T00:00:00"/>
    <x v="963"/>
    <x v="934"/>
    <x v="912"/>
    <n v="0"/>
    <x v="524"/>
    <x v="10"/>
    <x v="96"/>
  </r>
  <r>
    <x v="243"/>
    <x v="3"/>
    <d v="2015-12-31T00:00:00"/>
    <x v="964"/>
    <x v="935"/>
    <x v="913"/>
    <n v="0"/>
    <x v="525"/>
    <x v="10"/>
    <x v="96"/>
  </r>
  <r>
    <x v="244"/>
    <x v="0"/>
    <d v="2012-12-31T00:00:00"/>
    <x v="965"/>
    <x v="936"/>
    <x v="914"/>
    <n v="172000000"/>
    <x v="4"/>
    <x v="8"/>
    <x v="63"/>
  </r>
  <r>
    <x v="244"/>
    <x v="1"/>
    <d v="2013-12-31T00:00:00"/>
    <x v="966"/>
    <x v="937"/>
    <x v="915"/>
    <n v="150000000"/>
    <x v="4"/>
    <x v="8"/>
    <x v="63"/>
  </r>
  <r>
    <x v="244"/>
    <x v="2"/>
    <d v="2014-12-31T00:00:00"/>
    <x v="967"/>
    <x v="938"/>
    <x v="141"/>
    <n v="127000000"/>
    <x v="4"/>
    <x v="8"/>
    <x v="63"/>
  </r>
  <r>
    <x v="244"/>
    <x v="3"/>
    <d v="2015-12-31T00:00:00"/>
    <x v="968"/>
    <x v="939"/>
    <x v="916"/>
    <n v="102000000"/>
    <x v="4"/>
    <x v="8"/>
    <x v="63"/>
  </r>
  <r>
    <x v="245"/>
    <x v="0"/>
    <d v="2013-02-02T00:00:00"/>
    <x v="969"/>
    <x v="940"/>
    <x v="917"/>
    <n v="0"/>
    <x v="4"/>
    <x v="1"/>
    <x v="91"/>
  </r>
  <r>
    <x v="245"/>
    <x v="1"/>
    <d v="2014-02-01T00:00:00"/>
    <x v="970"/>
    <x v="941"/>
    <x v="918"/>
    <n v="0"/>
    <x v="4"/>
    <x v="1"/>
    <x v="91"/>
  </r>
  <r>
    <x v="245"/>
    <x v="2"/>
    <d v="2015-01-31T00:00:00"/>
    <x v="971"/>
    <x v="942"/>
    <x v="919"/>
    <n v="0"/>
    <x v="4"/>
    <x v="1"/>
    <x v="91"/>
  </r>
  <r>
    <x v="245"/>
    <x v="3"/>
    <d v="2016-01-30T00:00:00"/>
    <x v="972"/>
    <x v="943"/>
    <x v="920"/>
    <n v="0"/>
    <x v="4"/>
    <x v="1"/>
    <x v="91"/>
  </r>
  <r>
    <x v="246"/>
    <x v="0"/>
    <d v="2013-12-31T00:00:00"/>
    <x v="973"/>
    <x v="454"/>
    <x v="921"/>
    <n v="0"/>
    <x v="526"/>
    <x v="2"/>
    <x v="16"/>
  </r>
  <r>
    <x v="246"/>
    <x v="1"/>
    <d v="2014-12-31T00:00:00"/>
    <x v="974"/>
    <x v="454"/>
    <x v="922"/>
    <n v="0"/>
    <x v="527"/>
    <x v="2"/>
    <x v="16"/>
  </r>
  <r>
    <x v="246"/>
    <x v="2"/>
    <d v="2015-12-31T00:00:00"/>
    <x v="975"/>
    <x v="454"/>
    <x v="828"/>
    <n v="0"/>
    <x v="528"/>
    <x v="2"/>
    <x v="16"/>
  </r>
  <r>
    <x v="246"/>
    <x v="3"/>
    <d v="2016-12-31T00:00:00"/>
    <x v="976"/>
    <x v="454"/>
    <x v="923"/>
    <n v="0"/>
    <x v="529"/>
    <x v="2"/>
    <x v="16"/>
  </r>
  <r>
    <x v="247"/>
    <x v="0"/>
    <d v="2012-12-31T00:00:00"/>
    <x v="977"/>
    <x v="944"/>
    <x v="924"/>
    <n v="0"/>
    <x v="530"/>
    <x v="7"/>
    <x v="70"/>
  </r>
  <r>
    <x v="247"/>
    <x v="1"/>
    <d v="2013-12-31T00:00:00"/>
    <x v="978"/>
    <x v="945"/>
    <x v="925"/>
    <n v="0"/>
    <x v="531"/>
    <x v="7"/>
    <x v="70"/>
  </r>
  <r>
    <x v="247"/>
    <x v="2"/>
    <d v="2014-12-31T00:00:00"/>
    <x v="979"/>
    <x v="946"/>
    <x v="926"/>
    <n v="0"/>
    <x v="532"/>
    <x v="7"/>
    <x v="70"/>
  </r>
  <r>
    <x v="247"/>
    <x v="3"/>
    <d v="2015-12-31T00:00:00"/>
    <x v="980"/>
    <x v="947"/>
    <x v="927"/>
    <n v="0"/>
    <x v="533"/>
    <x v="7"/>
    <x v="70"/>
  </r>
  <r>
    <x v="248"/>
    <x v="0"/>
    <d v="2012-12-31T00:00:00"/>
    <x v="981"/>
    <x v="948"/>
    <x v="928"/>
    <n v="0"/>
    <x v="534"/>
    <x v="7"/>
    <x v="77"/>
  </r>
  <r>
    <x v="248"/>
    <x v="1"/>
    <d v="2013-12-31T00:00:00"/>
    <x v="982"/>
    <x v="949"/>
    <x v="929"/>
    <n v="0"/>
    <x v="535"/>
    <x v="7"/>
    <x v="77"/>
  </r>
  <r>
    <x v="248"/>
    <x v="2"/>
    <d v="2014-12-31T00:00:00"/>
    <x v="983"/>
    <x v="950"/>
    <x v="930"/>
    <n v="0"/>
    <x v="536"/>
    <x v="7"/>
    <x v="77"/>
  </r>
  <r>
    <x v="248"/>
    <x v="3"/>
    <d v="2015-12-31T00:00:00"/>
    <x v="984"/>
    <x v="951"/>
    <x v="931"/>
    <n v="0"/>
    <x v="537"/>
    <x v="7"/>
    <x v="77"/>
  </r>
  <r>
    <x v="249"/>
    <x v="0"/>
    <d v="2012-12-31T00:00:00"/>
    <x v="985"/>
    <x v="952"/>
    <x v="932"/>
    <n v="0"/>
    <x v="431"/>
    <x v="1"/>
    <x v="43"/>
  </r>
  <r>
    <x v="249"/>
    <x v="1"/>
    <d v="2013-12-31T00:00:00"/>
    <x v="986"/>
    <x v="953"/>
    <x v="933"/>
    <n v="0"/>
    <x v="538"/>
    <x v="1"/>
    <x v="43"/>
  </r>
  <r>
    <x v="249"/>
    <x v="2"/>
    <d v="2014-12-31T00:00:00"/>
    <x v="987"/>
    <x v="954"/>
    <x v="934"/>
    <n v="0"/>
    <x v="365"/>
    <x v="1"/>
    <x v="43"/>
  </r>
  <r>
    <x v="249"/>
    <x v="3"/>
    <d v="2015-12-31T00:00:00"/>
    <x v="988"/>
    <x v="955"/>
    <x v="935"/>
    <n v="0"/>
    <x v="364"/>
    <x v="1"/>
    <x v="43"/>
  </r>
  <r>
    <x v="250"/>
    <x v="0"/>
    <d v="2013-12-31T00:00:00"/>
    <x v="989"/>
    <x v="956"/>
    <x v="936"/>
    <n v="0"/>
    <x v="4"/>
    <x v="0"/>
    <x v="18"/>
  </r>
  <r>
    <x v="250"/>
    <x v="1"/>
    <d v="2014-12-31T00:00:00"/>
    <x v="990"/>
    <x v="957"/>
    <x v="937"/>
    <n v="0"/>
    <x v="4"/>
    <x v="0"/>
    <x v="18"/>
  </r>
  <r>
    <x v="250"/>
    <x v="2"/>
    <d v="2015-12-31T00:00:00"/>
    <x v="991"/>
    <x v="958"/>
    <x v="938"/>
    <n v="0"/>
    <x v="4"/>
    <x v="0"/>
    <x v="18"/>
  </r>
  <r>
    <x v="250"/>
    <x v="3"/>
    <d v="2016-12-31T00:00:00"/>
    <x v="992"/>
    <x v="959"/>
    <x v="939"/>
    <n v="0"/>
    <x v="4"/>
    <x v="0"/>
    <x v="18"/>
  </r>
  <r>
    <x v="251"/>
    <x v="0"/>
    <d v="2012-12-31T00:00:00"/>
    <x v="993"/>
    <x v="960"/>
    <x v="940"/>
    <n v="0"/>
    <x v="4"/>
    <x v="1"/>
    <x v="81"/>
  </r>
  <r>
    <x v="251"/>
    <x v="1"/>
    <d v="2013-12-31T00:00:00"/>
    <x v="994"/>
    <x v="961"/>
    <x v="941"/>
    <n v="0"/>
    <x v="4"/>
    <x v="1"/>
    <x v="81"/>
  </r>
  <r>
    <x v="251"/>
    <x v="2"/>
    <d v="2014-12-31T00:00:00"/>
    <x v="995"/>
    <x v="962"/>
    <x v="942"/>
    <n v="0"/>
    <x v="4"/>
    <x v="1"/>
    <x v="81"/>
  </r>
  <r>
    <x v="251"/>
    <x v="3"/>
    <d v="2015-12-31T00:00:00"/>
    <x v="996"/>
    <x v="963"/>
    <x v="943"/>
    <n v="0"/>
    <x v="4"/>
    <x v="1"/>
    <x v="81"/>
  </r>
  <r>
    <x v="252"/>
    <x v="0"/>
    <d v="2012-12-31T00:00:00"/>
    <x v="997"/>
    <x v="964"/>
    <x v="944"/>
    <n v="0"/>
    <x v="4"/>
    <x v="1"/>
    <x v="51"/>
  </r>
  <r>
    <x v="252"/>
    <x v="1"/>
    <d v="2013-12-31T00:00:00"/>
    <x v="998"/>
    <x v="965"/>
    <x v="945"/>
    <n v="0"/>
    <x v="4"/>
    <x v="1"/>
    <x v="51"/>
  </r>
  <r>
    <x v="252"/>
    <x v="2"/>
    <d v="2014-12-31T00:00:00"/>
    <x v="999"/>
    <x v="966"/>
    <x v="946"/>
    <n v="0"/>
    <x v="4"/>
    <x v="1"/>
    <x v="51"/>
  </r>
  <r>
    <x v="252"/>
    <x v="3"/>
    <d v="2015-12-31T00:00:00"/>
    <x v="1000"/>
    <x v="967"/>
    <x v="947"/>
    <n v="0"/>
    <x v="4"/>
    <x v="1"/>
    <x v="51"/>
  </r>
  <r>
    <x v="253"/>
    <x v="0"/>
    <d v="2013-03-31T00:00:00"/>
    <x v="1001"/>
    <x v="968"/>
    <x v="948"/>
    <n v="254723000"/>
    <x v="539"/>
    <x v="2"/>
    <x v="7"/>
  </r>
  <r>
    <x v="253"/>
    <x v="1"/>
    <d v="2014-03-31T00:00:00"/>
    <x v="1002"/>
    <x v="969"/>
    <x v="949"/>
    <n v="305043000"/>
    <x v="540"/>
    <x v="2"/>
    <x v="7"/>
  </r>
  <r>
    <x v="253"/>
    <x v="2"/>
    <d v="2015-03-31T00:00:00"/>
    <x v="1003"/>
    <x v="970"/>
    <x v="950"/>
    <n v="349543000"/>
    <x v="541"/>
    <x v="2"/>
    <x v="7"/>
  </r>
  <r>
    <x v="253"/>
    <x v="3"/>
    <d v="2016-03-31T00:00:00"/>
    <x v="1004"/>
    <x v="971"/>
    <x v="951"/>
    <n v="372596000"/>
    <x v="542"/>
    <x v="2"/>
    <x v="7"/>
  </r>
  <r>
    <x v="254"/>
    <x v="0"/>
    <d v="2013-03-31T00:00:00"/>
    <x v="1005"/>
    <x v="972"/>
    <x v="952"/>
    <n v="433000000"/>
    <x v="4"/>
    <x v="3"/>
    <x v="4"/>
  </r>
  <r>
    <x v="254"/>
    <x v="1"/>
    <d v="2014-03-31T00:00:00"/>
    <x v="1006"/>
    <x v="973"/>
    <x v="953"/>
    <n v="457000000"/>
    <x v="4"/>
    <x v="3"/>
    <x v="4"/>
  </r>
  <r>
    <x v="254"/>
    <x v="2"/>
    <d v="2015-03-31T00:00:00"/>
    <x v="1007"/>
    <x v="974"/>
    <x v="954"/>
    <n v="392000000"/>
    <x v="4"/>
    <x v="3"/>
    <x v="4"/>
  </r>
  <r>
    <x v="254"/>
    <x v="3"/>
    <d v="2016-03-31T00:00:00"/>
    <x v="1008"/>
    <x v="975"/>
    <x v="955"/>
    <n v="392000000"/>
    <x v="4"/>
    <x v="3"/>
    <x v="4"/>
  </r>
  <r>
    <x v="255"/>
    <x v="0"/>
    <d v="2012-12-31T00:00:00"/>
    <x v="1009"/>
    <x v="976"/>
    <x v="956"/>
    <n v="0"/>
    <x v="543"/>
    <x v="6"/>
    <x v="97"/>
  </r>
  <r>
    <x v="255"/>
    <x v="1"/>
    <d v="2013-12-31T00:00:00"/>
    <x v="1010"/>
    <x v="977"/>
    <x v="957"/>
    <n v="0"/>
    <x v="544"/>
    <x v="6"/>
    <x v="97"/>
  </r>
  <r>
    <x v="255"/>
    <x v="2"/>
    <d v="2014-12-31T00:00:00"/>
    <x v="1011"/>
    <x v="978"/>
    <x v="958"/>
    <n v="0"/>
    <x v="545"/>
    <x v="6"/>
    <x v="97"/>
  </r>
  <r>
    <x v="255"/>
    <x v="3"/>
    <d v="2015-12-31T00:00:00"/>
    <x v="1012"/>
    <x v="979"/>
    <x v="959"/>
    <n v="0"/>
    <x v="546"/>
    <x v="6"/>
    <x v="97"/>
  </r>
  <r>
    <x v="256"/>
    <x v="0"/>
    <d v="2012-12-31T00:00:00"/>
    <x v="1013"/>
    <x v="980"/>
    <x v="960"/>
    <n v="0"/>
    <x v="547"/>
    <x v="4"/>
    <x v="40"/>
  </r>
  <r>
    <x v="256"/>
    <x v="1"/>
    <d v="2013-12-31T00:00:00"/>
    <x v="1014"/>
    <x v="981"/>
    <x v="961"/>
    <n v="0"/>
    <x v="547"/>
    <x v="4"/>
    <x v="40"/>
  </r>
  <r>
    <x v="256"/>
    <x v="2"/>
    <d v="2014-12-31T00:00:00"/>
    <x v="1015"/>
    <x v="982"/>
    <x v="962"/>
    <n v="0"/>
    <x v="548"/>
    <x v="4"/>
    <x v="40"/>
  </r>
  <r>
    <x v="256"/>
    <x v="3"/>
    <d v="2015-12-31T00:00:00"/>
    <x v="1016"/>
    <x v="983"/>
    <x v="963"/>
    <n v="0"/>
    <x v="549"/>
    <x v="4"/>
    <x v="40"/>
  </r>
  <r>
    <x v="257"/>
    <x v="0"/>
    <d v="2012-12-31T00:00:00"/>
    <x v="1017"/>
    <x v="984"/>
    <x v="964"/>
    <n v="0"/>
    <x v="550"/>
    <x v="6"/>
    <x v="12"/>
  </r>
  <r>
    <x v="257"/>
    <x v="1"/>
    <d v="2013-12-31T00:00:00"/>
    <x v="1018"/>
    <x v="985"/>
    <x v="965"/>
    <n v="0"/>
    <x v="551"/>
    <x v="6"/>
    <x v="12"/>
  </r>
  <r>
    <x v="257"/>
    <x v="2"/>
    <d v="2014-12-31T00:00:00"/>
    <x v="1019"/>
    <x v="986"/>
    <x v="966"/>
    <n v="0"/>
    <x v="552"/>
    <x v="6"/>
    <x v="12"/>
  </r>
  <r>
    <x v="257"/>
    <x v="3"/>
    <d v="2015-12-31T00:00:00"/>
    <x v="1020"/>
    <x v="987"/>
    <x v="967"/>
    <n v="0"/>
    <x v="553"/>
    <x v="6"/>
    <x v="12"/>
  </r>
  <r>
    <x v="258"/>
    <x v="0"/>
    <d v="2012-12-31T00:00:00"/>
    <x v="1021"/>
    <x v="988"/>
    <x v="968"/>
    <n v="0"/>
    <x v="4"/>
    <x v="1"/>
    <x v="98"/>
  </r>
  <r>
    <x v="258"/>
    <x v="1"/>
    <d v="2013-12-31T00:00:00"/>
    <x v="1022"/>
    <x v="989"/>
    <x v="969"/>
    <n v="0"/>
    <x v="4"/>
    <x v="1"/>
    <x v="98"/>
  </r>
  <r>
    <x v="258"/>
    <x v="2"/>
    <d v="2014-12-31T00:00:00"/>
    <x v="1023"/>
    <x v="990"/>
    <x v="970"/>
    <n v="0"/>
    <x v="4"/>
    <x v="1"/>
    <x v="98"/>
  </r>
  <r>
    <x v="258"/>
    <x v="3"/>
    <d v="2015-12-31T00:00:00"/>
    <x v="1024"/>
    <x v="991"/>
    <x v="971"/>
    <n v="0"/>
    <x v="4"/>
    <x v="1"/>
    <x v="98"/>
  </r>
  <r>
    <x v="259"/>
    <x v="0"/>
    <d v="2012-12-31T00:00:00"/>
    <x v="1025"/>
    <x v="992"/>
    <x v="972"/>
    <n v="100100000"/>
    <x v="4"/>
    <x v="4"/>
    <x v="40"/>
  </r>
  <r>
    <x v="259"/>
    <x v="1"/>
    <d v="2013-12-31T00:00:00"/>
    <x v="1026"/>
    <x v="993"/>
    <x v="973"/>
    <n v="100200000"/>
    <x v="4"/>
    <x v="4"/>
    <x v="40"/>
  </r>
  <r>
    <x v="259"/>
    <x v="2"/>
    <d v="2014-12-31T00:00:00"/>
    <x v="1027"/>
    <x v="994"/>
    <x v="974"/>
    <n v="115100000"/>
    <x v="4"/>
    <x v="4"/>
    <x v="40"/>
  </r>
  <r>
    <x v="259"/>
    <x v="3"/>
    <d v="2015-12-31T00:00:00"/>
    <x v="1028"/>
    <x v="995"/>
    <x v="975"/>
    <n v="108400000"/>
    <x v="4"/>
    <x v="4"/>
    <x v="40"/>
  </r>
  <r>
    <x v="260"/>
    <x v="0"/>
    <d v="2013-11-30T00:00:00"/>
    <x v="1029"/>
    <x v="996"/>
    <x v="976"/>
    <n v="0"/>
    <x v="4"/>
    <x v="4"/>
    <x v="40"/>
  </r>
  <r>
    <x v="260"/>
    <x v="1"/>
    <d v="2014-11-30T00:00:00"/>
    <x v="1030"/>
    <x v="997"/>
    <x v="977"/>
    <n v="0"/>
    <x v="4"/>
    <x v="4"/>
    <x v="40"/>
  </r>
  <r>
    <x v="260"/>
    <x v="2"/>
    <d v="2015-11-30T00:00:00"/>
    <x v="1031"/>
    <x v="461"/>
    <x v="978"/>
    <n v="0"/>
    <x v="4"/>
    <x v="4"/>
    <x v="40"/>
  </r>
  <r>
    <x v="260"/>
    <x v="3"/>
    <d v="2016-11-30T00:00:00"/>
    <x v="1032"/>
    <x v="998"/>
    <x v="979"/>
    <n v="0"/>
    <x v="4"/>
    <x v="4"/>
    <x v="40"/>
  </r>
  <r>
    <x v="261"/>
    <x v="0"/>
    <d v="2012-12-31T00:00:00"/>
    <x v="1033"/>
    <x v="999"/>
    <x v="980"/>
    <n v="0"/>
    <x v="4"/>
    <x v="8"/>
    <x v="99"/>
  </r>
  <r>
    <x v="261"/>
    <x v="1"/>
    <d v="2013-12-31T00:00:00"/>
    <x v="1034"/>
    <x v="1000"/>
    <x v="981"/>
    <n v="0"/>
    <x v="4"/>
    <x v="8"/>
    <x v="99"/>
  </r>
  <r>
    <x v="261"/>
    <x v="2"/>
    <d v="2014-12-31T00:00:00"/>
    <x v="1035"/>
    <x v="1001"/>
    <x v="982"/>
    <n v="0"/>
    <x v="4"/>
    <x v="8"/>
    <x v="99"/>
  </r>
  <r>
    <x v="261"/>
    <x v="3"/>
    <d v="2015-12-31T00:00:00"/>
    <x v="1036"/>
    <x v="1002"/>
    <x v="983"/>
    <n v="0"/>
    <x v="4"/>
    <x v="8"/>
    <x v="99"/>
  </r>
  <r>
    <x v="262"/>
    <x v="0"/>
    <d v="2012-12-31T00:00:00"/>
    <x v="1037"/>
    <x v="454"/>
    <x v="984"/>
    <n v="0"/>
    <x v="554"/>
    <x v="6"/>
    <x v="100"/>
  </r>
  <r>
    <x v="262"/>
    <x v="1"/>
    <d v="2013-12-31T00:00:00"/>
    <x v="1038"/>
    <x v="454"/>
    <x v="985"/>
    <n v="0"/>
    <x v="555"/>
    <x v="6"/>
    <x v="100"/>
  </r>
  <r>
    <x v="262"/>
    <x v="2"/>
    <d v="2014-12-31T00:00:00"/>
    <x v="1039"/>
    <x v="454"/>
    <x v="986"/>
    <n v="0"/>
    <x v="556"/>
    <x v="6"/>
    <x v="100"/>
  </r>
  <r>
    <x v="262"/>
    <x v="3"/>
    <d v="2015-12-31T00:00:00"/>
    <x v="1040"/>
    <x v="454"/>
    <x v="987"/>
    <n v="0"/>
    <x v="557"/>
    <x v="6"/>
    <x v="100"/>
  </r>
  <r>
    <x v="263"/>
    <x v="0"/>
    <d v="2013-12-31T00:00:00"/>
    <x v="1041"/>
    <x v="1003"/>
    <x v="988"/>
    <n v="1715000000"/>
    <x v="4"/>
    <x v="0"/>
    <x v="53"/>
  </r>
  <r>
    <x v="263"/>
    <x v="1"/>
    <d v="2014-12-31T00:00:00"/>
    <x v="1042"/>
    <x v="1004"/>
    <x v="989"/>
    <n v="1770000000"/>
    <x v="4"/>
    <x v="0"/>
    <x v="53"/>
  </r>
  <r>
    <x v="263"/>
    <x v="2"/>
    <d v="2015-12-31T00:00:00"/>
    <x v="1043"/>
    <x v="1005"/>
    <x v="990"/>
    <n v="1763000000"/>
    <x v="4"/>
    <x v="0"/>
    <x v="53"/>
  </r>
  <r>
    <x v="263"/>
    <x v="3"/>
    <d v="2016-12-31T00:00:00"/>
    <x v="1044"/>
    <x v="1006"/>
    <x v="991"/>
    <n v="1735000000"/>
    <x v="4"/>
    <x v="0"/>
    <x v="53"/>
  </r>
  <r>
    <x v="264"/>
    <x v="0"/>
    <d v="2012-12-31T00:00:00"/>
    <x v="1045"/>
    <x v="1007"/>
    <x v="52"/>
    <n v="0"/>
    <x v="4"/>
    <x v="4"/>
    <x v="69"/>
  </r>
  <r>
    <x v="264"/>
    <x v="1"/>
    <d v="2013-12-31T00:00:00"/>
    <x v="1046"/>
    <x v="1008"/>
    <x v="52"/>
    <n v="0"/>
    <x v="4"/>
    <x v="4"/>
    <x v="69"/>
  </r>
  <r>
    <x v="264"/>
    <x v="2"/>
    <d v="2014-12-31T00:00:00"/>
    <x v="1047"/>
    <x v="1009"/>
    <x v="52"/>
    <n v="0"/>
    <x v="4"/>
    <x v="4"/>
    <x v="69"/>
  </r>
  <r>
    <x v="264"/>
    <x v="3"/>
    <d v="2015-12-31T00:00:00"/>
    <x v="1048"/>
    <x v="1010"/>
    <x v="52"/>
    <n v="0"/>
    <x v="4"/>
    <x v="4"/>
    <x v="69"/>
  </r>
  <r>
    <x v="265"/>
    <x v="0"/>
    <d v="2012-12-31T00:00:00"/>
    <x v="1049"/>
    <x v="1011"/>
    <x v="992"/>
    <n v="0"/>
    <x v="4"/>
    <x v="4"/>
    <x v="101"/>
  </r>
  <r>
    <x v="265"/>
    <x v="1"/>
    <d v="2013-12-31T00:00:00"/>
    <x v="1050"/>
    <x v="1012"/>
    <x v="993"/>
    <n v="0"/>
    <x v="4"/>
    <x v="4"/>
    <x v="101"/>
  </r>
  <r>
    <x v="265"/>
    <x v="2"/>
    <d v="2014-12-31T00:00:00"/>
    <x v="1051"/>
    <x v="1013"/>
    <x v="994"/>
    <n v="0"/>
    <x v="4"/>
    <x v="4"/>
    <x v="101"/>
  </r>
  <r>
    <x v="265"/>
    <x v="3"/>
    <d v="2015-12-31T00:00:00"/>
    <x v="1052"/>
    <x v="1014"/>
    <x v="995"/>
    <n v="0"/>
    <x v="4"/>
    <x v="4"/>
    <x v="101"/>
  </r>
  <r>
    <x v="266"/>
    <x v="0"/>
    <d v="2013-08-31T00:00:00"/>
    <x v="1053"/>
    <x v="1015"/>
    <x v="996"/>
    <n v="1533000000"/>
    <x v="4"/>
    <x v="8"/>
    <x v="45"/>
  </r>
  <r>
    <x v="266"/>
    <x v="1"/>
    <d v="2014-08-31T00:00:00"/>
    <x v="1054"/>
    <x v="1016"/>
    <x v="997"/>
    <n v="1725000000"/>
    <x v="4"/>
    <x v="8"/>
    <x v="45"/>
  </r>
  <r>
    <x v="266"/>
    <x v="2"/>
    <d v="2015-08-31T00:00:00"/>
    <x v="1055"/>
    <x v="1017"/>
    <x v="859"/>
    <n v="1580000000"/>
    <x v="4"/>
    <x v="8"/>
    <x v="45"/>
  </r>
  <r>
    <x v="266"/>
    <x v="3"/>
    <d v="2016-08-31T00:00:00"/>
    <x v="1056"/>
    <x v="1018"/>
    <x v="998"/>
    <n v="1512000000"/>
    <x v="4"/>
    <x v="8"/>
    <x v="45"/>
  </r>
  <r>
    <x v="267"/>
    <x v="0"/>
    <d v="2013-05-31T00:00:00"/>
    <x v="1057"/>
    <x v="1019"/>
    <x v="999"/>
    <n v="0"/>
    <x v="4"/>
    <x v="8"/>
    <x v="45"/>
  </r>
  <r>
    <x v="267"/>
    <x v="1"/>
    <d v="2014-12-31T00:00:00"/>
    <x v="1058"/>
    <x v="1020"/>
    <x v="1000"/>
    <n v="0"/>
    <x v="4"/>
    <x v="8"/>
    <x v="45"/>
  </r>
  <r>
    <x v="267"/>
    <x v="2"/>
    <d v="2015-12-31T00:00:00"/>
    <x v="1059"/>
    <x v="1021"/>
    <x v="1001"/>
    <n v="0"/>
    <x v="4"/>
    <x v="8"/>
    <x v="45"/>
  </r>
  <r>
    <x v="267"/>
    <x v="3"/>
    <d v="2016-12-31T00:00:00"/>
    <x v="1060"/>
    <x v="1022"/>
    <x v="1002"/>
    <n v="0"/>
    <x v="4"/>
    <x v="8"/>
    <x v="45"/>
  </r>
  <r>
    <x v="268"/>
    <x v="0"/>
    <d v="2012-12-31T00:00:00"/>
    <x v="1061"/>
    <x v="1023"/>
    <x v="1003"/>
    <n v="0"/>
    <x v="558"/>
    <x v="9"/>
    <x v="92"/>
  </r>
  <r>
    <x v="268"/>
    <x v="1"/>
    <d v="2013-12-31T00:00:00"/>
    <x v="1062"/>
    <x v="1024"/>
    <x v="1004"/>
    <n v="0"/>
    <x v="559"/>
    <x v="9"/>
    <x v="92"/>
  </r>
  <r>
    <x v="268"/>
    <x v="2"/>
    <d v="2014-12-31T00:00:00"/>
    <x v="1063"/>
    <x v="1025"/>
    <x v="1005"/>
    <n v="0"/>
    <x v="560"/>
    <x v="9"/>
    <x v="92"/>
  </r>
  <r>
    <x v="268"/>
    <x v="3"/>
    <d v="2015-12-31T00:00:00"/>
    <x v="1064"/>
    <x v="1026"/>
    <x v="1006"/>
    <n v="0"/>
    <x v="561"/>
    <x v="9"/>
    <x v="92"/>
  </r>
  <r>
    <x v="269"/>
    <x v="0"/>
    <d v="2012-12-31T00:00:00"/>
    <x v="1065"/>
    <x v="1027"/>
    <x v="1007"/>
    <n v="8168000000"/>
    <x v="4"/>
    <x v="3"/>
    <x v="3"/>
  </r>
  <r>
    <x v="269"/>
    <x v="1"/>
    <d v="2013-12-31T00:00:00"/>
    <x v="1066"/>
    <x v="1028"/>
    <x v="1008"/>
    <n v="7503000000"/>
    <x v="4"/>
    <x v="3"/>
    <x v="3"/>
  </r>
  <r>
    <x v="269"/>
    <x v="2"/>
    <d v="2014-12-31T00:00:00"/>
    <x v="1067"/>
    <x v="1029"/>
    <x v="1009"/>
    <n v="7180000000"/>
    <x v="4"/>
    <x v="3"/>
    <x v="3"/>
  </r>
  <r>
    <x v="269"/>
    <x v="3"/>
    <d v="2015-12-31T00:00:00"/>
    <x v="1068"/>
    <x v="1030"/>
    <x v="1010"/>
    <n v="6704000000"/>
    <x v="4"/>
    <x v="3"/>
    <x v="3"/>
  </r>
  <r>
    <x v="270"/>
    <x v="0"/>
    <d v="2012-12-31T00:00:00"/>
    <x v="1069"/>
    <x v="1031"/>
    <x v="1011"/>
    <n v="0"/>
    <x v="562"/>
    <x v="9"/>
    <x v="27"/>
  </r>
  <r>
    <x v="270"/>
    <x v="1"/>
    <d v="2013-12-31T00:00:00"/>
    <x v="1070"/>
    <x v="1032"/>
    <x v="1012"/>
    <n v="0"/>
    <x v="563"/>
    <x v="9"/>
    <x v="27"/>
  </r>
  <r>
    <x v="270"/>
    <x v="2"/>
    <d v="2014-12-31T00:00:00"/>
    <x v="1071"/>
    <x v="1033"/>
    <x v="1013"/>
    <n v="0"/>
    <x v="564"/>
    <x v="9"/>
    <x v="27"/>
  </r>
  <r>
    <x v="270"/>
    <x v="3"/>
    <d v="2015-12-31T00:00:00"/>
    <x v="1072"/>
    <x v="1034"/>
    <x v="1014"/>
    <n v="0"/>
    <x v="565"/>
    <x v="9"/>
    <x v="27"/>
  </r>
  <r>
    <x v="271"/>
    <x v="0"/>
    <d v="2013-06-30T00:00:00"/>
    <x v="1073"/>
    <x v="1035"/>
    <x v="1015"/>
    <n v="10411000000"/>
    <x v="4"/>
    <x v="2"/>
    <x v="102"/>
  </r>
  <r>
    <x v="271"/>
    <x v="1"/>
    <d v="2014-06-30T00:00:00"/>
    <x v="1074"/>
    <x v="1036"/>
    <x v="1016"/>
    <n v="11381000000"/>
    <x v="4"/>
    <x v="2"/>
    <x v="102"/>
  </r>
  <r>
    <x v="271"/>
    <x v="2"/>
    <d v="2015-06-30T00:00:00"/>
    <x v="1075"/>
    <x v="1037"/>
    <x v="1017"/>
    <n v="12046000000"/>
    <x v="4"/>
    <x v="2"/>
    <x v="102"/>
  </r>
  <r>
    <x v="271"/>
    <x v="3"/>
    <d v="2016-06-30T00:00:00"/>
    <x v="1076"/>
    <x v="1038"/>
    <x v="1018"/>
    <n v="11988000000"/>
    <x v="4"/>
    <x v="2"/>
    <x v="102"/>
  </r>
  <r>
    <x v="272"/>
    <x v="0"/>
    <d v="2012-12-31T00:00:00"/>
    <x v="1077"/>
    <x v="1039"/>
    <x v="1019"/>
    <n v="0"/>
    <x v="566"/>
    <x v="6"/>
    <x v="35"/>
  </r>
  <r>
    <x v="272"/>
    <x v="1"/>
    <d v="2013-12-31T00:00:00"/>
    <x v="1078"/>
    <x v="1040"/>
    <x v="1020"/>
    <n v="0"/>
    <x v="567"/>
    <x v="6"/>
    <x v="35"/>
  </r>
  <r>
    <x v="272"/>
    <x v="2"/>
    <d v="2014-12-31T00:00:00"/>
    <x v="1079"/>
    <x v="1041"/>
    <x v="1021"/>
    <n v="0"/>
    <x v="568"/>
    <x v="6"/>
    <x v="35"/>
  </r>
  <r>
    <x v="272"/>
    <x v="3"/>
    <d v="2015-12-31T00:00:00"/>
    <x v="1080"/>
    <x v="1042"/>
    <x v="1022"/>
    <n v="0"/>
    <x v="569"/>
    <x v="6"/>
    <x v="35"/>
  </r>
  <r>
    <x v="273"/>
    <x v="0"/>
    <d v="2013-12-31T00:00:00"/>
    <x v="1081"/>
    <x v="1043"/>
    <x v="1023"/>
    <n v="116346000"/>
    <x v="570"/>
    <x v="3"/>
    <x v="88"/>
  </r>
  <r>
    <x v="273"/>
    <x v="1"/>
    <d v="2014-12-31T00:00:00"/>
    <x v="1082"/>
    <x v="1044"/>
    <x v="1024"/>
    <n v="123297000"/>
    <x v="571"/>
    <x v="3"/>
    <x v="88"/>
  </r>
  <r>
    <x v="273"/>
    <x v="2"/>
    <d v="2015-12-31T00:00:00"/>
    <x v="1083"/>
    <x v="1045"/>
    <x v="1025"/>
    <n v="119076000"/>
    <x v="572"/>
    <x v="3"/>
    <x v="88"/>
  </r>
  <r>
    <x v="273"/>
    <x v="3"/>
    <d v="2016-12-31T00:00:00"/>
    <x v="1084"/>
    <x v="1046"/>
    <x v="1026"/>
    <n v="119968000"/>
    <x v="573"/>
    <x v="3"/>
    <x v="88"/>
  </r>
  <r>
    <x v="274"/>
    <x v="0"/>
    <d v="2013-08-29T00:00:00"/>
    <x v="1085"/>
    <x v="1047"/>
    <x v="267"/>
    <n v="931000000"/>
    <x v="4"/>
    <x v="2"/>
    <x v="7"/>
  </r>
  <r>
    <x v="274"/>
    <x v="1"/>
    <d v="2014-08-28T00:00:00"/>
    <x v="1086"/>
    <x v="1048"/>
    <x v="1027"/>
    <n v="1371000000"/>
    <x v="4"/>
    <x v="2"/>
    <x v="7"/>
  </r>
  <r>
    <x v="274"/>
    <x v="2"/>
    <d v="2015-09-03T00:00:00"/>
    <x v="1087"/>
    <x v="1049"/>
    <x v="1028"/>
    <n v="1540000000"/>
    <x v="4"/>
    <x v="2"/>
    <x v="7"/>
  </r>
  <r>
    <x v="274"/>
    <x v="3"/>
    <d v="2016-09-01T00:00:00"/>
    <x v="1088"/>
    <x v="1050"/>
    <x v="1029"/>
    <n v="1617000000"/>
    <x v="4"/>
    <x v="2"/>
    <x v="7"/>
  </r>
  <r>
    <x v="275"/>
    <x v="0"/>
    <d v="2012-12-31T00:00:00"/>
    <x v="1089"/>
    <x v="1051"/>
    <x v="1030"/>
    <n v="0"/>
    <x v="574"/>
    <x v="9"/>
    <x v="48"/>
  </r>
  <r>
    <x v="275"/>
    <x v="1"/>
    <d v="2013-12-31T00:00:00"/>
    <x v="1090"/>
    <x v="1052"/>
    <x v="1031"/>
    <n v="0"/>
    <x v="575"/>
    <x v="9"/>
    <x v="48"/>
  </r>
  <r>
    <x v="275"/>
    <x v="2"/>
    <d v="2014-12-31T00:00:00"/>
    <x v="1091"/>
    <x v="1053"/>
    <x v="1032"/>
    <n v="0"/>
    <x v="576"/>
    <x v="9"/>
    <x v="48"/>
  </r>
  <r>
    <x v="275"/>
    <x v="3"/>
    <d v="2015-12-31T00:00:00"/>
    <x v="1092"/>
    <x v="1054"/>
    <x v="1033"/>
    <n v="0"/>
    <x v="577"/>
    <x v="9"/>
    <x v="48"/>
  </r>
  <r>
    <x v="276"/>
    <x v="0"/>
    <d v="2014-12-31T00:00:00"/>
    <x v="1093"/>
    <x v="1055"/>
    <x v="1034"/>
    <n v="581800000"/>
    <x v="4"/>
    <x v="3"/>
    <x v="3"/>
  </r>
  <r>
    <x v="276"/>
    <x v="1"/>
    <d v="2015-12-31T00:00:00"/>
    <x v="1094"/>
    <x v="1056"/>
    <x v="1035"/>
    <n v="671900000"/>
    <x v="4"/>
    <x v="3"/>
    <x v="3"/>
  </r>
  <r>
    <x v="277"/>
    <x v="0"/>
    <d v="2013-12-31T00:00:00"/>
    <x v="1095"/>
    <x v="1057"/>
    <x v="1036"/>
    <n v="0"/>
    <x v="406"/>
    <x v="9"/>
    <x v="27"/>
  </r>
  <r>
    <x v="277"/>
    <x v="1"/>
    <d v="2014-12-31T00:00:00"/>
    <x v="1096"/>
    <x v="1058"/>
    <x v="316"/>
    <n v="0"/>
    <x v="578"/>
    <x v="9"/>
    <x v="27"/>
  </r>
  <r>
    <x v="277"/>
    <x v="2"/>
    <d v="2015-12-31T00:00:00"/>
    <x v="1097"/>
    <x v="1059"/>
    <x v="1037"/>
    <n v="0"/>
    <x v="579"/>
    <x v="9"/>
    <x v="27"/>
  </r>
  <r>
    <x v="277"/>
    <x v="3"/>
    <d v="2016-12-31T00:00:00"/>
    <x v="1098"/>
    <x v="1060"/>
    <x v="1038"/>
    <n v="0"/>
    <x v="580"/>
    <x v="9"/>
    <x v="27"/>
  </r>
  <r>
    <x v="278"/>
    <x v="0"/>
    <d v="2012-12-31T00:00:00"/>
    <x v="1099"/>
    <x v="1061"/>
    <x v="1039"/>
    <n v="0"/>
    <x v="581"/>
    <x v="6"/>
    <x v="97"/>
  </r>
  <r>
    <x v="278"/>
    <x v="1"/>
    <d v="2013-12-31T00:00:00"/>
    <x v="1100"/>
    <x v="1062"/>
    <x v="1040"/>
    <n v="0"/>
    <x v="582"/>
    <x v="6"/>
    <x v="97"/>
  </r>
  <r>
    <x v="278"/>
    <x v="2"/>
    <d v="2014-12-31T00:00:00"/>
    <x v="1101"/>
    <x v="1063"/>
    <x v="118"/>
    <n v="0"/>
    <x v="583"/>
    <x v="6"/>
    <x v="97"/>
  </r>
  <r>
    <x v="278"/>
    <x v="3"/>
    <d v="2015-12-31T00:00:00"/>
    <x v="1102"/>
    <x v="1064"/>
    <x v="1041"/>
    <n v="0"/>
    <x v="584"/>
    <x v="6"/>
    <x v="97"/>
  </r>
  <r>
    <x v="279"/>
    <x v="0"/>
    <d v="2012-12-31T00:00:00"/>
    <x v="1103"/>
    <x v="1065"/>
    <x v="732"/>
    <n v="0"/>
    <x v="585"/>
    <x v="5"/>
    <x v="10"/>
  </r>
  <r>
    <x v="279"/>
    <x v="1"/>
    <d v="2013-12-31T00:00:00"/>
    <x v="1104"/>
    <x v="1066"/>
    <x v="1042"/>
    <n v="0"/>
    <x v="586"/>
    <x v="5"/>
    <x v="10"/>
  </r>
  <r>
    <x v="279"/>
    <x v="2"/>
    <d v="2014-12-31T00:00:00"/>
    <x v="1105"/>
    <x v="1067"/>
    <x v="1043"/>
    <n v="0"/>
    <x v="587"/>
    <x v="5"/>
    <x v="10"/>
  </r>
  <r>
    <x v="279"/>
    <x v="3"/>
    <d v="2015-12-31T00:00:00"/>
    <x v="1106"/>
    <x v="1068"/>
    <x v="1044"/>
    <n v="0"/>
    <x v="588"/>
    <x v="5"/>
    <x v="10"/>
  </r>
  <r>
    <x v="280"/>
    <x v="0"/>
    <d v="2012-12-31T00:00:00"/>
    <x v="1107"/>
    <x v="1069"/>
    <x v="1045"/>
    <n v="704000000"/>
    <x v="589"/>
    <x v="8"/>
    <x v="103"/>
  </r>
  <r>
    <x v="280"/>
    <x v="1"/>
    <d v="2013-12-31T00:00:00"/>
    <x v="1108"/>
    <x v="1070"/>
    <x v="1046"/>
    <n v="469000000"/>
    <x v="590"/>
    <x v="8"/>
    <x v="103"/>
  </r>
  <r>
    <x v="280"/>
    <x v="2"/>
    <d v="2014-12-31T00:00:00"/>
    <x v="1109"/>
    <x v="1071"/>
    <x v="1047"/>
    <n v="325000000"/>
    <x v="591"/>
    <x v="8"/>
    <x v="103"/>
  </r>
  <r>
    <x v="280"/>
    <x v="3"/>
    <d v="2015-12-31T00:00:00"/>
    <x v="1110"/>
    <x v="1072"/>
    <x v="1048"/>
    <n v="289000000"/>
    <x v="592"/>
    <x v="8"/>
    <x v="103"/>
  </r>
  <r>
    <x v="281"/>
    <x v="0"/>
    <d v="2013-12-31T00:00:00"/>
    <x v="1111"/>
    <x v="1073"/>
    <x v="1049"/>
    <n v="378769000"/>
    <x v="4"/>
    <x v="2"/>
    <x v="16"/>
  </r>
  <r>
    <x v="281"/>
    <x v="1"/>
    <d v="2014-12-31T00:00:00"/>
    <x v="1112"/>
    <x v="1074"/>
    <x v="1050"/>
    <n v="472321000"/>
    <x v="4"/>
    <x v="2"/>
    <x v="16"/>
  </r>
  <r>
    <x v="281"/>
    <x v="2"/>
    <d v="2015-12-31T00:00:00"/>
    <x v="1113"/>
    <x v="1075"/>
    <x v="1051"/>
    <n v="650788000"/>
    <x v="4"/>
    <x v="2"/>
    <x v="16"/>
  </r>
  <r>
    <x v="281"/>
    <x v="3"/>
    <d v="2016-12-31T00:00:00"/>
    <x v="1114"/>
    <x v="1076"/>
    <x v="1052"/>
    <n v="852098000"/>
    <x v="4"/>
    <x v="2"/>
    <x v="16"/>
  </r>
  <r>
    <x v="282"/>
    <x v="0"/>
    <d v="2012-12-31T00:00:00"/>
    <x v="1115"/>
    <x v="1077"/>
    <x v="1053"/>
    <n v="0"/>
    <x v="593"/>
    <x v="9"/>
    <x v="27"/>
  </r>
  <r>
    <x v="282"/>
    <x v="1"/>
    <d v="2013-12-31T00:00:00"/>
    <x v="1116"/>
    <x v="1078"/>
    <x v="1053"/>
    <n v="0"/>
    <x v="184"/>
    <x v="9"/>
    <x v="27"/>
  </r>
  <r>
    <x v="282"/>
    <x v="2"/>
    <d v="2014-12-31T00:00:00"/>
    <x v="1117"/>
    <x v="1079"/>
    <x v="1054"/>
    <n v="0"/>
    <x v="594"/>
    <x v="9"/>
    <x v="27"/>
  </r>
  <r>
    <x v="282"/>
    <x v="3"/>
    <d v="2015-12-31T00:00:00"/>
    <x v="1118"/>
    <x v="1080"/>
    <x v="1055"/>
    <n v="0"/>
    <x v="595"/>
    <x v="9"/>
    <x v="27"/>
  </r>
  <r>
    <x v="283"/>
    <x v="0"/>
    <d v="2013-05-31T00:00:00"/>
    <x v="1119"/>
    <x v="1081"/>
    <x v="1056"/>
    <n v="0"/>
    <x v="4"/>
    <x v="1"/>
    <x v="82"/>
  </r>
  <r>
    <x v="283"/>
    <x v="1"/>
    <d v="2014-05-31T00:00:00"/>
    <x v="1120"/>
    <x v="1082"/>
    <x v="1057"/>
    <n v="0"/>
    <x v="4"/>
    <x v="1"/>
    <x v="82"/>
  </r>
  <r>
    <x v="283"/>
    <x v="2"/>
    <d v="2015-05-31T00:00:00"/>
    <x v="1121"/>
    <x v="1083"/>
    <x v="1058"/>
    <n v="0"/>
    <x v="4"/>
    <x v="1"/>
    <x v="82"/>
  </r>
  <r>
    <x v="283"/>
    <x v="3"/>
    <d v="2016-05-31T00:00:00"/>
    <x v="1122"/>
    <x v="1084"/>
    <x v="1059"/>
    <n v="0"/>
    <x v="4"/>
    <x v="1"/>
    <x v="82"/>
  </r>
  <r>
    <x v="284"/>
    <x v="0"/>
    <d v="2013-12-31T00:00:00"/>
    <x v="1123"/>
    <x v="1085"/>
    <x v="1060"/>
    <n v="0"/>
    <x v="596"/>
    <x v="0"/>
    <x v="68"/>
  </r>
  <r>
    <x v="284"/>
    <x v="1"/>
    <d v="2014-12-31T00:00:00"/>
    <x v="1124"/>
    <x v="1086"/>
    <x v="1061"/>
    <n v="0"/>
    <x v="597"/>
    <x v="0"/>
    <x v="68"/>
  </r>
  <r>
    <x v="284"/>
    <x v="2"/>
    <d v="2015-12-31T00:00:00"/>
    <x v="1125"/>
    <x v="1087"/>
    <x v="1062"/>
    <n v="0"/>
    <x v="598"/>
    <x v="0"/>
    <x v="68"/>
  </r>
  <r>
    <x v="284"/>
    <x v="3"/>
    <d v="2016-12-31T00:00:00"/>
    <x v="1126"/>
    <x v="1088"/>
    <x v="1063"/>
    <n v="0"/>
    <x v="599"/>
    <x v="0"/>
    <x v="68"/>
  </r>
  <r>
    <x v="285"/>
    <x v="0"/>
    <d v="2012-12-31T00:00:00"/>
    <x v="1127"/>
    <x v="1089"/>
    <x v="1064"/>
    <n v="0"/>
    <x v="4"/>
    <x v="9"/>
    <x v="37"/>
  </r>
  <r>
    <x v="285"/>
    <x v="1"/>
    <d v="2013-12-31T00:00:00"/>
    <x v="315"/>
    <x v="1090"/>
    <x v="1065"/>
    <n v="0"/>
    <x v="4"/>
    <x v="9"/>
    <x v="37"/>
  </r>
  <r>
    <x v="285"/>
    <x v="2"/>
    <d v="2014-12-31T00:00:00"/>
    <x v="1128"/>
    <x v="1091"/>
    <x v="1066"/>
    <n v="0"/>
    <x v="4"/>
    <x v="9"/>
    <x v="37"/>
  </r>
  <r>
    <x v="285"/>
    <x v="3"/>
    <d v="2015-12-31T00:00:00"/>
    <x v="1129"/>
    <x v="1092"/>
    <x v="1067"/>
    <n v="0"/>
    <x v="4"/>
    <x v="9"/>
    <x v="37"/>
  </r>
  <r>
    <x v="286"/>
    <x v="0"/>
    <d v="2013-12-31T00:00:00"/>
    <x v="1130"/>
    <x v="1093"/>
    <x v="1068"/>
    <n v="0"/>
    <x v="600"/>
    <x v="0"/>
    <x v="59"/>
  </r>
  <r>
    <x v="286"/>
    <x v="1"/>
    <d v="2014-12-31T00:00:00"/>
    <x v="1131"/>
    <x v="1094"/>
    <x v="1069"/>
    <n v="0"/>
    <x v="601"/>
    <x v="0"/>
    <x v="59"/>
  </r>
  <r>
    <x v="286"/>
    <x v="2"/>
    <d v="2015-12-31T00:00:00"/>
    <x v="1132"/>
    <x v="1095"/>
    <x v="1070"/>
    <n v="0"/>
    <x v="602"/>
    <x v="0"/>
    <x v="59"/>
  </r>
  <r>
    <x v="286"/>
    <x v="3"/>
    <d v="2016-12-31T00:00:00"/>
    <x v="1133"/>
    <x v="1096"/>
    <x v="452"/>
    <n v="0"/>
    <x v="603"/>
    <x v="0"/>
    <x v="59"/>
  </r>
  <r>
    <x v="287"/>
    <x v="0"/>
    <d v="2013-04-26T00:00:00"/>
    <x v="1134"/>
    <x v="1097"/>
    <x v="1071"/>
    <n v="904200000"/>
    <x v="4"/>
    <x v="2"/>
    <x v="16"/>
  </r>
  <r>
    <x v="287"/>
    <x v="1"/>
    <d v="2014-04-25T00:00:00"/>
    <x v="1135"/>
    <x v="1098"/>
    <x v="1072"/>
    <n v="918000000"/>
    <x v="4"/>
    <x v="2"/>
    <x v="16"/>
  </r>
  <r>
    <x v="287"/>
    <x v="2"/>
    <d v="2015-04-24T00:00:00"/>
    <x v="1136"/>
    <x v="1099"/>
    <x v="244"/>
    <n v="920000000"/>
    <x v="4"/>
    <x v="2"/>
    <x v="16"/>
  </r>
  <r>
    <x v="287"/>
    <x v="3"/>
    <d v="2016-04-29T00:00:00"/>
    <x v="1137"/>
    <x v="220"/>
    <x v="1073"/>
    <n v="861000000"/>
    <x v="4"/>
    <x v="2"/>
    <x v="16"/>
  </r>
  <r>
    <x v="288"/>
    <x v="0"/>
    <d v="2012-12-31T00:00:00"/>
    <x v="1138"/>
    <x v="1100"/>
    <x v="1074"/>
    <n v="0"/>
    <x v="4"/>
    <x v="8"/>
    <x v="104"/>
  </r>
  <r>
    <x v="288"/>
    <x v="1"/>
    <d v="2013-12-31T00:00:00"/>
    <x v="1139"/>
    <x v="1101"/>
    <x v="1075"/>
    <n v="0"/>
    <x v="4"/>
    <x v="8"/>
    <x v="104"/>
  </r>
  <r>
    <x v="288"/>
    <x v="2"/>
    <d v="2014-12-31T00:00:00"/>
    <x v="1140"/>
    <x v="1102"/>
    <x v="1076"/>
    <n v="0"/>
    <x v="4"/>
    <x v="8"/>
    <x v="104"/>
  </r>
  <r>
    <x v="288"/>
    <x v="3"/>
    <d v="2015-12-31T00:00:00"/>
    <x v="1141"/>
    <x v="1103"/>
    <x v="1077"/>
    <n v="0"/>
    <x v="4"/>
    <x v="8"/>
    <x v="104"/>
  </r>
  <r>
    <x v="289"/>
    <x v="0"/>
    <d v="2013-01-27T00:00:00"/>
    <x v="1142"/>
    <x v="1104"/>
    <x v="1078"/>
    <n v="1147282000"/>
    <x v="4"/>
    <x v="2"/>
    <x v="7"/>
  </r>
  <r>
    <x v="289"/>
    <x v="1"/>
    <d v="2014-01-26T00:00:00"/>
    <x v="1143"/>
    <x v="1105"/>
    <x v="1079"/>
    <n v="1336000000"/>
    <x v="4"/>
    <x v="2"/>
    <x v="7"/>
  </r>
  <r>
    <x v="289"/>
    <x v="2"/>
    <d v="2015-01-25T00:00:00"/>
    <x v="1144"/>
    <x v="1106"/>
    <x v="1080"/>
    <n v="1360000000"/>
    <x v="4"/>
    <x v="2"/>
    <x v="7"/>
  </r>
  <r>
    <x v="289"/>
    <x v="3"/>
    <d v="2016-01-31T00:00:00"/>
    <x v="1145"/>
    <x v="1107"/>
    <x v="1081"/>
    <n v="1331000000"/>
    <x v="4"/>
    <x v="2"/>
    <x v="7"/>
  </r>
  <r>
    <x v="290"/>
    <x v="0"/>
    <d v="2012-12-31T00:00:00"/>
    <x v="1146"/>
    <x v="1108"/>
    <x v="1082"/>
    <n v="0"/>
    <x v="4"/>
    <x v="1"/>
    <x v="105"/>
  </r>
  <r>
    <x v="290"/>
    <x v="1"/>
    <d v="2013-12-31T00:00:00"/>
    <x v="1147"/>
    <x v="1109"/>
    <x v="1083"/>
    <n v="0"/>
    <x v="4"/>
    <x v="1"/>
    <x v="105"/>
  </r>
  <r>
    <x v="290"/>
    <x v="2"/>
    <d v="2014-12-31T00:00:00"/>
    <x v="1148"/>
    <x v="1110"/>
    <x v="1084"/>
    <n v="0"/>
    <x v="4"/>
    <x v="1"/>
    <x v="105"/>
  </r>
  <r>
    <x v="290"/>
    <x v="3"/>
    <d v="2015-12-31T00:00:00"/>
    <x v="1149"/>
    <x v="1111"/>
    <x v="1085"/>
    <n v="0"/>
    <x v="4"/>
    <x v="1"/>
    <x v="105"/>
  </r>
  <r>
    <x v="291"/>
    <x v="0"/>
    <d v="2012-12-31T00:00:00"/>
    <x v="1150"/>
    <x v="1112"/>
    <x v="1086"/>
    <n v="0"/>
    <x v="604"/>
    <x v="7"/>
    <x v="77"/>
  </r>
  <r>
    <x v="291"/>
    <x v="1"/>
    <d v="2013-12-31T00:00:00"/>
    <x v="1151"/>
    <x v="1113"/>
    <x v="1087"/>
    <n v="0"/>
    <x v="605"/>
    <x v="7"/>
    <x v="77"/>
  </r>
  <r>
    <x v="291"/>
    <x v="2"/>
    <d v="2014-12-31T00:00:00"/>
    <x v="1152"/>
    <x v="1114"/>
    <x v="1088"/>
    <n v="0"/>
    <x v="606"/>
    <x v="7"/>
    <x v="77"/>
  </r>
  <r>
    <x v="291"/>
    <x v="3"/>
    <d v="2015-12-31T00:00:00"/>
    <x v="1153"/>
    <x v="1115"/>
    <x v="1089"/>
    <n v="0"/>
    <x v="607"/>
    <x v="7"/>
    <x v="77"/>
  </r>
  <r>
    <x v="292"/>
    <x v="0"/>
    <d v="2012-12-31T00:00:00"/>
    <x v="1154"/>
    <x v="1116"/>
    <x v="1090"/>
    <n v="0"/>
    <x v="608"/>
    <x v="9"/>
    <x v="27"/>
  </r>
  <r>
    <x v="292"/>
    <x v="1"/>
    <d v="2013-12-31T00:00:00"/>
    <x v="1155"/>
    <x v="1117"/>
    <x v="1091"/>
    <n v="0"/>
    <x v="609"/>
    <x v="9"/>
    <x v="27"/>
  </r>
  <r>
    <x v="292"/>
    <x v="2"/>
    <d v="2014-12-31T00:00:00"/>
    <x v="1156"/>
    <x v="1118"/>
    <x v="1092"/>
    <n v="0"/>
    <x v="610"/>
    <x v="9"/>
    <x v="27"/>
  </r>
  <r>
    <x v="292"/>
    <x v="3"/>
    <d v="2015-12-31T00:00:00"/>
    <x v="1157"/>
    <x v="1119"/>
    <x v="1093"/>
    <n v="0"/>
    <x v="611"/>
    <x v="9"/>
    <x v="27"/>
  </r>
  <r>
    <x v="293"/>
    <x v="0"/>
    <d v="2014-12-31T00:00:00"/>
    <x v="1158"/>
    <x v="1120"/>
    <x v="1094"/>
    <n v="0"/>
    <x v="612"/>
    <x v="1"/>
    <x v="89"/>
  </r>
  <r>
    <x v="293"/>
    <x v="1"/>
    <d v="2015-12-31T00:00:00"/>
    <x v="1159"/>
    <x v="1121"/>
    <x v="1095"/>
    <n v="0"/>
    <x v="613"/>
    <x v="1"/>
    <x v="89"/>
  </r>
  <r>
    <x v="293"/>
    <x v="2"/>
    <d v="2016-12-31T00:00:00"/>
    <x v="1160"/>
    <x v="1122"/>
    <x v="1096"/>
    <n v="0"/>
    <x v="614"/>
    <x v="1"/>
    <x v="89"/>
  </r>
  <r>
    <x v="294"/>
    <x v="0"/>
    <d v="2012-12-31T00:00:00"/>
    <x v="1161"/>
    <x v="1123"/>
    <x v="1097"/>
    <n v="0"/>
    <x v="4"/>
    <x v="1"/>
    <x v="25"/>
  </r>
  <r>
    <x v="294"/>
    <x v="1"/>
    <d v="2013-12-31T00:00:00"/>
    <x v="1162"/>
    <x v="1124"/>
    <x v="1098"/>
    <n v="0"/>
    <x v="4"/>
    <x v="1"/>
    <x v="25"/>
  </r>
  <r>
    <x v="294"/>
    <x v="2"/>
    <d v="2014-12-31T00:00:00"/>
    <x v="1163"/>
    <x v="1125"/>
    <x v="1099"/>
    <n v="0"/>
    <x v="4"/>
    <x v="1"/>
    <x v="25"/>
  </r>
  <r>
    <x v="294"/>
    <x v="3"/>
    <d v="2015-12-31T00:00:00"/>
    <x v="1164"/>
    <x v="1126"/>
    <x v="1100"/>
    <n v="0"/>
    <x v="4"/>
    <x v="1"/>
    <x v="25"/>
  </r>
  <r>
    <x v="295"/>
    <x v="0"/>
    <d v="2012-12-31T00:00:00"/>
    <x v="1165"/>
    <x v="1127"/>
    <x v="241"/>
    <n v="0"/>
    <x v="615"/>
    <x v="9"/>
    <x v="27"/>
  </r>
  <r>
    <x v="295"/>
    <x v="1"/>
    <d v="2013-12-31T00:00:00"/>
    <x v="1166"/>
    <x v="1128"/>
    <x v="1101"/>
    <n v="0"/>
    <x v="616"/>
    <x v="9"/>
    <x v="27"/>
  </r>
  <r>
    <x v="295"/>
    <x v="2"/>
    <d v="2014-12-31T00:00:00"/>
    <x v="1167"/>
    <x v="1129"/>
    <x v="1102"/>
    <n v="0"/>
    <x v="617"/>
    <x v="9"/>
    <x v="27"/>
  </r>
  <r>
    <x v="295"/>
    <x v="3"/>
    <d v="2015-12-31T00:00:00"/>
    <x v="1168"/>
    <x v="1130"/>
    <x v="1103"/>
    <n v="0"/>
    <x v="618"/>
    <x v="9"/>
    <x v="27"/>
  </r>
  <r>
    <x v="296"/>
    <x v="0"/>
    <d v="2012-12-31T00:00:00"/>
    <x v="1169"/>
    <x v="1131"/>
    <x v="1104"/>
    <n v="0"/>
    <x v="619"/>
    <x v="6"/>
    <x v="106"/>
  </r>
  <r>
    <x v="296"/>
    <x v="1"/>
    <d v="2013-12-31T00:00:00"/>
    <x v="1170"/>
    <x v="1132"/>
    <x v="1105"/>
    <n v="0"/>
    <x v="620"/>
    <x v="6"/>
    <x v="106"/>
  </r>
  <r>
    <x v="296"/>
    <x v="2"/>
    <d v="2014-12-31T00:00:00"/>
    <x v="1171"/>
    <x v="1133"/>
    <x v="1106"/>
    <n v="0"/>
    <x v="621"/>
    <x v="6"/>
    <x v="106"/>
  </r>
  <r>
    <x v="296"/>
    <x v="3"/>
    <d v="2015-12-31T00:00:00"/>
    <x v="1172"/>
    <x v="1134"/>
    <x v="1107"/>
    <n v="0"/>
    <x v="622"/>
    <x v="6"/>
    <x v="106"/>
  </r>
  <r>
    <x v="297"/>
    <x v="0"/>
    <d v="2012-12-31T00:00:00"/>
    <x v="1173"/>
    <x v="1135"/>
    <x v="1108"/>
    <n v="114250000"/>
    <x v="4"/>
    <x v="0"/>
    <x v="107"/>
  </r>
  <r>
    <x v="297"/>
    <x v="1"/>
    <d v="2013-12-31T00:00:00"/>
    <x v="1174"/>
    <x v="1136"/>
    <x v="1109"/>
    <n v="110412000"/>
    <x v="4"/>
    <x v="0"/>
    <x v="107"/>
  </r>
  <r>
    <x v="297"/>
    <x v="2"/>
    <d v="2014-12-31T00:00:00"/>
    <x v="1175"/>
    <x v="1137"/>
    <x v="1110"/>
    <n v="109931000"/>
    <x v="4"/>
    <x v="0"/>
    <x v="107"/>
  </r>
  <r>
    <x v="297"/>
    <x v="3"/>
    <d v="2015-12-31T00:00:00"/>
    <x v="1176"/>
    <x v="1138"/>
    <x v="1111"/>
    <n v="110156000"/>
    <x v="4"/>
    <x v="0"/>
    <x v="107"/>
  </r>
  <r>
    <x v="298"/>
    <x v="0"/>
    <d v="2012-12-31T00:00:00"/>
    <x v="1177"/>
    <x v="1139"/>
    <x v="1112"/>
    <n v="279300000"/>
    <x v="623"/>
    <x v="0"/>
    <x v="41"/>
  </r>
  <r>
    <x v="298"/>
    <x v="1"/>
    <d v="2013-12-31T00:00:00"/>
    <x v="446"/>
    <x v="1140"/>
    <x v="1113"/>
    <n v="251400000"/>
    <x v="624"/>
    <x v="0"/>
    <x v="41"/>
  </r>
  <r>
    <x v="298"/>
    <x v="2"/>
    <d v="2014-12-31T00:00:00"/>
    <x v="1178"/>
    <x v="1141"/>
    <x v="1114"/>
    <n v="215600000"/>
    <x v="625"/>
    <x v="0"/>
    <x v="41"/>
  </r>
  <r>
    <x v="298"/>
    <x v="3"/>
    <d v="2015-12-31T00:00:00"/>
    <x v="1179"/>
    <x v="1142"/>
    <x v="1115"/>
    <n v="239800000"/>
    <x v="626"/>
    <x v="0"/>
    <x v="41"/>
  </r>
  <r>
    <x v="299"/>
    <x v="0"/>
    <d v="2013-12-31T00:00:00"/>
    <x v="1180"/>
    <x v="1143"/>
    <x v="52"/>
    <n v="0"/>
    <x v="627"/>
    <x v="5"/>
    <x v="10"/>
  </r>
  <r>
    <x v="299"/>
    <x v="1"/>
    <d v="2014-12-31T00:00:00"/>
    <x v="1181"/>
    <x v="1144"/>
    <x v="52"/>
    <n v="0"/>
    <x v="628"/>
    <x v="5"/>
    <x v="10"/>
  </r>
  <r>
    <x v="299"/>
    <x v="2"/>
    <d v="2015-12-31T00:00:00"/>
    <x v="1182"/>
    <x v="1145"/>
    <x v="52"/>
    <n v="0"/>
    <x v="629"/>
    <x v="5"/>
    <x v="10"/>
  </r>
  <r>
    <x v="299"/>
    <x v="3"/>
    <d v="2016-12-31T00:00:00"/>
    <x v="1183"/>
    <x v="1146"/>
    <x v="52"/>
    <n v="0"/>
    <x v="630"/>
    <x v="5"/>
    <x v="10"/>
  </r>
  <r>
    <x v="300"/>
    <x v="0"/>
    <d v="2012-12-31T00:00:00"/>
    <x v="1184"/>
    <x v="1147"/>
    <x v="1116"/>
    <n v="0"/>
    <x v="631"/>
    <x v="1"/>
    <x v="24"/>
  </r>
  <r>
    <x v="300"/>
    <x v="1"/>
    <d v="2013-12-31T00:00:00"/>
    <x v="1185"/>
    <x v="1148"/>
    <x v="1117"/>
    <n v="0"/>
    <x v="632"/>
    <x v="1"/>
    <x v="24"/>
  </r>
  <r>
    <x v="300"/>
    <x v="2"/>
    <d v="2014-12-31T00:00:00"/>
    <x v="1186"/>
    <x v="1149"/>
    <x v="1118"/>
    <n v="0"/>
    <x v="633"/>
    <x v="1"/>
    <x v="24"/>
  </r>
  <r>
    <x v="300"/>
    <x v="3"/>
    <d v="2015-12-31T00:00:00"/>
    <x v="1187"/>
    <x v="1150"/>
    <x v="1119"/>
    <n v="0"/>
    <x v="634"/>
    <x v="1"/>
    <x v="24"/>
  </r>
  <r>
    <x v="301"/>
    <x v="0"/>
    <d v="2013-04-27T00:00:00"/>
    <x v="1188"/>
    <x v="1151"/>
    <x v="52"/>
    <n v="0"/>
    <x v="4"/>
    <x v="3"/>
    <x v="54"/>
  </r>
  <r>
    <x v="301"/>
    <x v="1"/>
    <d v="2014-04-26T00:00:00"/>
    <x v="1189"/>
    <x v="1152"/>
    <x v="52"/>
    <n v="0"/>
    <x v="4"/>
    <x v="3"/>
    <x v="54"/>
  </r>
  <r>
    <x v="301"/>
    <x v="2"/>
    <d v="2015-04-25T00:00:00"/>
    <x v="1190"/>
    <x v="1153"/>
    <x v="52"/>
    <n v="0"/>
    <x v="4"/>
    <x v="3"/>
    <x v="54"/>
  </r>
  <r>
    <x v="301"/>
    <x v="3"/>
    <d v="2016-04-30T00:00:00"/>
    <x v="1191"/>
    <x v="1154"/>
    <x v="52"/>
    <n v="0"/>
    <x v="4"/>
    <x v="3"/>
    <x v="54"/>
  </r>
  <r>
    <x v="302"/>
    <x v="0"/>
    <d v="2012-12-31T00:00:00"/>
    <x v="1192"/>
    <x v="1155"/>
    <x v="1120"/>
    <n v="0"/>
    <x v="602"/>
    <x v="5"/>
    <x v="11"/>
  </r>
  <r>
    <x v="302"/>
    <x v="1"/>
    <d v="2013-12-31T00:00:00"/>
    <x v="181"/>
    <x v="1156"/>
    <x v="1121"/>
    <n v="0"/>
    <x v="635"/>
    <x v="5"/>
    <x v="11"/>
  </r>
  <r>
    <x v="302"/>
    <x v="2"/>
    <d v="2014-12-31T00:00:00"/>
    <x v="1193"/>
    <x v="1157"/>
    <x v="52"/>
    <n v="0"/>
    <x v="636"/>
    <x v="5"/>
    <x v="11"/>
  </r>
  <r>
    <x v="302"/>
    <x v="3"/>
    <d v="2015-12-31T00:00:00"/>
    <x v="1194"/>
    <x v="1158"/>
    <x v="52"/>
    <n v="0"/>
    <x v="637"/>
    <x v="5"/>
    <x v="11"/>
  </r>
  <r>
    <x v="303"/>
    <x v="0"/>
    <d v="2013-12-28T00:00:00"/>
    <x v="1195"/>
    <x v="1159"/>
    <x v="1122"/>
    <n v="0"/>
    <x v="638"/>
    <x v="4"/>
    <x v="69"/>
  </r>
  <r>
    <x v="303"/>
    <x v="1"/>
    <d v="2014-12-27T00:00:00"/>
    <x v="1196"/>
    <x v="1160"/>
    <x v="1123"/>
    <n v="0"/>
    <x v="639"/>
    <x v="4"/>
    <x v="69"/>
  </r>
  <r>
    <x v="303"/>
    <x v="2"/>
    <d v="2015-12-26T00:00:00"/>
    <x v="1197"/>
    <x v="1161"/>
    <x v="1124"/>
    <n v="0"/>
    <x v="248"/>
    <x v="4"/>
    <x v="69"/>
  </r>
  <r>
    <x v="303"/>
    <x v="3"/>
    <d v="2016-12-31T00:00:00"/>
    <x v="1198"/>
    <x v="1162"/>
    <x v="1125"/>
    <n v="0"/>
    <x v="640"/>
    <x v="4"/>
    <x v="69"/>
  </r>
  <r>
    <x v="304"/>
    <x v="0"/>
    <d v="2012-12-31T00:00:00"/>
    <x v="1199"/>
    <x v="1163"/>
    <x v="1126"/>
    <n v="7482000000"/>
    <x v="641"/>
    <x v="3"/>
    <x v="3"/>
  </r>
  <r>
    <x v="304"/>
    <x v="1"/>
    <d v="2013-12-31T00:00:00"/>
    <x v="1200"/>
    <x v="1164"/>
    <x v="1127"/>
    <n v="6678000000"/>
    <x v="642"/>
    <x v="3"/>
    <x v="3"/>
  </r>
  <r>
    <x v="304"/>
    <x v="2"/>
    <d v="2014-12-31T00:00:00"/>
    <x v="1201"/>
    <x v="1165"/>
    <x v="1128"/>
    <n v="8393000000"/>
    <x v="643"/>
    <x v="3"/>
    <x v="3"/>
  </r>
  <r>
    <x v="304"/>
    <x v="3"/>
    <d v="2015-12-31T00:00:00"/>
    <x v="1202"/>
    <x v="1166"/>
    <x v="1129"/>
    <n v="7690000000"/>
    <x v="644"/>
    <x v="3"/>
    <x v="3"/>
  </r>
  <r>
    <x v="305"/>
    <x v="0"/>
    <d v="2013-12-31T00:00:00"/>
    <x v="1203"/>
    <x v="1167"/>
    <x v="1130"/>
    <n v="0"/>
    <x v="645"/>
    <x v="6"/>
    <x v="97"/>
  </r>
  <r>
    <x v="305"/>
    <x v="1"/>
    <d v="2014-12-31T00:00:00"/>
    <x v="1204"/>
    <x v="1168"/>
    <x v="1131"/>
    <n v="0"/>
    <x v="646"/>
    <x v="6"/>
    <x v="97"/>
  </r>
  <r>
    <x v="305"/>
    <x v="2"/>
    <d v="2015-12-31T00:00:00"/>
    <x v="1205"/>
    <x v="1169"/>
    <x v="1132"/>
    <n v="0"/>
    <x v="647"/>
    <x v="6"/>
    <x v="97"/>
  </r>
  <r>
    <x v="305"/>
    <x v="3"/>
    <d v="2016-12-31T00:00:00"/>
    <x v="1206"/>
    <x v="1170"/>
    <x v="1133"/>
    <n v="0"/>
    <x v="648"/>
    <x v="6"/>
    <x v="97"/>
  </r>
  <r>
    <x v="306"/>
    <x v="0"/>
    <d v="2013-12-31T00:00:00"/>
    <x v="1207"/>
    <x v="1171"/>
    <x v="1134"/>
    <n v="859947000"/>
    <x v="4"/>
    <x v="4"/>
    <x v="56"/>
  </r>
  <r>
    <x v="306"/>
    <x v="1"/>
    <d v="2014-12-31T00:00:00"/>
    <x v="1208"/>
    <x v="1172"/>
    <x v="1135"/>
    <n v="1271353000"/>
    <x v="4"/>
    <x v="4"/>
    <x v="56"/>
  </r>
  <r>
    <x v="306"/>
    <x v="2"/>
    <d v="2015-12-31T00:00:00"/>
    <x v="1209"/>
    <x v="1173"/>
    <x v="1136"/>
    <n v="1620577000"/>
    <x v="4"/>
    <x v="4"/>
    <x v="56"/>
  </r>
  <r>
    <x v="306"/>
    <x v="3"/>
    <d v="2016-12-31T00:00:00"/>
    <x v="1210"/>
    <x v="1174"/>
    <x v="1137"/>
    <n v="2052295000"/>
    <x v="4"/>
    <x v="4"/>
    <x v="56"/>
  </r>
  <r>
    <x v="307"/>
    <x v="0"/>
    <d v="2012-12-31T00:00:00"/>
    <x v="1211"/>
    <x v="1175"/>
    <x v="1138"/>
    <n v="0"/>
    <x v="649"/>
    <x v="6"/>
    <x v="13"/>
  </r>
  <r>
    <x v="307"/>
    <x v="1"/>
    <d v="2013-12-31T00:00:00"/>
    <x v="1212"/>
    <x v="1176"/>
    <x v="1139"/>
    <n v="0"/>
    <x v="650"/>
    <x v="6"/>
    <x v="13"/>
  </r>
  <r>
    <x v="307"/>
    <x v="2"/>
    <d v="2014-12-31T00:00:00"/>
    <x v="1213"/>
    <x v="1177"/>
    <x v="1140"/>
    <n v="0"/>
    <x v="651"/>
    <x v="6"/>
    <x v="13"/>
  </r>
  <r>
    <x v="307"/>
    <x v="3"/>
    <d v="2015-12-31T00:00:00"/>
    <x v="1214"/>
    <x v="1178"/>
    <x v="1141"/>
    <n v="0"/>
    <x v="652"/>
    <x v="6"/>
    <x v="13"/>
  </r>
  <r>
    <x v="308"/>
    <x v="0"/>
    <d v="2013-06-30T00:00:00"/>
    <x v="1215"/>
    <x v="1179"/>
    <x v="1142"/>
    <n v="0"/>
    <x v="4"/>
    <x v="0"/>
    <x v="53"/>
  </r>
  <r>
    <x v="308"/>
    <x v="1"/>
    <d v="2014-06-30T00:00:00"/>
    <x v="1216"/>
    <x v="1180"/>
    <x v="1143"/>
    <n v="0"/>
    <x v="4"/>
    <x v="0"/>
    <x v="53"/>
  </r>
  <r>
    <x v="308"/>
    <x v="2"/>
    <d v="2015-06-30T00:00:00"/>
    <x v="1217"/>
    <x v="1181"/>
    <x v="1144"/>
    <n v="0"/>
    <x v="4"/>
    <x v="0"/>
    <x v="53"/>
  </r>
  <r>
    <x v="308"/>
    <x v="3"/>
    <d v="2016-06-30T00:00:00"/>
    <x v="1218"/>
    <x v="1182"/>
    <x v="1145"/>
    <n v="0"/>
    <x v="4"/>
    <x v="0"/>
    <x v="53"/>
  </r>
  <r>
    <x v="309"/>
    <x v="0"/>
    <d v="2013-12-31T00:00:00"/>
    <x v="1219"/>
    <x v="1183"/>
    <x v="1146"/>
    <n v="0"/>
    <x v="4"/>
    <x v="1"/>
    <x v="66"/>
  </r>
  <r>
    <x v="309"/>
    <x v="1"/>
    <d v="2014-12-31T00:00:00"/>
    <x v="1220"/>
    <x v="1184"/>
    <x v="1147"/>
    <n v="0"/>
    <x v="4"/>
    <x v="1"/>
    <x v="66"/>
  </r>
  <r>
    <x v="309"/>
    <x v="2"/>
    <d v="2015-12-31T00:00:00"/>
    <x v="1221"/>
    <x v="1185"/>
    <x v="1148"/>
    <n v="0"/>
    <x v="4"/>
    <x v="1"/>
    <x v="66"/>
  </r>
  <r>
    <x v="309"/>
    <x v="3"/>
    <d v="2016-12-31T00:00:00"/>
    <x v="1222"/>
    <x v="1186"/>
    <x v="1149"/>
    <n v="0"/>
    <x v="4"/>
    <x v="1"/>
    <x v="66"/>
  </r>
  <r>
    <x v="310"/>
    <x v="0"/>
    <d v="2012-12-30T00:00:00"/>
    <x v="1223"/>
    <x v="1187"/>
    <x v="1150"/>
    <n v="131835000"/>
    <x v="4"/>
    <x v="3"/>
    <x v="5"/>
  </r>
  <r>
    <x v="310"/>
    <x v="1"/>
    <d v="2013-12-29T00:00:00"/>
    <x v="1224"/>
    <x v="1188"/>
    <x v="1151"/>
    <n v="132400000"/>
    <x v="4"/>
    <x v="3"/>
    <x v="5"/>
  </r>
  <r>
    <x v="310"/>
    <x v="2"/>
    <d v="2014-12-28T00:00:00"/>
    <x v="1225"/>
    <x v="1189"/>
    <x v="1152"/>
    <n v="121141000"/>
    <x v="4"/>
    <x v="3"/>
    <x v="5"/>
  </r>
  <r>
    <x v="310"/>
    <x v="3"/>
    <d v="2016-01-03T00:00:00"/>
    <x v="1226"/>
    <x v="1190"/>
    <x v="1153"/>
    <n v="125928000"/>
    <x v="4"/>
    <x v="3"/>
    <x v="5"/>
  </r>
  <r>
    <x v="311"/>
    <x v="0"/>
    <d v="2013-12-31T00:00:00"/>
    <x v="1227"/>
    <x v="1191"/>
    <x v="1154"/>
    <n v="0"/>
    <x v="260"/>
    <x v="4"/>
    <x v="101"/>
  </r>
  <r>
    <x v="311"/>
    <x v="1"/>
    <d v="2014-12-31T00:00:00"/>
    <x v="1228"/>
    <x v="1192"/>
    <x v="1155"/>
    <n v="0"/>
    <x v="260"/>
    <x v="4"/>
    <x v="101"/>
  </r>
  <r>
    <x v="311"/>
    <x v="2"/>
    <d v="2015-12-31T00:00:00"/>
    <x v="1229"/>
    <x v="1193"/>
    <x v="1156"/>
    <n v="0"/>
    <x v="653"/>
    <x v="4"/>
    <x v="101"/>
  </r>
  <r>
    <x v="311"/>
    <x v="3"/>
    <d v="2016-12-31T00:00:00"/>
    <x v="1230"/>
    <x v="1194"/>
    <x v="1157"/>
    <n v="0"/>
    <x v="654"/>
    <x v="4"/>
    <x v="101"/>
  </r>
  <r>
    <x v="312"/>
    <x v="0"/>
    <d v="2012-12-31T00:00:00"/>
    <x v="1231"/>
    <x v="1195"/>
    <x v="1158"/>
    <n v="0"/>
    <x v="655"/>
    <x v="6"/>
    <x v="35"/>
  </r>
  <r>
    <x v="312"/>
    <x v="1"/>
    <d v="2013-12-31T00:00:00"/>
    <x v="1232"/>
    <x v="1196"/>
    <x v="1159"/>
    <n v="0"/>
    <x v="656"/>
    <x v="6"/>
    <x v="35"/>
  </r>
  <r>
    <x v="312"/>
    <x v="2"/>
    <d v="2014-12-31T00:00:00"/>
    <x v="1233"/>
    <x v="1197"/>
    <x v="1160"/>
    <n v="0"/>
    <x v="657"/>
    <x v="6"/>
    <x v="35"/>
  </r>
  <r>
    <x v="312"/>
    <x v="3"/>
    <d v="2015-12-31T00:00:00"/>
    <x v="1234"/>
    <x v="1198"/>
    <x v="1161"/>
    <n v="0"/>
    <x v="658"/>
    <x v="6"/>
    <x v="35"/>
  </r>
  <r>
    <x v="313"/>
    <x v="0"/>
    <d v="2012-12-31T00:00:00"/>
    <x v="1235"/>
    <x v="1199"/>
    <x v="1162"/>
    <n v="92300000"/>
    <x v="4"/>
    <x v="0"/>
    <x v="52"/>
  </r>
  <r>
    <x v="313"/>
    <x v="1"/>
    <d v="2013-12-31T00:00:00"/>
    <x v="1236"/>
    <x v="1200"/>
    <x v="1163"/>
    <n v="122800000"/>
    <x v="4"/>
    <x v="0"/>
    <x v="52"/>
  </r>
  <r>
    <x v="313"/>
    <x v="2"/>
    <d v="2014-12-31T00:00:00"/>
    <x v="1237"/>
    <x v="1201"/>
    <x v="1164"/>
    <n v="117300000"/>
    <x v="4"/>
    <x v="0"/>
    <x v="52"/>
  </r>
  <r>
    <x v="313"/>
    <x v="3"/>
    <d v="2015-12-31T00:00:00"/>
    <x v="1238"/>
    <x v="1202"/>
    <x v="1165"/>
    <n v="119600000"/>
    <x v="4"/>
    <x v="0"/>
    <x v="52"/>
  </r>
  <r>
    <x v="314"/>
    <x v="0"/>
    <d v="2012-12-31T00:00:00"/>
    <x v="1239"/>
    <x v="1203"/>
    <x v="1166"/>
    <n v="0"/>
    <x v="659"/>
    <x v="5"/>
    <x v="10"/>
  </r>
  <r>
    <x v="314"/>
    <x v="1"/>
    <d v="2013-12-31T00:00:00"/>
    <x v="1240"/>
    <x v="1204"/>
    <x v="1167"/>
    <n v="0"/>
    <x v="660"/>
    <x v="5"/>
    <x v="10"/>
  </r>
  <r>
    <x v="314"/>
    <x v="2"/>
    <d v="2014-12-31T00:00:00"/>
    <x v="1241"/>
    <x v="1205"/>
    <x v="1168"/>
    <n v="0"/>
    <x v="661"/>
    <x v="5"/>
    <x v="10"/>
  </r>
  <r>
    <x v="314"/>
    <x v="3"/>
    <d v="2015-12-31T00:00:00"/>
    <x v="1242"/>
    <x v="1206"/>
    <x v="1169"/>
    <n v="0"/>
    <x v="662"/>
    <x v="5"/>
    <x v="10"/>
  </r>
  <r>
    <x v="315"/>
    <x v="0"/>
    <d v="2013-12-31T00:00:00"/>
    <x v="1243"/>
    <x v="1207"/>
    <x v="1170"/>
    <n v="463000000"/>
    <x v="663"/>
    <x v="8"/>
    <x v="63"/>
  </r>
  <r>
    <x v="315"/>
    <x v="1"/>
    <d v="2014-12-31T00:00:00"/>
    <x v="1244"/>
    <x v="1208"/>
    <x v="1171"/>
    <n v="483000000"/>
    <x v="664"/>
    <x v="8"/>
    <x v="63"/>
  </r>
  <r>
    <x v="315"/>
    <x v="2"/>
    <d v="2015-12-31T00:00:00"/>
    <x v="1245"/>
    <x v="1209"/>
    <x v="1172"/>
    <n v="476000000"/>
    <x v="327"/>
    <x v="8"/>
    <x v="63"/>
  </r>
  <r>
    <x v="315"/>
    <x v="3"/>
    <d v="2016-12-31T00:00:00"/>
    <x v="1246"/>
    <x v="1210"/>
    <x v="1173"/>
    <n v="466000000"/>
    <x v="665"/>
    <x v="8"/>
    <x v="63"/>
  </r>
  <r>
    <x v="316"/>
    <x v="0"/>
    <d v="2012-12-31T00:00:00"/>
    <x v="1247"/>
    <x v="1211"/>
    <x v="1174"/>
    <n v="0"/>
    <x v="666"/>
    <x v="5"/>
    <x v="11"/>
  </r>
  <r>
    <x v="316"/>
    <x v="1"/>
    <d v="2013-12-31T00:00:00"/>
    <x v="1248"/>
    <x v="1212"/>
    <x v="1101"/>
    <n v="0"/>
    <x v="667"/>
    <x v="5"/>
    <x v="11"/>
  </r>
  <r>
    <x v="316"/>
    <x v="2"/>
    <d v="2014-12-31T00:00:00"/>
    <x v="1249"/>
    <x v="1213"/>
    <x v="1175"/>
    <n v="0"/>
    <x v="668"/>
    <x v="5"/>
    <x v="11"/>
  </r>
  <r>
    <x v="316"/>
    <x v="3"/>
    <d v="2015-12-31T00:00:00"/>
    <x v="1250"/>
    <x v="1214"/>
    <x v="1176"/>
    <n v="0"/>
    <x v="669"/>
    <x v="5"/>
    <x v="11"/>
  </r>
  <r>
    <x v="317"/>
    <x v="0"/>
    <d v="2012-12-31T00:00:00"/>
    <x v="1251"/>
    <x v="1215"/>
    <x v="1177"/>
    <n v="0"/>
    <x v="4"/>
    <x v="6"/>
    <x v="97"/>
  </r>
  <r>
    <x v="317"/>
    <x v="1"/>
    <d v="2013-12-31T00:00:00"/>
    <x v="1252"/>
    <x v="1216"/>
    <x v="1178"/>
    <n v="0"/>
    <x v="4"/>
    <x v="6"/>
    <x v="97"/>
  </r>
  <r>
    <x v="317"/>
    <x v="2"/>
    <d v="2014-12-31T00:00:00"/>
    <x v="1253"/>
    <x v="1217"/>
    <x v="1179"/>
    <n v="0"/>
    <x v="4"/>
    <x v="6"/>
    <x v="97"/>
  </r>
  <r>
    <x v="317"/>
    <x v="3"/>
    <d v="2015-12-31T00:00:00"/>
    <x v="1254"/>
    <x v="1218"/>
    <x v="1180"/>
    <n v="0"/>
    <x v="4"/>
    <x v="6"/>
    <x v="97"/>
  </r>
  <r>
    <x v="318"/>
    <x v="0"/>
    <d v="2012-12-31T00:00:00"/>
    <x v="1255"/>
    <x v="1219"/>
    <x v="1181"/>
    <n v="0"/>
    <x v="670"/>
    <x v="9"/>
    <x v="92"/>
  </r>
  <r>
    <x v="318"/>
    <x v="1"/>
    <d v="2013-12-31T00:00:00"/>
    <x v="1256"/>
    <x v="1220"/>
    <x v="1182"/>
    <n v="0"/>
    <x v="671"/>
    <x v="9"/>
    <x v="92"/>
  </r>
  <r>
    <x v="318"/>
    <x v="2"/>
    <d v="2014-12-31T00:00:00"/>
    <x v="1257"/>
    <x v="1221"/>
    <x v="1183"/>
    <n v="0"/>
    <x v="672"/>
    <x v="9"/>
    <x v="92"/>
  </r>
  <r>
    <x v="318"/>
    <x v="3"/>
    <d v="2015-12-31T00:00:00"/>
    <x v="1258"/>
    <x v="1222"/>
    <x v="1184"/>
    <n v="0"/>
    <x v="673"/>
    <x v="9"/>
    <x v="92"/>
  </r>
  <r>
    <x v="319"/>
    <x v="0"/>
    <d v="2013-02-03T00:00:00"/>
    <x v="1259"/>
    <x v="1223"/>
    <x v="1185"/>
    <n v="0"/>
    <x v="4"/>
    <x v="1"/>
    <x v="82"/>
  </r>
  <r>
    <x v="319"/>
    <x v="1"/>
    <d v="2014-02-02T00:00:00"/>
    <x v="1260"/>
    <x v="1224"/>
    <x v="1186"/>
    <n v="0"/>
    <x v="4"/>
    <x v="1"/>
    <x v="82"/>
  </r>
  <r>
    <x v="319"/>
    <x v="2"/>
    <d v="2015-02-01T00:00:00"/>
    <x v="1261"/>
    <x v="1225"/>
    <x v="1187"/>
    <n v="0"/>
    <x v="4"/>
    <x v="1"/>
    <x v="82"/>
  </r>
  <r>
    <x v="319"/>
    <x v="3"/>
    <d v="2016-01-31T00:00:00"/>
    <x v="1262"/>
    <x v="1226"/>
    <x v="1188"/>
    <n v="0"/>
    <x v="4"/>
    <x v="1"/>
    <x v="82"/>
  </r>
  <r>
    <x v="320"/>
    <x v="0"/>
    <d v="2012-12-31T00:00:00"/>
    <x v="1263"/>
    <x v="1227"/>
    <x v="1189"/>
    <n v="0"/>
    <x v="674"/>
    <x v="0"/>
    <x v="53"/>
  </r>
  <r>
    <x v="320"/>
    <x v="1"/>
    <d v="2013-12-31T00:00:00"/>
    <x v="1264"/>
    <x v="1228"/>
    <x v="1190"/>
    <n v="0"/>
    <x v="675"/>
    <x v="0"/>
    <x v="53"/>
  </r>
  <r>
    <x v="320"/>
    <x v="2"/>
    <d v="2014-12-31T00:00:00"/>
    <x v="1265"/>
    <x v="1229"/>
    <x v="1191"/>
    <n v="0"/>
    <x v="676"/>
    <x v="0"/>
    <x v="53"/>
  </r>
  <r>
    <x v="320"/>
    <x v="3"/>
    <d v="2015-12-31T00:00:00"/>
    <x v="1266"/>
    <x v="1230"/>
    <x v="1192"/>
    <n v="0"/>
    <x v="677"/>
    <x v="0"/>
    <x v="53"/>
  </r>
  <r>
    <x v="321"/>
    <x v="0"/>
    <d v="2012-12-31T00:00:00"/>
    <x v="1267"/>
    <x v="1231"/>
    <x v="1193"/>
    <n v="98000000"/>
    <x v="678"/>
    <x v="8"/>
    <x v="28"/>
  </r>
  <r>
    <x v="321"/>
    <x v="1"/>
    <d v="2013-12-31T00:00:00"/>
    <x v="1268"/>
    <x v="1232"/>
    <x v="1194"/>
    <n v="98000000"/>
    <x v="679"/>
    <x v="8"/>
    <x v="28"/>
  </r>
  <r>
    <x v="321"/>
    <x v="2"/>
    <d v="2014-12-31T00:00:00"/>
    <x v="1269"/>
    <x v="1233"/>
    <x v="1195"/>
    <n v="96000000"/>
    <x v="371"/>
    <x v="8"/>
    <x v="28"/>
  </r>
  <r>
    <x v="321"/>
    <x v="3"/>
    <d v="2015-12-31T00:00:00"/>
    <x v="976"/>
    <x v="1234"/>
    <x v="1196"/>
    <n v="93000000"/>
    <x v="680"/>
    <x v="8"/>
    <x v="28"/>
  </r>
  <r>
    <x v="322"/>
    <x v="0"/>
    <d v="2013-09-29T00:00:00"/>
    <x v="1270"/>
    <x v="1235"/>
    <x v="1197"/>
    <n v="4967000000"/>
    <x v="4"/>
    <x v="2"/>
    <x v="7"/>
  </r>
  <r>
    <x v="322"/>
    <x v="1"/>
    <d v="2014-09-28T00:00:00"/>
    <x v="1271"/>
    <x v="1236"/>
    <x v="997"/>
    <n v="5477000000"/>
    <x v="4"/>
    <x v="2"/>
    <x v="7"/>
  </r>
  <r>
    <x v="322"/>
    <x v="2"/>
    <d v="2015-09-27T00:00:00"/>
    <x v="1272"/>
    <x v="1237"/>
    <x v="1198"/>
    <n v="5490000000"/>
    <x v="4"/>
    <x v="2"/>
    <x v="7"/>
  </r>
  <r>
    <x v="322"/>
    <x v="3"/>
    <d v="2016-09-25T00:00:00"/>
    <x v="1273"/>
    <x v="1238"/>
    <x v="1199"/>
    <n v="5151000000"/>
    <x v="4"/>
    <x v="2"/>
    <x v="7"/>
  </r>
  <r>
    <x v="323"/>
    <x v="0"/>
    <d v="2014-03-29T00:00:00"/>
    <x v="1274"/>
    <x v="1239"/>
    <x v="1200"/>
    <n v="197269000"/>
    <x v="4"/>
    <x v="2"/>
    <x v="7"/>
  </r>
  <r>
    <x v="323"/>
    <x v="1"/>
    <d v="2015-03-28T00:00:00"/>
    <x v="1275"/>
    <x v="1240"/>
    <x v="1201"/>
    <n v="257494000"/>
    <x v="4"/>
    <x v="2"/>
    <x v="7"/>
  </r>
  <r>
    <x v="323"/>
    <x v="2"/>
    <d v="2016-04-02T00:00:00"/>
    <x v="1276"/>
    <x v="1241"/>
    <x v="1202"/>
    <n v="448763000"/>
    <x v="4"/>
    <x v="2"/>
    <x v="7"/>
  </r>
  <r>
    <x v="324"/>
    <x v="0"/>
    <d v="2013-12-31T00:00:00"/>
    <x v="1277"/>
    <x v="1242"/>
    <x v="1203"/>
    <n v="0"/>
    <x v="4"/>
    <x v="0"/>
    <x v="53"/>
  </r>
  <r>
    <x v="324"/>
    <x v="1"/>
    <d v="2014-12-31T00:00:00"/>
    <x v="1278"/>
    <x v="1243"/>
    <x v="1204"/>
    <n v="0"/>
    <x v="4"/>
    <x v="0"/>
    <x v="53"/>
  </r>
  <r>
    <x v="324"/>
    <x v="2"/>
    <d v="2015-12-31T00:00:00"/>
    <x v="1279"/>
    <x v="1244"/>
    <x v="1205"/>
    <n v="0"/>
    <x v="4"/>
    <x v="0"/>
    <x v="53"/>
  </r>
  <r>
    <x v="324"/>
    <x v="3"/>
    <d v="2016-12-31T00:00:00"/>
    <x v="1280"/>
    <x v="1245"/>
    <x v="1206"/>
    <n v="0"/>
    <x v="4"/>
    <x v="0"/>
    <x v="53"/>
  </r>
  <r>
    <x v="325"/>
    <x v="0"/>
    <d v="2012-12-31T00:00:00"/>
    <x v="1281"/>
    <x v="1246"/>
    <x v="1207"/>
    <n v="0"/>
    <x v="681"/>
    <x v="1"/>
    <x v="43"/>
  </r>
  <r>
    <x v="325"/>
    <x v="1"/>
    <d v="2013-12-31T00:00:00"/>
    <x v="1282"/>
    <x v="1247"/>
    <x v="1208"/>
    <n v="0"/>
    <x v="682"/>
    <x v="1"/>
    <x v="43"/>
  </r>
  <r>
    <x v="325"/>
    <x v="2"/>
    <d v="2014-12-31T00:00:00"/>
    <x v="1283"/>
    <x v="1248"/>
    <x v="1209"/>
    <n v="0"/>
    <x v="683"/>
    <x v="1"/>
    <x v="43"/>
  </r>
  <r>
    <x v="325"/>
    <x v="3"/>
    <d v="2015-12-31T00:00:00"/>
    <x v="1284"/>
    <x v="1249"/>
    <x v="1210"/>
    <n v="0"/>
    <x v="684"/>
    <x v="1"/>
    <x v="43"/>
  </r>
  <r>
    <x v="326"/>
    <x v="0"/>
    <d v="2013-12-31T00:00:00"/>
    <x v="1207"/>
    <x v="1171"/>
    <x v="1134"/>
    <n v="859947000"/>
    <x v="4"/>
    <x v="3"/>
    <x v="19"/>
  </r>
  <r>
    <x v="326"/>
    <x v="1"/>
    <d v="2014-12-31T00:00:00"/>
    <x v="1208"/>
    <x v="1172"/>
    <x v="1135"/>
    <n v="1271353000"/>
    <x v="4"/>
    <x v="3"/>
    <x v="19"/>
  </r>
  <r>
    <x v="326"/>
    <x v="2"/>
    <d v="2015-12-31T00:00:00"/>
    <x v="1209"/>
    <x v="1173"/>
    <x v="1136"/>
    <n v="1620577000"/>
    <x v="4"/>
    <x v="3"/>
    <x v="19"/>
  </r>
  <r>
    <x v="326"/>
    <x v="3"/>
    <d v="2016-12-31T00:00:00"/>
    <x v="1210"/>
    <x v="1174"/>
    <x v="1137"/>
    <n v="2052295000"/>
    <x v="4"/>
    <x v="3"/>
    <x v="19"/>
  </r>
  <r>
    <x v="327"/>
    <x v="0"/>
    <d v="2013-12-31T00:00:00"/>
    <x v="1285"/>
    <x v="1250"/>
    <x v="1211"/>
    <n v="0"/>
    <x v="685"/>
    <x v="0"/>
    <x v="108"/>
  </r>
  <r>
    <x v="327"/>
    <x v="1"/>
    <d v="2014-12-31T00:00:00"/>
    <x v="1286"/>
    <x v="1251"/>
    <x v="1212"/>
    <n v="0"/>
    <x v="686"/>
    <x v="0"/>
    <x v="108"/>
  </r>
  <r>
    <x v="327"/>
    <x v="2"/>
    <d v="2015-12-31T00:00:00"/>
    <x v="1287"/>
    <x v="1252"/>
    <x v="1213"/>
    <n v="0"/>
    <x v="687"/>
    <x v="0"/>
    <x v="108"/>
  </r>
  <r>
    <x v="327"/>
    <x v="3"/>
    <d v="2016-12-31T00:00:00"/>
    <x v="1288"/>
    <x v="1253"/>
    <x v="1214"/>
    <n v="0"/>
    <x v="688"/>
    <x v="0"/>
    <x v="108"/>
  </r>
  <r>
    <x v="328"/>
    <x v="0"/>
    <d v="2013-02-28T00:00:00"/>
    <x v="1289"/>
    <x v="1254"/>
    <x v="1215"/>
    <n v="263150000"/>
    <x v="4"/>
    <x v="2"/>
    <x v="102"/>
  </r>
  <r>
    <x v="328"/>
    <x v="1"/>
    <d v="2014-02-28T00:00:00"/>
    <x v="1290"/>
    <x v="1255"/>
    <x v="1216"/>
    <n v="317263000"/>
    <x v="4"/>
    <x v="2"/>
    <x v="102"/>
  </r>
  <r>
    <x v="328"/>
    <x v="2"/>
    <d v="2015-02-28T00:00:00"/>
    <x v="1291"/>
    <x v="1256"/>
    <x v="1217"/>
    <n v="367856000"/>
    <x v="4"/>
    <x v="2"/>
    <x v="102"/>
  </r>
  <r>
    <x v="328"/>
    <x v="3"/>
    <d v="2016-02-29T00:00:00"/>
    <x v="1292"/>
    <x v="1257"/>
    <x v="1218"/>
    <n v="413322000"/>
    <x v="4"/>
    <x v="2"/>
    <x v="102"/>
  </r>
  <r>
    <x v="329"/>
    <x v="0"/>
    <d v="2013-03-30T00:00:00"/>
    <x v="1293"/>
    <x v="1258"/>
    <x v="1219"/>
    <n v="0"/>
    <x v="176"/>
    <x v="1"/>
    <x v="82"/>
  </r>
  <r>
    <x v="329"/>
    <x v="1"/>
    <d v="2014-03-29T00:00:00"/>
    <x v="1294"/>
    <x v="1259"/>
    <x v="258"/>
    <n v="0"/>
    <x v="689"/>
    <x v="1"/>
    <x v="82"/>
  </r>
  <r>
    <x v="329"/>
    <x v="2"/>
    <d v="2015-03-28T00:00:00"/>
    <x v="1295"/>
    <x v="1260"/>
    <x v="1220"/>
    <n v="0"/>
    <x v="446"/>
    <x v="1"/>
    <x v="82"/>
  </r>
  <r>
    <x v="329"/>
    <x v="3"/>
    <d v="2016-04-02T00:00:00"/>
    <x v="1296"/>
    <x v="1261"/>
    <x v="1221"/>
    <n v="0"/>
    <x v="690"/>
    <x v="1"/>
    <x v="82"/>
  </r>
  <r>
    <x v="330"/>
    <x v="0"/>
    <d v="2013-09-30T00:00:00"/>
    <x v="1297"/>
    <x v="1262"/>
    <x v="1222"/>
    <n v="0"/>
    <x v="4"/>
    <x v="0"/>
    <x v="53"/>
  </r>
  <r>
    <x v="330"/>
    <x v="1"/>
    <d v="2014-09-30T00:00:00"/>
    <x v="1298"/>
    <x v="1263"/>
    <x v="1223"/>
    <n v="0"/>
    <x v="4"/>
    <x v="0"/>
    <x v="53"/>
  </r>
  <r>
    <x v="330"/>
    <x v="2"/>
    <d v="2015-09-30T00:00:00"/>
    <x v="1299"/>
    <x v="1264"/>
    <x v="1224"/>
    <n v="0"/>
    <x v="4"/>
    <x v="0"/>
    <x v="53"/>
  </r>
  <r>
    <x v="330"/>
    <x v="3"/>
    <d v="2016-09-30T00:00:00"/>
    <x v="1300"/>
    <x v="1265"/>
    <x v="1225"/>
    <n v="0"/>
    <x v="4"/>
    <x v="0"/>
    <x v="53"/>
  </r>
  <r>
    <x v="331"/>
    <x v="0"/>
    <d v="2012-12-31T00:00:00"/>
    <x v="1301"/>
    <x v="1266"/>
    <x v="1226"/>
    <n v="0"/>
    <x v="4"/>
    <x v="0"/>
    <x v="53"/>
  </r>
  <r>
    <x v="331"/>
    <x v="1"/>
    <d v="2013-12-31T00:00:00"/>
    <x v="1302"/>
    <x v="1267"/>
    <x v="1227"/>
    <n v="0"/>
    <x v="4"/>
    <x v="0"/>
    <x v="53"/>
  </r>
  <r>
    <x v="331"/>
    <x v="2"/>
    <d v="2014-12-31T00:00:00"/>
    <x v="1303"/>
    <x v="1268"/>
    <x v="1228"/>
    <n v="0"/>
    <x v="4"/>
    <x v="0"/>
    <x v="53"/>
  </r>
  <r>
    <x v="331"/>
    <x v="3"/>
    <d v="2015-12-31T00:00:00"/>
    <x v="1304"/>
    <x v="1269"/>
    <x v="1229"/>
    <n v="0"/>
    <x v="4"/>
    <x v="0"/>
    <x v="53"/>
  </r>
  <r>
    <x v="332"/>
    <x v="0"/>
    <d v="2013-02-02T00:00:00"/>
    <x v="1305"/>
    <x v="1270"/>
    <x v="1230"/>
    <n v="0"/>
    <x v="4"/>
    <x v="1"/>
    <x v="74"/>
  </r>
  <r>
    <x v="332"/>
    <x v="1"/>
    <d v="2014-02-01T00:00:00"/>
    <x v="1306"/>
    <x v="1271"/>
    <x v="1231"/>
    <n v="0"/>
    <x v="4"/>
    <x v="1"/>
    <x v="74"/>
  </r>
  <r>
    <x v="332"/>
    <x v="2"/>
    <d v="2015-01-31T00:00:00"/>
    <x v="1307"/>
    <x v="1272"/>
    <x v="1232"/>
    <n v="0"/>
    <x v="4"/>
    <x v="1"/>
    <x v="74"/>
  </r>
  <r>
    <x v="332"/>
    <x v="3"/>
    <d v="2016-01-30T00:00:00"/>
    <x v="1308"/>
    <x v="1273"/>
    <x v="1233"/>
    <n v="0"/>
    <x v="4"/>
    <x v="1"/>
    <x v="74"/>
  </r>
  <r>
    <x v="333"/>
    <x v="0"/>
    <d v="2012-12-31T00:00:00"/>
    <x v="1309"/>
    <x v="1274"/>
    <x v="1234"/>
    <n v="0"/>
    <x v="691"/>
    <x v="9"/>
    <x v="27"/>
  </r>
  <r>
    <x v="333"/>
    <x v="1"/>
    <d v="2013-12-31T00:00:00"/>
    <x v="1310"/>
    <x v="1275"/>
    <x v="1235"/>
    <n v="0"/>
    <x v="692"/>
    <x v="9"/>
    <x v="27"/>
  </r>
  <r>
    <x v="333"/>
    <x v="2"/>
    <d v="2014-12-31T00:00:00"/>
    <x v="1311"/>
    <x v="1276"/>
    <x v="1236"/>
    <n v="0"/>
    <x v="693"/>
    <x v="9"/>
    <x v="27"/>
  </r>
  <r>
    <x v="333"/>
    <x v="3"/>
    <d v="2015-12-31T00:00:00"/>
    <x v="1312"/>
    <x v="1277"/>
    <x v="1237"/>
    <n v="0"/>
    <x v="694"/>
    <x v="9"/>
    <x v="27"/>
  </r>
  <r>
    <x v="334"/>
    <x v="0"/>
    <d v="2013-12-31T00:00:00"/>
    <x v="1313"/>
    <x v="1278"/>
    <x v="1238"/>
    <n v="0"/>
    <x v="695"/>
    <x v="0"/>
    <x v="53"/>
  </r>
  <r>
    <x v="334"/>
    <x v="1"/>
    <d v="2014-12-31T00:00:00"/>
    <x v="1314"/>
    <x v="1279"/>
    <x v="1239"/>
    <n v="0"/>
    <x v="696"/>
    <x v="0"/>
    <x v="53"/>
  </r>
  <r>
    <x v="334"/>
    <x v="2"/>
    <d v="2015-12-31T00:00:00"/>
    <x v="1315"/>
    <x v="1280"/>
    <x v="1240"/>
    <n v="0"/>
    <x v="697"/>
    <x v="0"/>
    <x v="53"/>
  </r>
  <r>
    <x v="334"/>
    <x v="3"/>
    <d v="2016-12-31T00:00:00"/>
    <x v="1316"/>
    <x v="1281"/>
    <x v="1241"/>
    <n v="0"/>
    <x v="698"/>
    <x v="0"/>
    <x v="53"/>
  </r>
  <r>
    <x v="335"/>
    <x v="0"/>
    <d v="2013-09-29T00:00:00"/>
    <x v="1317"/>
    <x v="1282"/>
    <x v="1242"/>
    <n v="0"/>
    <x v="699"/>
    <x v="1"/>
    <x v="51"/>
  </r>
  <r>
    <x v="335"/>
    <x v="1"/>
    <d v="2014-09-28T00:00:00"/>
    <x v="1318"/>
    <x v="1283"/>
    <x v="1243"/>
    <n v="0"/>
    <x v="700"/>
    <x v="1"/>
    <x v="51"/>
  </r>
  <r>
    <x v="335"/>
    <x v="2"/>
    <d v="2015-09-27T00:00:00"/>
    <x v="1319"/>
    <x v="1284"/>
    <x v="1244"/>
    <n v="0"/>
    <x v="701"/>
    <x v="1"/>
    <x v="51"/>
  </r>
  <r>
    <x v="335"/>
    <x v="3"/>
    <d v="2016-10-02T00:00:00"/>
    <x v="1320"/>
    <x v="1285"/>
    <x v="1245"/>
    <n v="0"/>
    <x v="702"/>
    <x v="1"/>
    <x v="51"/>
  </r>
  <r>
    <x v="336"/>
    <x v="0"/>
    <d v="2012-12-31T00:00:00"/>
    <x v="1321"/>
    <x v="1286"/>
    <x v="1246"/>
    <n v="0"/>
    <x v="703"/>
    <x v="5"/>
    <x v="10"/>
  </r>
  <r>
    <x v="336"/>
    <x v="1"/>
    <d v="2013-12-31T00:00:00"/>
    <x v="1322"/>
    <x v="1287"/>
    <x v="1247"/>
    <n v="0"/>
    <x v="704"/>
    <x v="5"/>
    <x v="10"/>
  </r>
  <r>
    <x v="336"/>
    <x v="2"/>
    <d v="2014-12-31T00:00:00"/>
    <x v="1323"/>
    <x v="1288"/>
    <x v="1248"/>
    <n v="0"/>
    <x v="705"/>
    <x v="5"/>
    <x v="10"/>
  </r>
  <r>
    <x v="336"/>
    <x v="3"/>
    <d v="2015-12-31T00:00:00"/>
    <x v="1324"/>
    <x v="1289"/>
    <x v="147"/>
    <n v="0"/>
    <x v="706"/>
    <x v="5"/>
    <x v="10"/>
  </r>
  <r>
    <x v="337"/>
    <x v="0"/>
    <d v="2012-12-31T00:00:00"/>
    <x v="1325"/>
    <x v="1290"/>
    <x v="1249"/>
    <n v="0"/>
    <x v="707"/>
    <x v="9"/>
    <x v="92"/>
  </r>
  <r>
    <x v="337"/>
    <x v="1"/>
    <d v="2013-12-31T00:00:00"/>
    <x v="1326"/>
    <x v="1291"/>
    <x v="1250"/>
    <n v="0"/>
    <x v="708"/>
    <x v="9"/>
    <x v="92"/>
  </r>
  <r>
    <x v="337"/>
    <x v="2"/>
    <d v="2014-12-31T00:00:00"/>
    <x v="1327"/>
    <x v="1292"/>
    <x v="1251"/>
    <n v="0"/>
    <x v="32"/>
    <x v="9"/>
    <x v="92"/>
  </r>
  <r>
    <x v="337"/>
    <x v="3"/>
    <d v="2015-12-31T00:00:00"/>
    <x v="1328"/>
    <x v="1293"/>
    <x v="1252"/>
    <n v="0"/>
    <x v="709"/>
    <x v="9"/>
    <x v="92"/>
  </r>
  <r>
    <x v="338"/>
    <x v="0"/>
    <d v="2013-12-31T00:00:00"/>
    <x v="1329"/>
    <x v="1294"/>
    <x v="1253"/>
    <n v="0"/>
    <x v="710"/>
    <x v="8"/>
    <x v="32"/>
  </r>
  <r>
    <x v="338"/>
    <x v="1"/>
    <d v="2014-12-31T00:00:00"/>
    <x v="1330"/>
    <x v="1295"/>
    <x v="1254"/>
    <n v="0"/>
    <x v="711"/>
    <x v="8"/>
    <x v="32"/>
  </r>
  <r>
    <x v="338"/>
    <x v="2"/>
    <d v="2015-12-31T00:00:00"/>
    <x v="1331"/>
    <x v="1296"/>
    <x v="1255"/>
    <n v="0"/>
    <x v="712"/>
    <x v="8"/>
    <x v="32"/>
  </r>
  <r>
    <x v="338"/>
    <x v="3"/>
    <d v="2016-12-31T00:00:00"/>
    <x v="1332"/>
    <x v="1297"/>
    <x v="1256"/>
    <n v="0"/>
    <x v="713"/>
    <x v="8"/>
    <x v="32"/>
  </r>
  <r>
    <x v="339"/>
    <x v="0"/>
    <d v="2012-12-31T00:00:00"/>
    <x v="1333"/>
    <x v="1298"/>
    <x v="1257"/>
    <n v="0"/>
    <x v="4"/>
    <x v="8"/>
    <x v="17"/>
  </r>
  <r>
    <x v="339"/>
    <x v="1"/>
    <d v="2013-12-31T00:00:00"/>
    <x v="1334"/>
    <x v="1299"/>
    <x v="1258"/>
    <n v="0"/>
    <x v="4"/>
    <x v="8"/>
    <x v="17"/>
  </r>
  <r>
    <x v="339"/>
    <x v="2"/>
    <d v="2014-12-31T00:00:00"/>
    <x v="1335"/>
    <x v="1300"/>
    <x v="1259"/>
    <n v="0"/>
    <x v="4"/>
    <x v="8"/>
    <x v="17"/>
  </r>
  <r>
    <x v="339"/>
    <x v="3"/>
    <d v="2015-12-31T00:00:00"/>
    <x v="1336"/>
    <x v="1301"/>
    <x v="1260"/>
    <n v="0"/>
    <x v="4"/>
    <x v="8"/>
    <x v="17"/>
  </r>
  <r>
    <x v="340"/>
    <x v="0"/>
    <d v="2013-02-02T00:00:00"/>
    <x v="1337"/>
    <x v="1302"/>
    <x v="1261"/>
    <n v="0"/>
    <x v="4"/>
    <x v="1"/>
    <x v="25"/>
  </r>
  <r>
    <x v="340"/>
    <x v="1"/>
    <d v="2014-02-01T00:00:00"/>
    <x v="1338"/>
    <x v="1303"/>
    <x v="1262"/>
    <n v="0"/>
    <x v="4"/>
    <x v="1"/>
    <x v="25"/>
  </r>
  <r>
    <x v="340"/>
    <x v="2"/>
    <d v="2015-02-02T00:00:00"/>
    <x v="1339"/>
    <x v="1304"/>
    <x v="1263"/>
    <n v="0"/>
    <x v="4"/>
    <x v="1"/>
    <x v="25"/>
  </r>
  <r>
    <x v="340"/>
    <x v="3"/>
    <d v="2016-01-30T00:00:00"/>
    <x v="1340"/>
    <x v="1305"/>
    <x v="1264"/>
    <n v="0"/>
    <x v="4"/>
    <x v="1"/>
    <x v="25"/>
  </r>
  <r>
    <x v="341"/>
    <x v="0"/>
    <d v="2013-04-30T00:00:00"/>
    <x v="1341"/>
    <x v="1306"/>
    <x v="1265"/>
    <n v="0"/>
    <x v="714"/>
    <x v="4"/>
    <x v="40"/>
  </r>
  <r>
    <x v="341"/>
    <x v="1"/>
    <d v="2014-04-30T00:00:00"/>
    <x v="1342"/>
    <x v="1307"/>
    <x v="1266"/>
    <n v="0"/>
    <x v="715"/>
    <x v="4"/>
    <x v="40"/>
  </r>
  <r>
    <x v="341"/>
    <x v="2"/>
    <d v="2015-04-30T00:00:00"/>
    <x v="1343"/>
    <x v="1308"/>
    <x v="1267"/>
    <n v="0"/>
    <x v="716"/>
    <x v="4"/>
    <x v="40"/>
  </r>
  <r>
    <x v="341"/>
    <x v="3"/>
    <d v="2016-04-30T00:00:00"/>
    <x v="1344"/>
    <x v="1309"/>
    <x v="1268"/>
    <n v="0"/>
    <x v="717"/>
    <x v="4"/>
    <x v="40"/>
  </r>
  <r>
    <x v="342"/>
    <x v="0"/>
    <d v="2012-12-31T00:00:00"/>
    <x v="1345"/>
    <x v="1310"/>
    <x v="1269"/>
    <n v="0"/>
    <x v="718"/>
    <x v="7"/>
    <x v="109"/>
  </r>
  <r>
    <x v="342"/>
    <x v="1"/>
    <d v="2013-12-31T00:00:00"/>
    <x v="1346"/>
    <x v="1311"/>
    <x v="1270"/>
    <n v="0"/>
    <x v="719"/>
    <x v="7"/>
    <x v="109"/>
  </r>
  <r>
    <x v="342"/>
    <x v="2"/>
    <d v="2014-12-31T00:00:00"/>
    <x v="1347"/>
    <x v="1312"/>
    <x v="1271"/>
    <n v="0"/>
    <x v="720"/>
    <x v="7"/>
    <x v="109"/>
  </r>
  <r>
    <x v="342"/>
    <x v="3"/>
    <d v="2015-12-31T00:00:00"/>
    <x v="1348"/>
    <x v="1313"/>
    <x v="1272"/>
    <n v="0"/>
    <x v="721"/>
    <x v="7"/>
    <x v="109"/>
  </r>
  <r>
    <x v="343"/>
    <x v="0"/>
    <d v="2013-12-31T00:00:00"/>
    <x v="1349"/>
    <x v="1314"/>
    <x v="1273"/>
    <n v="0"/>
    <x v="4"/>
    <x v="1"/>
    <x v="110"/>
  </r>
  <r>
    <x v="343"/>
    <x v="1"/>
    <d v="2015-01-03T00:00:00"/>
    <x v="1350"/>
    <x v="1315"/>
    <x v="1274"/>
    <n v="0"/>
    <x v="4"/>
    <x v="1"/>
    <x v="110"/>
  </r>
  <r>
    <x v="343"/>
    <x v="2"/>
    <d v="2016-01-02T00:00:00"/>
    <x v="1351"/>
    <x v="1316"/>
    <x v="1275"/>
    <n v="0"/>
    <x v="4"/>
    <x v="1"/>
    <x v="110"/>
  </r>
  <r>
    <x v="343"/>
    <x v="3"/>
    <d v="2016-12-31T00:00:00"/>
    <x v="1352"/>
    <x v="1317"/>
    <x v="1276"/>
    <n v="0"/>
    <x v="4"/>
    <x v="1"/>
    <x v="110"/>
  </r>
  <r>
    <x v="344"/>
    <x v="0"/>
    <d v="2012-12-31T00:00:00"/>
    <x v="1353"/>
    <x v="1318"/>
    <x v="1277"/>
    <n v="0"/>
    <x v="722"/>
    <x v="1"/>
    <x v="67"/>
  </r>
  <r>
    <x v="344"/>
    <x v="1"/>
    <d v="2013-12-31T00:00:00"/>
    <x v="1354"/>
    <x v="1319"/>
    <x v="1278"/>
    <n v="0"/>
    <x v="723"/>
    <x v="1"/>
    <x v="67"/>
  </r>
  <r>
    <x v="344"/>
    <x v="2"/>
    <d v="2014-12-31T00:00:00"/>
    <x v="1355"/>
    <x v="1320"/>
    <x v="1279"/>
    <n v="0"/>
    <x v="724"/>
    <x v="1"/>
    <x v="67"/>
  </r>
  <r>
    <x v="344"/>
    <x v="3"/>
    <d v="2015-12-31T00:00:00"/>
    <x v="1356"/>
    <x v="1321"/>
    <x v="1280"/>
    <n v="0"/>
    <x v="725"/>
    <x v="1"/>
    <x v="67"/>
  </r>
  <r>
    <x v="345"/>
    <x v="0"/>
    <d v="2012-12-31T00:00:00"/>
    <x v="1357"/>
    <x v="1322"/>
    <x v="729"/>
    <n v="0"/>
    <x v="726"/>
    <x v="5"/>
    <x v="11"/>
  </r>
  <r>
    <x v="345"/>
    <x v="1"/>
    <d v="2013-12-31T00:00:00"/>
    <x v="1358"/>
    <x v="1323"/>
    <x v="1281"/>
    <n v="0"/>
    <x v="727"/>
    <x v="5"/>
    <x v="11"/>
  </r>
  <r>
    <x v="345"/>
    <x v="2"/>
    <d v="2014-12-31T00:00:00"/>
    <x v="1359"/>
    <x v="1324"/>
    <x v="1282"/>
    <n v="0"/>
    <x v="728"/>
    <x v="5"/>
    <x v="11"/>
  </r>
  <r>
    <x v="345"/>
    <x v="3"/>
    <d v="2015-12-31T00:00:00"/>
    <x v="1360"/>
    <x v="1325"/>
    <x v="132"/>
    <n v="0"/>
    <x v="729"/>
    <x v="5"/>
    <x v="11"/>
  </r>
  <r>
    <x v="346"/>
    <x v="0"/>
    <d v="2012-12-31T00:00:00"/>
    <x v="1361"/>
    <x v="1326"/>
    <x v="1283"/>
    <n v="0"/>
    <x v="730"/>
    <x v="7"/>
    <x v="14"/>
  </r>
  <r>
    <x v="346"/>
    <x v="1"/>
    <d v="2013-12-31T00:00:00"/>
    <x v="1362"/>
    <x v="1327"/>
    <x v="1284"/>
    <n v="0"/>
    <x v="731"/>
    <x v="7"/>
    <x v="14"/>
  </r>
  <r>
    <x v="346"/>
    <x v="2"/>
    <d v="2014-12-31T00:00:00"/>
    <x v="1363"/>
    <x v="1328"/>
    <x v="1285"/>
    <n v="0"/>
    <x v="732"/>
    <x v="7"/>
    <x v="14"/>
  </r>
  <r>
    <x v="346"/>
    <x v="3"/>
    <d v="2015-12-31T00:00:00"/>
    <x v="1364"/>
    <x v="1329"/>
    <x v="1286"/>
    <n v="0"/>
    <x v="733"/>
    <x v="7"/>
    <x v="14"/>
  </r>
  <r>
    <x v="347"/>
    <x v="0"/>
    <d v="2013-02-02T00:00:00"/>
    <x v="1365"/>
    <x v="1330"/>
    <x v="1287"/>
    <n v="0"/>
    <x v="734"/>
    <x v="1"/>
    <x v="25"/>
  </r>
  <r>
    <x v="347"/>
    <x v="1"/>
    <d v="2014-02-01T00:00:00"/>
    <x v="1366"/>
    <x v="1331"/>
    <x v="1288"/>
    <n v="0"/>
    <x v="735"/>
    <x v="1"/>
    <x v="25"/>
  </r>
  <r>
    <x v="347"/>
    <x v="2"/>
    <d v="2015-01-31T00:00:00"/>
    <x v="1367"/>
    <x v="1332"/>
    <x v="1289"/>
    <n v="0"/>
    <x v="736"/>
    <x v="1"/>
    <x v="25"/>
  </r>
  <r>
    <x v="347"/>
    <x v="3"/>
    <d v="2016-01-30T00:00:00"/>
    <x v="1368"/>
    <x v="1333"/>
    <x v="1290"/>
    <n v="0"/>
    <x v="737"/>
    <x v="1"/>
    <x v="25"/>
  </r>
  <r>
    <x v="348"/>
    <x v="0"/>
    <d v="2012-12-31T00:00:00"/>
    <x v="1369"/>
    <x v="1334"/>
    <x v="1291"/>
    <n v="0"/>
    <x v="738"/>
    <x v="0"/>
    <x v="53"/>
  </r>
  <r>
    <x v="348"/>
    <x v="1"/>
    <d v="2013-12-31T00:00:00"/>
    <x v="1370"/>
    <x v="1335"/>
    <x v="1292"/>
    <n v="0"/>
    <x v="739"/>
    <x v="0"/>
    <x v="53"/>
  </r>
  <r>
    <x v="348"/>
    <x v="2"/>
    <d v="2014-12-31T00:00:00"/>
    <x v="1371"/>
    <x v="1336"/>
    <x v="1293"/>
    <n v="0"/>
    <x v="740"/>
    <x v="0"/>
    <x v="53"/>
  </r>
  <r>
    <x v="348"/>
    <x v="3"/>
    <d v="2015-12-31T00:00:00"/>
    <x v="1372"/>
    <x v="1337"/>
    <x v="1294"/>
    <n v="0"/>
    <x v="741"/>
    <x v="0"/>
    <x v="53"/>
  </r>
  <r>
    <x v="349"/>
    <x v="0"/>
    <d v="2012-12-31T00:00:00"/>
    <x v="1373"/>
    <x v="878"/>
    <x v="1295"/>
    <n v="0"/>
    <x v="742"/>
    <x v="5"/>
    <x v="10"/>
  </r>
  <r>
    <x v="349"/>
    <x v="1"/>
    <d v="2013-12-31T00:00:00"/>
    <x v="1374"/>
    <x v="1338"/>
    <x v="781"/>
    <n v="0"/>
    <x v="743"/>
    <x v="5"/>
    <x v="10"/>
  </r>
  <r>
    <x v="349"/>
    <x v="2"/>
    <d v="2014-12-31T00:00:00"/>
    <x v="1375"/>
    <x v="1339"/>
    <x v="1296"/>
    <n v="0"/>
    <x v="744"/>
    <x v="5"/>
    <x v="10"/>
  </r>
  <r>
    <x v="349"/>
    <x v="3"/>
    <d v="2015-12-31T00:00:00"/>
    <x v="1376"/>
    <x v="1340"/>
    <x v="1297"/>
    <n v="0"/>
    <x v="745"/>
    <x v="5"/>
    <x v="10"/>
  </r>
  <r>
    <x v="350"/>
    <x v="0"/>
    <d v="2012-12-31T00:00:00"/>
    <x v="1377"/>
    <x v="186"/>
    <x v="1298"/>
    <n v="0"/>
    <x v="746"/>
    <x v="6"/>
    <x v="35"/>
  </r>
  <r>
    <x v="350"/>
    <x v="1"/>
    <d v="2013-12-31T00:00:00"/>
    <x v="1378"/>
    <x v="1341"/>
    <x v="1299"/>
    <n v="0"/>
    <x v="747"/>
    <x v="6"/>
    <x v="35"/>
  </r>
  <r>
    <x v="350"/>
    <x v="2"/>
    <d v="2014-12-31T00:00:00"/>
    <x v="1379"/>
    <x v="1342"/>
    <x v="707"/>
    <n v="0"/>
    <x v="748"/>
    <x v="6"/>
    <x v="35"/>
  </r>
  <r>
    <x v="350"/>
    <x v="3"/>
    <d v="2015-12-31T00:00:00"/>
    <x v="1380"/>
    <x v="1343"/>
    <x v="1300"/>
    <n v="0"/>
    <x v="749"/>
    <x v="6"/>
    <x v="35"/>
  </r>
  <r>
    <x v="351"/>
    <x v="0"/>
    <d v="2013-06-28T00:00:00"/>
    <x v="1381"/>
    <x v="1344"/>
    <x v="1301"/>
    <n v="1133000000"/>
    <x v="249"/>
    <x v="2"/>
    <x v="111"/>
  </r>
  <r>
    <x v="351"/>
    <x v="1"/>
    <d v="2014-06-27T00:00:00"/>
    <x v="1382"/>
    <x v="1345"/>
    <x v="1302"/>
    <n v="1226000000"/>
    <x v="750"/>
    <x v="2"/>
    <x v="111"/>
  </r>
  <r>
    <x v="351"/>
    <x v="2"/>
    <d v="2015-07-03T00:00:00"/>
    <x v="1383"/>
    <x v="1346"/>
    <x v="1303"/>
    <n v="1353000000"/>
    <x v="430"/>
    <x v="2"/>
    <x v="111"/>
  </r>
  <r>
    <x v="351"/>
    <x v="3"/>
    <d v="2016-07-01T00:00:00"/>
    <x v="1384"/>
    <x v="1347"/>
    <x v="1301"/>
    <n v="1237000000"/>
    <x v="751"/>
    <x v="2"/>
    <x v="111"/>
  </r>
  <r>
    <x v="352"/>
    <x v="0"/>
    <d v="2013-02-28T00:00:00"/>
    <x v="1385"/>
    <x v="1348"/>
    <x v="1304"/>
    <n v="0"/>
    <x v="4"/>
    <x v="4"/>
    <x v="112"/>
  </r>
  <r>
    <x v="352"/>
    <x v="1"/>
    <d v="2014-02-28T00:00:00"/>
    <x v="1386"/>
    <x v="1349"/>
    <x v="1305"/>
    <n v="0"/>
    <x v="4"/>
    <x v="4"/>
    <x v="112"/>
  </r>
  <r>
    <x v="352"/>
    <x v="2"/>
    <d v="2015-02-28T00:00:00"/>
    <x v="1387"/>
    <x v="1350"/>
    <x v="1306"/>
    <n v="0"/>
    <x v="4"/>
    <x v="4"/>
    <x v="112"/>
  </r>
  <r>
    <x v="352"/>
    <x v="3"/>
    <d v="2016-02-29T00:00:00"/>
    <x v="1388"/>
    <x v="1351"/>
    <x v="1307"/>
    <n v="0"/>
    <x v="4"/>
    <x v="4"/>
    <x v="112"/>
  </r>
  <r>
    <x v="353"/>
    <x v="0"/>
    <d v="2013-12-28T00:00:00"/>
    <x v="1389"/>
    <x v="1352"/>
    <x v="1308"/>
    <n v="0"/>
    <x v="4"/>
    <x v="1"/>
    <x v="110"/>
  </r>
  <r>
    <x v="353"/>
    <x v="1"/>
    <d v="2015-01-03T00:00:00"/>
    <x v="1390"/>
    <x v="1353"/>
    <x v="1309"/>
    <n v="0"/>
    <x v="4"/>
    <x v="1"/>
    <x v="110"/>
  </r>
  <r>
    <x v="353"/>
    <x v="2"/>
    <d v="2016-01-02T00:00:00"/>
    <x v="1391"/>
    <x v="1354"/>
    <x v="1310"/>
    <n v="0"/>
    <x v="4"/>
    <x v="1"/>
    <x v="110"/>
  </r>
  <r>
    <x v="353"/>
    <x v="3"/>
    <d v="2016-12-31T00:00:00"/>
    <x v="1392"/>
    <x v="1355"/>
    <x v="1311"/>
    <n v="0"/>
    <x v="4"/>
    <x v="1"/>
    <x v="110"/>
  </r>
  <r>
    <x v="354"/>
    <x v="0"/>
    <d v="2013-09-27T00:00:00"/>
    <x v="1393"/>
    <x v="1356"/>
    <x v="1312"/>
    <n v="226300000"/>
    <x v="752"/>
    <x v="2"/>
    <x v="7"/>
  </r>
  <r>
    <x v="354"/>
    <x v="1"/>
    <d v="2014-10-03T00:00:00"/>
    <x v="1394"/>
    <x v="1357"/>
    <x v="1313"/>
    <n v="252200000"/>
    <x v="753"/>
    <x v="2"/>
    <x v="7"/>
  </r>
  <r>
    <x v="354"/>
    <x v="2"/>
    <d v="2015-10-02T00:00:00"/>
    <x v="1395"/>
    <x v="1358"/>
    <x v="1314"/>
    <n v="303200000"/>
    <x v="754"/>
    <x v="2"/>
    <x v="7"/>
  </r>
  <r>
    <x v="354"/>
    <x v="3"/>
    <d v="2016-09-30T00:00:00"/>
    <x v="1396"/>
    <x v="1359"/>
    <x v="1315"/>
    <n v="312400000"/>
    <x v="755"/>
    <x v="2"/>
    <x v="7"/>
  </r>
  <r>
    <x v="355"/>
    <x v="0"/>
    <d v="2012-12-31T00:00:00"/>
    <x v="1397"/>
    <x v="1360"/>
    <x v="1316"/>
    <n v="0"/>
    <x v="186"/>
    <x v="9"/>
    <x v="27"/>
  </r>
  <r>
    <x v="355"/>
    <x v="1"/>
    <d v="2013-12-31T00:00:00"/>
    <x v="1398"/>
    <x v="1361"/>
    <x v="1317"/>
    <n v="0"/>
    <x v="756"/>
    <x v="9"/>
    <x v="27"/>
  </r>
  <r>
    <x v="355"/>
    <x v="2"/>
    <d v="2014-12-31T00:00:00"/>
    <x v="1399"/>
    <x v="1362"/>
    <x v="1196"/>
    <n v="0"/>
    <x v="757"/>
    <x v="9"/>
    <x v="27"/>
  </r>
  <r>
    <x v="355"/>
    <x v="3"/>
    <d v="2015-12-31T00:00:00"/>
    <x v="1400"/>
    <x v="1363"/>
    <x v="1318"/>
    <n v="0"/>
    <x v="758"/>
    <x v="9"/>
    <x v="27"/>
  </r>
  <r>
    <x v="356"/>
    <x v="0"/>
    <d v="2012-12-31T00:00:00"/>
    <x v="1401"/>
    <x v="1364"/>
    <x v="1319"/>
    <n v="0"/>
    <x v="759"/>
    <x v="6"/>
    <x v="34"/>
  </r>
  <r>
    <x v="356"/>
    <x v="1"/>
    <d v="2013-12-31T00:00:00"/>
    <x v="1402"/>
    <x v="1365"/>
    <x v="1320"/>
    <n v="0"/>
    <x v="760"/>
    <x v="6"/>
    <x v="34"/>
  </r>
  <r>
    <x v="356"/>
    <x v="2"/>
    <d v="2014-12-31T00:00:00"/>
    <x v="1403"/>
    <x v="1366"/>
    <x v="1321"/>
    <n v="0"/>
    <x v="761"/>
    <x v="6"/>
    <x v="34"/>
  </r>
  <r>
    <x v="356"/>
    <x v="3"/>
    <d v="2015-12-31T00:00:00"/>
    <x v="1404"/>
    <x v="1367"/>
    <x v="1322"/>
    <n v="0"/>
    <x v="762"/>
    <x v="6"/>
    <x v="34"/>
  </r>
  <r>
    <x v="357"/>
    <x v="0"/>
    <d v="2013-12-31T00:00:00"/>
    <x v="1405"/>
    <x v="1368"/>
    <x v="1323"/>
    <n v="536000000"/>
    <x v="584"/>
    <x v="3"/>
    <x v="5"/>
  </r>
  <r>
    <x v="357"/>
    <x v="1"/>
    <d v="2014-12-31T00:00:00"/>
    <x v="1406"/>
    <x v="1369"/>
    <x v="1324"/>
    <n v="614000000"/>
    <x v="763"/>
    <x v="3"/>
    <x v="5"/>
  </r>
  <r>
    <x v="357"/>
    <x v="2"/>
    <d v="2015-12-31T00:00:00"/>
    <x v="1407"/>
    <x v="1370"/>
    <x v="1325"/>
    <n v="625000000"/>
    <x v="764"/>
    <x v="3"/>
    <x v="5"/>
  </r>
  <r>
    <x v="357"/>
    <x v="3"/>
    <d v="2016-12-31T00:00:00"/>
    <x v="1070"/>
    <x v="1371"/>
    <x v="1326"/>
    <n v="715000000"/>
    <x v="765"/>
    <x v="3"/>
    <x v="5"/>
  </r>
  <r>
    <x v="358"/>
    <x v="0"/>
    <d v="2013-03-29T00:00:00"/>
    <x v="1408"/>
    <x v="1372"/>
    <x v="1327"/>
    <n v="1026000000"/>
    <x v="766"/>
    <x v="2"/>
    <x v="6"/>
  </r>
  <r>
    <x v="358"/>
    <x v="1"/>
    <d v="2014-03-28T00:00:00"/>
    <x v="1409"/>
    <x v="1373"/>
    <x v="1328"/>
    <n v="722000000"/>
    <x v="260"/>
    <x v="2"/>
    <x v="6"/>
  </r>
  <r>
    <x v="358"/>
    <x v="2"/>
    <d v="2015-04-03T00:00:00"/>
    <x v="1410"/>
    <x v="1374"/>
    <x v="302"/>
    <n v="812000000"/>
    <x v="767"/>
    <x v="2"/>
    <x v="6"/>
  </r>
  <r>
    <x v="358"/>
    <x v="3"/>
    <d v="2016-04-01T00:00:00"/>
    <x v="1411"/>
    <x v="1375"/>
    <x v="1329"/>
    <n v="748000000"/>
    <x v="768"/>
    <x v="2"/>
    <x v="6"/>
  </r>
  <r>
    <x v="359"/>
    <x v="0"/>
    <d v="2013-06-29T00:00:00"/>
    <x v="1412"/>
    <x v="1376"/>
    <x v="1330"/>
    <n v="0"/>
    <x v="4"/>
    <x v="4"/>
    <x v="113"/>
  </r>
  <r>
    <x v="359"/>
    <x v="1"/>
    <d v="2014-06-28T00:00:00"/>
    <x v="1413"/>
    <x v="1377"/>
    <x v="52"/>
    <n v="0"/>
    <x v="4"/>
    <x v="4"/>
    <x v="113"/>
  </r>
  <r>
    <x v="359"/>
    <x v="2"/>
    <d v="2015-06-27T00:00:00"/>
    <x v="1414"/>
    <x v="1378"/>
    <x v="52"/>
    <n v="0"/>
    <x v="4"/>
    <x v="4"/>
    <x v="113"/>
  </r>
  <r>
    <x v="359"/>
    <x v="3"/>
    <d v="2016-07-02T00:00:00"/>
    <x v="1415"/>
    <x v="1379"/>
    <x v="52"/>
    <n v="0"/>
    <x v="4"/>
    <x v="4"/>
    <x v="113"/>
  </r>
  <r>
    <x v="360"/>
    <x v="0"/>
    <d v="2012-12-31T00:00:00"/>
    <x v="1416"/>
    <x v="1380"/>
    <x v="1331"/>
    <n v="0"/>
    <x v="769"/>
    <x v="10"/>
    <x v="61"/>
  </r>
  <r>
    <x v="360"/>
    <x v="1"/>
    <d v="2013-12-31T00:00:00"/>
    <x v="1417"/>
    <x v="1381"/>
    <x v="1332"/>
    <n v="0"/>
    <x v="770"/>
    <x v="10"/>
    <x v="61"/>
  </r>
  <r>
    <x v="360"/>
    <x v="2"/>
    <d v="2014-12-31T00:00:00"/>
    <x v="1418"/>
    <x v="1382"/>
    <x v="1333"/>
    <n v="0"/>
    <x v="771"/>
    <x v="10"/>
    <x v="61"/>
  </r>
  <r>
    <x v="360"/>
    <x v="3"/>
    <d v="2015-12-31T00:00:00"/>
    <x v="1419"/>
    <x v="1383"/>
    <x v="1334"/>
    <n v="0"/>
    <x v="772"/>
    <x v="10"/>
    <x v="61"/>
  </r>
  <r>
    <x v="361"/>
    <x v="0"/>
    <d v="2013-12-31T00:00:00"/>
    <x v="1420"/>
    <x v="1384"/>
    <x v="1335"/>
    <n v="0"/>
    <x v="4"/>
    <x v="4"/>
    <x v="114"/>
  </r>
  <r>
    <x v="361"/>
    <x v="1"/>
    <d v="2014-12-31T00:00:00"/>
    <x v="1421"/>
    <x v="1385"/>
    <x v="1336"/>
    <n v="0"/>
    <x v="4"/>
    <x v="4"/>
    <x v="114"/>
  </r>
  <r>
    <x v="361"/>
    <x v="2"/>
    <d v="2015-12-31T00:00:00"/>
    <x v="1422"/>
    <x v="1386"/>
    <x v="1337"/>
    <n v="0"/>
    <x v="4"/>
    <x v="4"/>
    <x v="114"/>
  </r>
  <r>
    <x v="361"/>
    <x v="3"/>
    <d v="2016-12-31T00:00:00"/>
    <x v="1423"/>
    <x v="1387"/>
    <x v="1338"/>
    <n v="0"/>
    <x v="4"/>
    <x v="4"/>
    <x v="114"/>
  </r>
  <r>
    <x v="362"/>
    <x v="0"/>
    <d v="2012-12-31T00:00:00"/>
    <x v="1424"/>
    <x v="1388"/>
    <x v="1339"/>
    <n v="183000000"/>
    <x v="4"/>
    <x v="2"/>
    <x v="6"/>
  </r>
  <r>
    <x v="362"/>
    <x v="1"/>
    <d v="2013-12-31T00:00:00"/>
    <x v="1425"/>
    <x v="1389"/>
    <x v="1045"/>
    <n v="184000000"/>
    <x v="4"/>
    <x v="2"/>
    <x v="6"/>
  </r>
  <r>
    <x v="362"/>
    <x v="2"/>
    <d v="2014-12-31T00:00:00"/>
    <x v="1426"/>
    <x v="1390"/>
    <x v="1340"/>
    <n v="206000000"/>
    <x v="4"/>
    <x v="2"/>
    <x v="6"/>
  </r>
  <r>
    <x v="362"/>
    <x v="3"/>
    <d v="2015-12-31T00:00:00"/>
    <x v="1427"/>
    <x v="1391"/>
    <x v="1341"/>
    <n v="228000000"/>
    <x v="4"/>
    <x v="2"/>
    <x v="6"/>
  </r>
  <r>
    <x v="363"/>
    <x v="0"/>
    <d v="2013-09-30T00:00:00"/>
    <x v="1428"/>
    <x v="1392"/>
    <x v="1342"/>
    <n v="0"/>
    <x v="773"/>
    <x v="0"/>
    <x v="30"/>
  </r>
  <r>
    <x v="363"/>
    <x v="1"/>
    <d v="2014-09-30T00:00:00"/>
    <x v="1429"/>
    <x v="1393"/>
    <x v="1343"/>
    <n v="0"/>
    <x v="774"/>
    <x v="0"/>
    <x v="30"/>
  </r>
  <r>
    <x v="363"/>
    <x v="2"/>
    <d v="2015-09-30T00:00:00"/>
    <x v="1430"/>
    <x v="1394"/>
    <x v="1344"/>
    <n v="0"/>
    <x v="775"/>
    <x v="0"/>
    <x v="30"/>
  </r>
  <r>
    <x v="363"/>
    <x v="3"/>
    <d v="2016-09-30T00:00:00"/>
    <x v="1431"/>
    <x v="1395"/>
    <x v="1345"/>
    <n v="0"/>
    <x v="776"/>
    <x v="0"/>
    <x v="30"/>
  </r>
  <r>
    <x v="364"/>
    <x v="0"/>
    <d v="2013-09-27T00:00:00"/>
    <x v="1432"/>
    <x v="1396"/>
    <x v="1346"/>
    <n v="590000000"/>
    <x v="4"/>
    <x v="2"/>
    <x v="115"/>
  </r>
  <r>
    <x v="364"/>
    <x v="1"/>
    <d v="2014-09-26T00:00:00"/>
    <x v="1433"/>
    <x v="1397"/>
    <x v="765"/>
    <n v="583000000"/>
    <x v="4"/>
    <x v="2"/>
    <x v="115"/>
  </r>
  <r>
    <x v="364"/>
    <x v="2"/>
    <d v="2015-09-25T00:00:00"/>
    <x v="1434"/>
    <x v="1398"/>
    <x v="1347"/>
    <n v="627000000"/>
    <x v="4"/>
    <x v="2"/>
    <x v="115"/>
  </r>
  <r>
    <x v="364"/>
    <x v="3"/>
    <d v="2016-09-30T00:00:00"/>
    <x v="1435"/>
    <x v="1399"/>
    <x v="1348"/>
    <n v="644000000"/>
    <x v="4"/>
    <x v="2"/>
    <x v="115"/>
  </r>
  <r>
    <x v="365"/>
    <x v="0"/>
    <d v="2012-12-30T00:00:00"/>
    <x v="1436"/>
    <x v="1400"/>
    <x v="1349"/>
    <n v="0"/>
    <x v="777"/>
    <x v="1"/>
    <x v="116"/>
  </r>
  <r>
    <x v="365"/>
    <x v="1"/>
    <d v="2013-12-29T00:00:00"/>
    <x v="1437"/>
    <x v="1401"/>
    <x v="1350"/>
    <n v="0"/>
    <x v="778"/>
    <x v="1"/>
    <x v="116"/>
  </r>
  <r>
    <x v="365"/>
    <x v="2"/>
    <d v="2014-12-31T00:00:00"/>
    <x v="1438"/>
    <x v="1402"/>
    <x v="1351"/>
    <n v="0"/>
    <x v="779"/>
    <x v="1"/>
    <x v="116"/>
  </r>
  <r>
    <x v="365"/>
    <x v="3"/>
    <d v="2015-12-31T00:00:00"/>
    <x v="1439"/>
    <x v="1403"/>
    <x v="1352"/>
    <n v="0"/>
    <x v="780"/>
    <x v="1"/>
    <x v="116"/>
  </r>
  <r>
    <x v="366"/>
    <x v="0"/>
    <d v="2013-02-02T00:00:00"/>
    <x v="1440"/>
    <x v="1404"/>
    <x v="1353"/>
    <n v="0"/>
    <x v="104"/>
    <x v="1"/>
    <x v="64"/>
  </r>
  <r>
    <x v="366"/>
    <x v="1"/>
    <d v="2014-02-01T00:00:00"/>
    <x v="1441"/>
    <x v="1405"/>
    <x v="1354"/>
    <n v="0"/>
    <x v="781"/>
    <x v="1"/>
    <x v="64"/>
  </r>
  <r>
    <x v="366"/>
    <x v="2"/>
    <d v="2015-01-31T00:00:00"/>
    <x v="1442"/>
    <x v="1406"/>
    <x v="1355"/>
    <n v="0"/>
    <x v="782"/>
    <x v="1"/>
    <x v="64"/>
  </r>
  <r>
    <x v="366"/>
    <x v="3"/>
    <d v="2016-01-30T00:00:00"/>
    <x v="1443"/>
    <x v="1407"/>
    <x v="1356"/>
    <n v="0"/>
    <x v="783"/>
    <x v="1"/>
    <x v="64"/>
  </r>
  <r>
    <x v="367"/>
    <x v="0"/>
    <d v="2013-01-31T00:00:00"/>
    <x v="1444"/>
    <x v="1408"/>
    <x v="1357"/>
    <n v="0"/>
    <x v="4"/>
    <x v="1"/>
    <x v="82"/>
  </r>
  <r>
    <x v="367"/>
    <x v="1"/>
    <d v="2014-01-31T00:00:00"/>
    <x v="1445"/>
    <x v="1409"/>
    <x v="1358"/>
    <n v="0"/>
    <x v="4"/>
    <x v="1"/>
    <x v="82"/>
  </r>
  <r>
    <x v="367"/>
    <x v="2"/>
    <d v="2015-01-31T00:00:00"/>
    <x v="1446"/>
    <x v="1410"/>
    <x v="1359"/>
    <n v="0"/>
    <x v="4"/>
    <x v="1"/>
    <x v="82"/>
  </r>
  <r>
    <x v="367"/>
    <x v="3"/>
    <d v="2016-01-31T00:00:00"/>
    <x v="1447"/>
    <x v="1411"/>
    <x v="1360"/>
    <n v="0"/>
    <x v="4"/>
    <x v="1"/>
    <x v="82"/>
  </r>
  <r>
    <x v="368"/>
    <x v="0"/>
    <d v="2013-02-02T00:00:00"/>
    <x v="1448"/>
    <x v="1412"/>
    <x v="1361"/>
    <n v="0"/>
    <x v="4"/>
    <x v="1"/>
    <x v="74"/>
  </r>
  <r>
    <x v="368"/>
    <x v="1"/>
    <d v="2014-02-01T00:00:00"/>
    <x v="1449"/>
    <x v="1413"/>
    <x v="1362"/>
    <n v="0"/>
    <x v="4"/>
    <x v="1"/>
    <x v="74"/>
  </r>
  <r>
    <x v="368"/>
    <x v="2"/>
    <d v="2015-01-31T00:00:00"/>
    <x v="1450"/>
    <x v="1414"/>
    <x v="1363"/>
    <n v="0"/>
    <x v="4"/>
    <x v="1"/>
    <x v="74"/>
  </r>
  <r>
    <x v="368"/>
    <x v="3"/>
    <d v="2016-01-30T00:00:00"/>
    <x v="1451"/>
    <x v="1415"/>
    <x v="1364"/>
    <n v="0"/>
    <x v="4"/>
    <x v="1"/>
    <x v="74"/>
  </r>
  <r>
    <x v="369"/>
    <x v="0"/>
    <d v="2012-12-31T00:00:00"/>
    <x v="1452"/>
    <x v="1416"/>
    <x v="52"/>
    <n v="0"/>
    <x v="784"/>
    <x v="6"/>
    <x v="12"/>
  </r>
  <r>
    <x v="369"/>
    <x v="1"/>
    <d v="2013-12-31T00:00:00"/>
    <x v="1453"/>
    <x v="1417"/>
    <x v="52"/>
    <n v="0"/>
    <x v="785"/>
    <x v="6"/>
    <x v="12"/>
  </r>
  <r>
    <x v="369"/>
    <x v="2"/>
    <d v="2014-12-31T00:00:00"/>
    <x v="1454"/>
    <x v="1418"/>
    <x v="52"/>
    <n v="0"/>
    <x v="786"/>
    <x v="6"/>
    <x v="12"/>
  </r>
  <r>
    <x v="369"/>
    <x v="3"/>
    <d v="2015-12-31T00:00:00"/>
    <x v="1455"/>
    <x v="1419"/>
    <x v="52"/>
    <n v="0"/>
    <x v="787"/>
    <x v="6"/>
    <x v="12"/>
  </r>
  <r>
    <x v="370"/>
    <x v="0"/>
    <d v="2012-12-31T00:00:00"/>
    <x v="1456"/>
    <x v="1420"/>
    <x v="1365"/>
    <n v="376400000"/>
    <x v="4"/>
    <x v="3"/>
    <x v="5"/>
  </r>
  <r>
    <x v="370"/>
    <x v="1"/>
    <d v="2013-12-31T00:00:00"/>
    <x v="1457"/>
    <x v="1421"/>
    <x v="1366"/>
    <n v="395500000"/>
    <x v="4"/>
    <x v="3"/>
    <x v="5"/>
  </r>
  <r>
    <x v="370"/>
    <x v="2"/>
    <d v="2014-12-31T00:00:00"/>
    <x v="1458"/>
    <x v="1422"/>
    <x v="1367"/>
    <n v="691100000"/>
    <x v="4"/>
    <x v="3"/>
    <x v="5"/>
  </r>
  <r>
    <x v="370"/>
    <x v="3"/>
    <d v="2015-12-31T00:00:00"/>
    <x v="1459"/>
    <x v="1423"/>
    <x v="1368"/>
    <n v="692300000"/>
    <x v="4"/>
    <x v="3"/>
    <x v="5"/>
  </r>
  <r>
    <x v="371"/>
    <x v="0"/>
    <d v="2012-12-31T00:00:00"/>
    <x v="1460"/>
    <x v="1424"/>
    <x v="1369"/>
    <n v="0"/>
    <x v="788"/>
    <x v="1"/>
    <x v="24"/>
  </r>
  <r>
    <x v="371"/>
    <x v="1"/>
    <d v="2013-12-31T00:00:00"/>
    <x v="1461"/>
    <x v="1425"/>
    <x v="1370"/>
    <n v="0"/>
    <x v="789"/>
    <x v="1"/>
    <x v="24"/>
  </r>
  <r>
    <x v="371"/>
    <x v="2"/>
    <d v="2014-12-31T00:00:00"/>
    <x v="1462"/>
    <x v="307"/>
    <x v="1371"/>
    <n v="0"/>
    <x v="790"/>
    <x v="1"/>
    <x v="24"/>
  </r>
  <r>
    <x v="371"/>
    <x v="3"/>
    <d v="2015-12-31T00:00:00"/>
    <x v="1463"/>
    <x v="1426"/>
    <x v="1372"/>
    <n v="0"/>
    <x v="260"/>
    <x v="1"/>
    <x v="24"/>
  </r>
  <r>
    <x v="372"/>
    <x v="0"/>
    <d v="2013-12-31T00:00:00"/>
    <x v="1464"/>
    <x v="1427"/>
    <x v="1373"/>
    <n v="0"/>
    <x v="791"/>
    <x v="6"/>
    <x v="13"/>
  </r>
  <r>
    <x v="372"/>
    <x v="1"/>
    <d v="2014-12-31T00:00:00"/>
    <x v="1465"/>
    <x v="1428"/>
    <x v="1374"/>
    <n v="0"/>
    <x v="792"/>
    <x v="6"/>
    <x v="13"/>
  </r>
  <r>
    <x v="372"/>
    <x v="2"/>
    <d v="2015-12-31T00:00:00"/>
    <x v="1466"/>
    <x v="1429"/>
    <x v="1375"/>
    <n v="0"/>
    <x v="793"/>
    <x v="6"/>
    <x v="13"/>
  </r>
  <r>
    <x v="372"/>
    <x v="3"/>
    <d v="2016-12-31T00:00:00"/>
    <x v="1467"/>
    <x v="1430"/>
    <x v="1376"/>
    <n v="0"/>
    <x v="794"/>
    <x v="6"/>
    <x v="13"/>
  </r>
  <r>
    <x v="373"/>
    <x v="0"/>
    <d v="2012-12-29T00:00:00"/>
    <x v="1468"/>
    <x v="1431"/>
    <x v="1377"/>
    <n v="0"/>
    <x v="795"/>
    <x v="1"/>
    <x v="117"/>
  </r>
  <r>
    <x v="373"/>
    <x v="1"/>
    <d v="2013-12-28T00:00:00"/>
    <x v="1469"/>
    <x v="1432"/>
    <x v="1378"/>
    <n v="0"/>
    <x v="796"/>
    <x v="1"/>
    <x v="117"/>
  </r>
  <r>
    <x v="373"/>
    <x v="2"/>
    <d v="2014-12-27T00:00:00"/>
    <x v="1470"/>
    <x v="1433"/>
    <x v="1379"/>
    <n v="0"/>
    <x v="797"/>
    <x v="1"/>
    <x v="117"/>
  </r>
  <r>
    <x v="373"/>
    <x v="3"/>
    <d v="2015-12-26T00:00:00"/>
    <x v="1471"/>
    <x v="1434"/>
    <x v="1380"/>
    <n v="0"/>
    <x v="798"/>
    <x v="1"/>
    <x v="117"/>
  </r>
  <r>
    <x v="374"/>
    <x v="0"/>
    <d v="2013-10-03T00:00:00"/>
    <x v="1472"/>
    <x v="1435"/>
    <x v="1381"/>
    <n v="0"/>
    <x v="4"/>
    <x v="4"/>
    <x v="40"/>
  </r>
  <r>
    <x v="374"/>
    <x v="1"/>
    <d v="2014-10-03T00:00:00"/>
    <x v="1473"/>
    <x v="1436"/>
    <x v="1382"/>
    <n v="0"/>
    <x v="4"/>
    <x v="4"/>
    <x v="40"/>
  </r>
  <r>
    <x v="374"/>
    <x v="2"/>
    <d v="2015-10-03T00:00:00"/>
    <x v="1474"/>
    <x v="1437"/>
    <x v="1383"/>
    <n v="0"/>
    <x v="4"/>
    <x v="4"/>
    <x v="40"/>
  </r>
  <r>
    <x v="374"/>
    <x v="3"/>
    <d v="2016-10-01T00:00:00"/>
    <x v="1475"/>
    <x v="1438"/>
    <x v="1384"/>
    <n v="0"/>
    <x v="4"/>
    <x v="4"/>
    <x v="40"/>
  </r>
  <r>
    <x v="375"/>
    <x v="0"/>
    <d v="2012-12-31T00:00:00"/>
    <x v="1476"/>
    <x v="1439"/>
    <x v="1385"/>
    <n v="0"/>
    <x v="799"/>
    <x v="9"/>
    <x v="92"/>
  </r>
  <r>
    <x v="375"/>
    <x v="1"/>
    <d v="2013-12-31T00:00:00"/>
    <x v="1477"/>
    <x v="1440"/>
    <x v="1386"/>
    <n v="0"/>
    <x v="800"/>
    <x v="9"/>
    <x v="92"/>
  </r>
  <r>
    <x v="375"/>
    <x v="2"/>
    <d v="2014-12-31T00:00:00"/>
    <x v="1478"/>
    <x v="1441"/>
    <x v="1387"/>
    <n v="0"/>
    <x v="801"/>
    <x v="9"/>
    <x v="92"/>
  </r>
  <r>
    <x v="375"/>
    <x v="3"/>
    <d v="2015-12-31T00:00:00"/>
    <x v="1479"/>
    <x v="1442"/>
    <x v="1388"/>
    <n v="0"/>
    <x v="802"/>
    <x v="9"/>
    <x v="92"/>
  </r>
  <r>
    <x v="376"/>
    <x v="0"/>
    <d v="2012-12-31T00:00:00"/>
    <x v="1480"/>
    <x v="1443"/>
    <x v="1389"/>
    <n v="0"/>
    <x v="4"/>
    <x v="2"/>
    <x v="16"/>
  </r>
  <r>
    <x v="376"/>
    <x v="1"/>
    <d v="2013-12-31T00:00:00"/>
    <x v="1481"/>
    <x v="1444"/>
    <x v="1390"/>
    <n v="0"/>
    <x v="4"/>
    <x v="2"/>
    <x v="16"/>
  </r>
  <r>
    <x v="376"/>
    <x v="2"/>
    <d v="2014-12-31T00:00:00"/>
    <x v="1482"/>
    <x v="1445"/>
    <x v="1391"/>
    <n v="0"/>
    <x v="4"/>
    <x v="2"/>
    <x v="16"/>
  </r>
  <r>
    <x v="376"/>
    <x v="3"/>
    <d v="2015-12-31T00:00:00"/>
    <x v="1483"/>
    <x v="1446"/>
    <x v="1392"/>
    <n v="0"/>
    <x v="4"/>
    <x v="2"/>
    <x v="16"/>
  </r>
  <r>
    <x v="377"/>
    <x v="0"/>
    <d v="2012-12-31T00:00:00"/>
    <x v="1484"/>
    <x v="1447"/>
    <x v="1393"/>
    <n v="1877000000"/>
    <x v="4"/>
    <x v="2"/>
    <x v="7"/>
  </r>
  <r>
    <x v="377"/>
    <x v="1"/>
    <d v="2013-12-31T00:00:00"/>
    <x v="1485"/>
    <x v="1448"/>
    <x v="1394"/>
    <n v="1522000000"/>
    <x v="4"/>
    <x v="2"/>
    <x v="7"/>
  </r>
  <r>
    <x v="377"/>
    <x v="2"/>
    <d v="2014-12-31T00:00:00"/>
    <x v="1486"/>
    <x v="1449"/>
    <x v="1395"/>
    <n v="1358000000"/>
    <x v="4"/>
    <x v="2"/>
    <x v="7"/>
  </r>
  <r>
    <x v="377"/>
    <x v="3"/>
    <d v="2015-12-31T00:00:00"/>
    <x v="1487"/>
    <x v="1450"/>
    <x v="1383"/>
    <n v="1280000000"/>
    <x v="4"/>
    <x v="2"/>
    <x v="7"/>
  </r>
  <r>
    <x v="378"/>
    <x v="0"/>
    <d v="2012-12-29T00:00:00"/>
    <x v="1488"/>
    <x v="1451"/>
    <x v="1396"/>
    <n v="0"/>
    <x v="4"/>
    <x v="0"/>
    <x v="53"/>
  </r>
  <r>
    <x v="378"/>
    <x v="1"/>
    <d v="2013-12-28T00:00:00"/>
    <x v="1489"/>
    <x v="1452"/>
    <x v="632"/>
    <n v="0"/>
    <x v="4"/>
    <x v="0"/>
    <x v="53"/>
  </r>
  <r>
    <x v="378"/>
    <x v="2"/>
    <d v="2015-01-03T00:00:00"/>
    <x v="1490"/>
    <x v="1453"/>
    <x v="1397"/>
    <n v="0"/>
    <x v="4"/>
    <x v="0"/>
    <x v="53"/>
  </r>
  <r>
    <x v="378"/>
    <x v="3"/>
    <d v="2016-01-02T00:00:00"/>
    <x v="1491"/>
    <x v="1454"/>
    <x v="1398"/>
    <n v="0"/>
    <x v="4"/>
    <x v="0"/>
    <x v="53"/>
  </r>
  <r>
    <x v="379"/>
    <x v="0"/>
    <d v="2012-12-31T00:00:00"/>
    <x v="1492"/>
    <x v="1455"/>
    <x v="1399"/>
    <n v="0"/>
    <x v="4"/>
    <x v="1"/>
    <x v="82"/>
  </r>
  <r>
    <x v="379"/>
    <x v="1"/>
    <d v="2013-12-31T00:00:00"/>
    <x v="1493"/>
    <x v="1456"/>
    <x v="1400"/>
    <n v="0"/>
    <x v="4"/>
    <x v="1"/>
    <x v="82"/>
  </r>
  <r>
    <x v="379"/>
    <x v="2"/>
    <d v="2014-12-31T00:00:00"/>
    <x v="1494"/>
    <x v="1457"/>
    <x v="1401"/>
    <n v="0"/>
    <x v="4"/>
    <x v="1"/>
    <x v="82"/>
  </r>
  <r>
    <x v="379"/>
    <x v="3"/>
    <d v="2015-12-31T00:00:00"/>
    <x v="1495"/>
    <x v="1458"/>
    <x v="1402"/>
    <n v="0"/>
    <x v="4"/>
    <x v="1"/>
    <x v="82"/>
  </r>
  <r>
    <x v="380"/>
    <x v="0"/>
    <d v="2012-12-31T00:00:00"/>
    <x v="1492"/>
    <x v="1455"/>
    <x v="1399"/>
    <n v="0"/>
    <x v="4"/>
    <x v="1"/>
    <x v="82"/>
  </r>
  <r>
    <x v="380"/>
    <x v="1"/>
    <d v="2013-12-31T00:00:00"/>
    <x v="1493"/>
    <x v="1456"/>
    <x v="1400"/>
    <n v="0"/>
    <x v="4"/>
    <x v="1"/>
    <x v="82"/>
  </r>
  <r>
    <x v="380"/>
    <x v="2"/>
    <d v="2014-12-31T00:00:00"/>
    <x v="1494"/>
    <x v="1457"/>
    <x v="1401"/>
    <n v="0"/>
    <x v="4"/>
    <x v="1"/>
    <x v="82"/>
  </r>
  <r>
    <x v="380"/>
    <x v="3"/>
    <d v="2015-12-31T00:00:00"/>
    <x v="1495"/>
    <x v="1458"/>
    <x v="1402"/>
    <n v="0"/>
    <x v="4"/>
    <x v="1"/>
    <x v="82"/>
  </r>
  <r>
    <x v="381"/>
    <x v="0"/>
    <d v="2012-12-31T00:00:00"/>
    <x v="1496"/>
    <x v="1459"/>
    <x v="1403"/>
    <n v="0"/>
    <x v="803"/>
    <x v="0"/>
    <x v="0"/>
  </r>
  <r>
    <x v="381"/>
    <x v="1"/>
    <d v="2013-12-31T00:00:00"/>
    <x v="1497"/>
    <x v="1460"/>
    <x v="1404"/>
    <n v="0"/>
    <x v="804"/>
    <x v="0"/>
    <x v="0"/>
  </r>
  <r>
    <x v="381"/>
    <x v="2"/>
    <d v="2014-12-31T00:00:00"/>
    <x v="1498"/>
    <x v="1461"/>
    <x v="1405"/>
    <n v="0"/>
    <x v="394"/>
    <x v="0"/>
    <x v="0"/>
  </r>
  <r>
    <x v="381"/>
    <x v="3"/>
    <d v="2015-12-31T00:00:00"/>
    <x v="1499"/>
    <x v="1462"/>
    <x v="1406"/>
    <n v="0"/>
    <x v="805"/>
    <x v="0"/>
    <x v="0"/>
  </r>
  <r>
    <x v="382"/>
    <x v="0"/>
    <d v="2012-12-31T00:00:00"/>
    <x v="1500"/>
    <x v="1463"/>
    <x v="1407"/>
    <n v="0"/>
    <x v="806"/>
    <x v="7"/>
    <x v="70"/>
  </r>
  <r>
    <x v="382"/>
    <x v="1"/>
    <d v="2013-12-31T00:00:00"/>
    <x v="1501"/>
    <x v="1464"/>
    <x v="1408"/>
    <n v="0"/>
    <x v="807"/>
    <x v="7"/>
    <x v="70"/>
  </r>
  <r>
    <x v="382"/>
    <x v="2"/>
    <d v="2014-12-31T00:00:00"/>
    <x v="1502"/>
    <x v="1465"/>
    <x v="1409"/>
    <n v="0"/>
    <x v="808"/>
    <x v="7"/>
    <x v="70"/>
  </r>
  <r>
    <x v="382"/>
    <x v="3"/>
    <d v="2015-12-31T00:00:00"/>
    <x v="1503"/>
    <x v="1466"/>
    <x v="1410"/>
    <n v="0"/>
    <x v="809"/>
    <x v="7"/>
    <x v="70"/>
  </r>
  <r>
    <x v="383"/>
    <x v="0"/>
    <d v="2013-02-02T00:00:00"/>
    <x v="1504"/>
    <x v="1467"/>
    <x v="1411"/>
    <n v="0"/>
    <x v="4"/>
    <x v="1"/>
    <x v="25"/>
  </r>
  <r>
    <x v="383"/>
    <x v="1"/>
    <d v="2014-02-02T00:00:00"/>
    <x v="1505"/>
    <x v="1468"/>
    <x v="1412"/>
    <n v="0"/>
    <x v="4"/>
    <x v="1"/>
    <x v="25"/>
  </r>
  <r>
    <x v="383"/>
    <x v="2"/>
    <d v="2015-01-31T00:00:00"/>
    <x v="1506"/>
    <x v="1469"/>
    <x v="1413"/>
    <n v="0"/>
    <x v="4"/>
    <x v="1"/>
    <x v="25"/>
  </r>
  <r>
    <x v="383"/>
    <x v="3"/>
    <d v="2016-01-31T00:00:00"/>
    <x v="1507"/>
    <x v="1470"/>
    <x v="1414"/>
    <n v="0"/>
    <x v="4"/>
    <x v="1"/>
    <x v="25"/>
  </r>
  <r>
    <x v="384"/>
    <x v="0"/>
    <d v="2013-12-31T00:00:00"/>
    <x v="1508"/>
    <x v="1471"/>
    <x v="52"/>
    <n v="0"/>
    <x v="810"/>
    <x v="3"/>
    <x v="26"/>
  </r>
  <r>
    <x v="384"/>
    <x v="1"/>
    <d v="2014-12-31T00:00:00"/>
    <x v="1509"/>
    <x v="1472"/>
    <x v="52"/>
    <n v="0"/>
    <x v="811"/>
    <x v="3"/>
    <x v="26"/>
  </r>
  <r>
    <x v="384"/>
    <x v="2"/>
    <d v="2015-12-31T00:00:00"/>
    <x v="1510"/>
    <x v="1473"/>
    <x v="52"/>
    <n v="0"/>
    <x v="812"/>
    <x v="3"/>
    <x v="26"/>
  </r>
  <r>
    <x v="384"/>
    <x v="3"/>
    <d v="2016-12-31T00:00:00"/>
    <x v="1511"/>
    <x v="1474"/>
    <x v="52"/>
    <n v="0"/>
    <x v="813"/>
    <x v="3"/>
    <x v="26"/>
  </r>
  <r>
    <x v="385"/>
    <x v="0"/>
    <d v="2012-12-31T00:00:00"/>
    <x v="1512"/>
    <x v="1475"/>
    <x v="1415"/>
    <n v="0"/>
    <x v="814"/>
    <x v="6"/>
    <x v="97"/>
  </r>
  <r>
    <x v="385"/>
    <x v="1"/>
    <d v="2013-12-31T00:00:00"/>
    <x v="1513"/>
    <x v="1476"/>
    <x v="1416"/>
    <n v="0"/>
    <x v="815"/>
    <x v="6"/>
    <x v="97"/>
  </r>
  <r>
    <x v="385"/>
    <x v="2"/>
    <d v="2014-12-31T00:00:00"/>
    <x v="1514"/>
    <x v="1477"/>
    <x v="1417"/>
    <n v="0"/>
    <x v="816"/>
    <x v="6"/>
    <x v="97"/>
  </r>
  <r>
    <x v="385"/>
    <x v="3"/>
    <d v="2015-12-31T00:00:00"/>
    <x v="1515"/>
    <x v="1478"/>
    <x v="1418"/>
    <n v="0"/>
    <x v="817"/>
    <x v="6"/>
    <x v="97"/>
  </r>
  <r>
    <x v="386"/>
    <x v="0"/>
    <d v="2013-12-31T00:00:00"/>
    <x v="1516"/>
    <x v="1479"/>
    <x v="1419"/>
    <n v="0"/>
    <x v="818"/>
    <x v="0"/>
    <x v="59"/>
  </r>
  <r>
    <x v="386"/>
    <x v="1"/>
    <d v="2014-12-31T00:00:00"/>
    <x v="1517"/>
    <x v="1480"/>
    <x v="1420"/>
    <n v="0"/>
    <x v="397"/>
    <x v="0"/>
    <x v="59"/>
  </r>
  <r>
    <x v="386"/>
    <x v="2"/>
    <d v="2015-12-31T00:00:00"/>
    <x v="1518"/>
    <x v="1481"/>
    <x v="1421"/>
    <n v="0"/>
    <x v="819"/>
    <x v="0"/>
    <x v="59"/>
  </r>
  <r>
    <x v="386"/>
    <x v="3"/>
    <d v="2016-12-31T00:00:00"/>
    <x v="1519"/>
    <x v="1482"/>
    <x v="1422"/>
    <n v="0"/>
    <x v="820"/>
    <x v="0"/>
    <x v="59"/>
  </r>
  <r>
    <x v="387"/>
    <x v="0"/>
    <d v="2012-12-31T00:00:00"/>
    <x v="1520"/>
    <x v="1483"/>
    <x v="1423"/>
    <n v="0"/>
    <x v="821"/>
    <x v="0"/>
    <x v="49"/>
  </r>
  <r>
    <x v="387"/>
    <x v="1"/>
    <d v="2013-12-31T00:00:00"/>
    <x v="1521"/>
    <x v="1484"/>
    <x v="1424"/>
    <n v="0"/>
    <x v="822"/>
    <x v="0"/>
    <x v="49"/>
  </r>
  <r>
    <x v="387"/>
    <x v="2"/>
    <d v="2014-12-31T00:00:00"/>
    <x v="1522"/>
    <x v="1485"/>
    <x v="1425"/>
    <n v="0"/>
    <x v="823"/>
    <x v="0"/>
    <x v="49"/>
  </r>
  <r>
    <x v="387"/>
    <x v="3"/>
    <d v="2015-12-31T00:00:00"/>
    <x v="1523"/>
    <x v="1486"/>
    <x v="1426"/>
    <n v="0"/>
    <x v="824"/>
    <x v="0"/>
    <x v="49"/>
  </r>
  <r>
    <x v="388"/>
    <x v="0"/>
    <d v="2013-01-31T00:00:00"/>
    <x v="1524"/>
    <x v="1487"/>
    <x v="1427"/>
    <n v="0"/>
    <x v="4"/>
    <x v="1"/>
    <x v="74"/>
  </r>
  <r>
    <x v="388"/>
    <x v="1"/>
    <d v="2014-01-31T00:00:00"/>
    <x v="1525"/>
    <x v="1488"/>
    <x v="1428"/>
    <n v="0"/>
    <x v="4"/>
    <x v="1"/>
    <x v="74"/>
  </r>
  <r>
    <x v="388"/>
    <x v="2"/>
    <d v="2015-01-31T00:00:00"/>
    <x v="1526"/>
    <x v="1489"/>
    <x v="1429"/>
    <n v="0"/>
    <x v="4"/>
    <x v="1"/>
    <x v="74"/>
  </r>
  <r>
    <x v="388"/>
    <x v="3"/>
    <d v="2016-01-31T00:00:00"/>
    <x v="1527"/>
    <x v="1490"/>
    <x v="1430"/>
    <n v="0"/>
    <x v="4"/>
    <x v="1"/>
    <x v="74"/>
  </r>
  <r>
    <x v="389"/>
    <x v="0"/>
    <d v="2013-07-31T00:00:00"/>
    <x v="1528"/>
    <x v="1491"/>
    <x v="1431"/>
    <n v="62630000"/>
    <x v="4"/>
    <x v="6"/>
    <x v="35"/>
  </r>
  <r>
    <x v="389"/>
    <x v="1"/>
    <d v="2014-07-31T00:00:00"/>
    <x v="1529"/>
    <x v="1492"/>
    <x v="1432"/>
    <n v="61800000"/>
    <x v="4"/>
    <x v="6"/>
    <x v="35"/>
  </r>
  <r>
    <x v="389"/>
    <x v="2"/>
    <d v="2015-07-31T00:00:00"/>
    <x v="1530"/>
    <x v="1493"/>
    <x v="1433"/>
    <n v="60200000"/>
    <x v="4"/>
    <x v="6"/>
    <x v="35"/>
  </r>
  <r>
    <x v="389"/>
    <x v="3"/>
    <d v="2016-07-31T00:00:00"/>
    <x v="1531"/>
    <x v="1494"/>
    <x v="1434"/>
    <n v="55500000"/>
    <x v="4"/>
    <x v="6"/>
    <x v="35"/>
  </r>
  <r>
    <x v="390"/>
    <x v="0"/>
    <d v="2013-12-31T00:00:00"/>
    <x v="1532"/>
    <x v="1495"/>
    <x v="1435"/>
    <n v="2342000000"/>
    <x v="4"/>
    <x v="0"/>
    <x v="53"/>
  </r>
  <r>
    <x v="390"/>
    <x v="1"/>
    <d v="2014-12-31T00:00:00"/>
    <x v="1533"/>
    <x v="1496"/>
    <x v="1436"/>
    <n v="2475000000"/>
    <x v="4"/>
    <x v="0"/>
    <x v="53"/>
  </r>
  <r>
    <x v="390"/>
    <x v="2"/>
    <d v="2015-12-31T00:00:00"/>
    <x v="1534"/>
    <x v="1497"/>
    <x v="1437"/>
    <n v="2279000000"/>
    <x v="4"/>
    <x v="0"/>
    <x v="53"/>
  </r>
  <r>
    <x v="390"/>
    <x v="3"/>
    <d v="2016-12-31T00:00:00"/>
    <x v="1535"/>
    <x v="1498"/>
    <x v="1438"/>
    <n v="2337000000"/>
    <x v="4"/>
    <x v="0"/>
    <x v="53"/>
  </r>
  <r>
    <x v="391"/>
    <x v="0"/>
    <d v="2013-09-30T00:00:00"/>
    <x v="1536"/>
    <x v="1499"/>
    <x v="1439"/>
    <n v="0"/>
    <x v="825"/>
    <x v="2"/>
    <x v="16"/>
  </r>
  <r>
    <x v="391"/>
    <x v="1"/>
    <d v="2014-09-30T00:00:00"/>
    <x v="1537"/>
    <x v="575"/>
    <x v="1440"/>
    <n v="0"/>
    <x v="826"/>
    <x v="2"/>
    <x v="16"/>
  </r>
  <r>
    <x v="391"/>
    <x v="2"/>
    <d v="2015-09-30T00:00:00"/>
    <x v="1538"/>
    <x v="1031"/>
    <x v="1441"/>
    <n v="0"/>
    <x v="827"/>
    <x v="2"/>
    <x v="16"/>
  </r>
  <r>
    <x v="391"/>
    <x v="3"/>
    <d v="2016-09-30T00:00:00"/>
    <x v="1539"/>
    <x v="1500"/>
    <x v="1442"/>
    <n v="0"/>
    <x v="828"/>
    <x v="2"/>
    <x v="16"/>
  </r>
  <r>
    <x v="392"/>
    <x v="0"/>
    <d v="2013-09-27T00:00:00"/>
    <x v="1540"/>
    <x v="1501"/>
    <x v="1443"/>
    <n v="208208000"/>
    <x v="4"/>
    <x v="3"/>
    <x v="5"/>
  </r>
  <r>
    <x v="392"/>
    <x v="1"/>
    <d v="2014-09-26T00:00:00"/>
    <x v="1541"/>
    <x v="1502"/>
    <x v="1444"/>
    <n v="234800000"/>
    <x v="4"/>
    <x v="3"/>
    <x v="5"/>
  </r>
  <r>
    <x v="392"/>
    <x v="2"/>
    <d v="2015-10-02T00:00:00"/>
    <x v="1542"/>
    <x v="1503"/>
    <x v="1445"/>
    <n v="245200000"/>
    <x v="4"/>
    <x v="3"/>
    <x v="5"/>
  </r>
  <r>
    <x v="392"/>
    <x v="3"/>
    <d v="2016-09-30T00:00:00"/>
    <x v="1543"/>
    <x v="1504"/>
    <x v="1446"/>
    <n v="253500000"/>
    <x v="4"/>
    <x v="3"/>
    <x v="5"/>
  </r>
  <r>
    <x v="393"/>
    <x v="0"/>
    <d v="2012-12-31T00:00:00"/>
    <x v="1544"/>
    <x v="1505"/>
    <x v="1447"/>
    <n v="0"/>
    <x v="4"/>
    <x v="1"/>
    <x v="82"/>
  </r>
  <r>
    <x v="393"/>
    <x v="1"/>
    <d v="2013-12-31T00:00:00"/>
    <x v="1545"/>
    <x v="1506"/>
    <x v="1448"/>
    <n v="0"/>
    <x v="4"/>
    <x v="1"/>
    <x v="82"/>
  </r>
  <r>
    <x v="393"/>
    <x v="2"/>
    <d v="2015-01-03T00:00:00"/>
    <x v="1546"/>
    <x v="1507"/>
    <x v="1449"/>
    <n v="0"/>
    <x v="4"/>
    <x v="1"/>
    <x v="82"/>
  </r>
  <r>
    <x v="393"/>
    <x v="3"/>
    <d v="2016-01-02T00:00:00"/>
    <x v="1547"/>
    <x v="1508"/>
    <x v="1450"/>
    <n v="0"/>
    <x v="4"/>
    <x v="1"/>
    <x v="82"/>
  </r>
  <r>
    <x v="394"/>
    <x v="0"/>
    <d v="2013-09-30T00:00:00"/>
    <x v="1548"/>
    <x v="1509"/>
    <x v="1451"/>
    <n v="0"/>
    <x v="829"/>
    <x v="1"/>
    <x v="67"/>
  </r>
  <r>
    <x v="394"/>
    <x v="1"/>
    <d v="2014-09-30T00:00:00"/>
    <x v="1549"/>
    <x v="1510"/>
    <x v="1452"/>
    <n v="0"/>
    <x v="547"/>
    <x v="1"/>
    <x v="67"/>
  </r>
  <r>
    <x v="394"/>
    <x v="2"/>
    <d v="2015-09-30T00:00:00"/>
    <x v="1550"/>
    <x v="1511"/>
    <x v="1453"/>
    <n v="0"/>
    <x v="830"/>
    <x v="1"/>
    <x v="67"/>
  </r>
  <r>
    <x v="394"/>
    <x v="3"/>
    <d v="2016-09-30T00:00:00"/>
    <x v="1551"/>
    <x v="1512"/>
    <x v="1454"/>
    <n v="0"/>
    <x v="831"/>
    <x v="1"/>
    <x v="67"/>
  </r>
  <r>
    <x v="395"/>
    <x v="0"/>
    <d v="2012-12-31T00:00:00"/>
    <x v="1552"/>
    <x v="1513"/>
    <x v="1455"/>
    <n v="0"/>
    <x v="832"/>
    <x v="9"/>
    <x v="92"/>
  </r>
  <r>
    <x v="395"/>
    <x v="1"/>
    <d v="2013-12-31T00:00:00"/>
    <x v="1553"/>
    <x v="1514"/>
    <x v="1456"/>
    <n v="0"/>
    <x v="305"/>
    <x v="9"/>
    <x v="92"/>
  </r>
  <r>
    <x v="395"/>
    <x v="2"/>
    <d v="2014-12-31T00:00:00"/>
    <x v="1554"/>
    <x v="1515"/>
    <x v="1457"/>
    <n v="0"/>
    <x v="409"/>
    <x v="9"/>
    <x v="92"/>
  </r>
  <r>
    <x v="395"/>
    <x v="3"/>
    <d v="2015-12-31T00:00:00"/>
    <x v="1555"/>
    <x v="1516"/>
    <x v="1458"/>
    <n v="0"/>
    <x v="833"/>
    <x v="9"/>
    <x v="92"/>
  </r>
  <r>
    <x v="396"/>
    <x v="0"/>
    <d v="2012-12-31T00:00:00"/>
    <x v="1556"/>
    <x v="1517"/>
    <x v="1459"/>
    <n v="0"/>
    <x v="4"/>
    <x v="8"/>
    <x v="99"/>
  </r>
  <r>
    <x v="396"/>
    <x v="1"/>
    <d v="2013-12-31T00:00:00"/>
    <x v="1557"/>
    <x v="1518"/>
    <x v="1460"/>
    <n v="0"/>
    <x v="4"/>
    <x v="8"/>
    <x v="99"/>
  </r>
  <r>
    <x v="396"/>
    <x v="2"/>
    <d v="2014-12-31T00:00:00"/>
    <x v="1558"/>
    <x v="1519"/>
    <x v="1461"/>
    <n v="0"/>
    <x v="4"/>
    <x v="8"/>
    <x v="99"/>
  </r>
  <r>
    <x v="396"/>
    <x v="3"/>
    <d v="2015-12-31T00:00:00"/>
    <x v="1559"/>
    <x v="1520"/>
    <x v="1462"/>
    <n v="0"/>
    <x v="4"/>
    <x v="8"/>
    <x v="99"/>
  </r>
  <r>
    <x v="397"/>
    <x v="0"/>
    <d v="2013-12-31T00:00:00"/>
    <x v="1560"/>
    <x v="1521"/>
    <x v="1463"/>
    <n v="32210000"/>
    <x v="834"/>
    <x v="7"/>
    <x v="14"/>
  </r>
  <r>
    <x v="397"/>
    <x v="1"/>
    <d v="2014-12-31T00:00:00"/>
    <x v="1561"/>
    <x v="1522"/>
    <x v="1464"/>
    <n v="0"/>
    <x v="835"/>
    <x v="7"/>
    <x v="14"/>
  </r>
  <r>
    <x v="397"/>
    <x v="2"/>
    <d v="2015-12-31T00:00:00"/>
    <x v="1562"/>
    <x v="1523"/>
    <x v="1465"/>
    <n v="0"/>
    <x v="836"/>
    <x v="7"/>
    <x v="14"/>
  </r>
  <r>
    <x v="397"/>
    <x v="3"/>
    <d v="2016-12-31T00:00:00"/>
    <x v="1563"/>
    <x v="1524"/>
    <x v="1466"/>
    <n v="0"/>
    <x v="837"/>
    <x v="7"/>
    <x v="14"/>
  </r>
  <r>
    <x v="398"/>
    <x v="0"/>
    <d v="2012-12-31T00:00:00"/>
    <x v="1564"/>
    <x v="1525"/>
    <x v="1467"/>
    <n v="0"/>
    <x v="838"/>
    <x v="0"/>
    <x v="68"/>
  </r>
  <r>
    <x v="398"/>
    <x v="1"/>
    <d v="2013-12-31T00:00:00"/>
    <x v="1565"/>
    <x v="1526"/>
    <x v="1468"/>
    <n v="0"/>
    <x v="839"/>
    <x v="0"/>
    <x v="68"/>
  </r>
  <r>
    <x v="398"/>
    <x v="2"/>
    <d v="2014-12-31T00:00:00"/>
    <x v="1566"/>
    <x v="1527"/>
    <x v="1469"/>
    <n v="0"/>
    <x v="840"/>
    <x v="0"/>
    <x v="68"/>
  </r>
  <r>
    <x v="398"/>
    <x v="3"/>
    <d v="2015-12-31T00:00:00"/>
    <x v="1567"/>
    <x v="1528"/>
    <x v="1470"/>
    <n v="0"/>
    <x v="841"/>
    <x v="0"/>
    <x v="68"/>
  </r>
  <r>
    <x v="399"/>
    <x v="0"/>
    <d v="2012-12-31T00:00:00"/>
    <x v="1568"/>
    <x v="1529"/>
    <x v="1471"/>
    <n v="61694000"/>
    <x v="4"/>
    <x v="2"/>
    <x v="16"/>
  </r>
  <r>
    <x v="399"/>
    <x v="1"/>
    <d v="2013-12-31T00:00:00"/>
    <x v="1569"/>
    <x v="1530"/>
    <x v="1472"/>
    <n v="70297000"/>
    <x v="4"/>
    <x v="2"/>
    <x v="16"/>
  </r>
  <r>
    <x v="399"/>
    <x v="2"/>
    <d v="2014-12-31T00:00:00"/>
    <x v="1570"/>
    <x v="1531"/>
    <x v="1473"/>
    <n v="67777000"/>
    <x v="4"/>
    <x v="2"/>
    <x v="16"/>
  </r>
  <r>
    <x v="399"/>
    <x v="3"/>
    <d v="2015-12-31T00:00:00"/>
    <x v="1571"/>
    <x v="1532"/>
    <x v="1474"/>
    <n v="63718000"/>
    <x v="4"/>
    <x v="2"/>
    <x v="16"/>
  </r>
  <r>
    <x v="400"/>
    <x v="0"/>
    <d v="2012-12-31T00:00:00"/>
    <x v="1572"/>
    <x v="1533"/>
    <x v="1475"/>
    <n v="765905000"/>
    <x v="4"/>
    <x v="3"/>
    <x v="19"/>
  </r>
  <r>
    <x v="400"/>
    <x v="1"/>
    <d v="2013-12-31T00:00:00"/>
    <x v="1573"/>
    <x v="1534"/>
    <x v="1476"/>
    <n v="882097000"/>
    <x v="4"/>
    <x v="3"/>
    <x v="19"/>
  </r>
  <r>
    <x v="400"/>
    <x v="2"/>
    <d v="2014-12-31T00:00:00"/>
    <x v="1574"/>
    <x v="1535"/>
    <x v="1477"/>
    <n v="855506000"/>
    <x v="4"/>
    <x v="3"/>
    <x v="19"/>
  </r>
  <r>
    <x v="400"/>
    <x v="3"/>
    <d v="2015-12-31T00:00:00"/>
    <x v="1575"/>
    <x v="1536"/>
    <x v="1478"/>
    <n v="995922000"/>
    <x v="4"/>
    <x v="3"/>
    <x v="19"/>
  </r>
  <r>
    <x v="401"/>
    <x v="0"/>
    <d v="2013-12-31T00:00:00"/>
    <x v="1576"/>
    <x v="1537"/>
    <x v="1479"/>
    <n v="0"/>
    <x v="842"/>
    <x v="7"/>
    <x v="14"/>
  </r>
  <r>
    <x v="401"/>
    <x v="1"/>
    <d v="2014-12-31T00:00:00"/>
    <x v="1577"/>
    <x v="1538"/>
    <x v="1480"/>
    <n v="0"/>
    <x v="843"/>
    <x v="7"/>
    <x v="14"/>
  </r>
  <r>
    <x v="401"/>
    <x v="2"/>
    <d v="2015-12-31T00:00:00"/>
    <x v="1578"/>
    <x v="1539"/>
    <x v="1481"/>
    <n v="0"/>
    <x v="844"/>
    <x v="7"/>
    <x v="14"/>
  </r>
  <r>
    <x v="401"/>
    <x v="3"/>
    <d v="2016-12-31T00:00:00"/>
    <x v="1579"/>
    <x v="1540"/>
    <x v="1482"/>
    <n v="0"/>
    <x v="845"/>
    <x v="7"/>
    <x v="14"/>
  </r>
  <r>
    <x v="402"/>
    <x v="0"/>
    <d v="2012-12-31T00:00:00"/>
    <x v="1580"/>
    <x v="1541"/>
    <x v="1483"/>
    <n v="0"/>
    <x v="846"/>
    <x v="10"/>
    <x v="61"/>
  </r>
  <r>
    <x v="402"/>
    <x v="1"/>
    <d v="2013-12-31T00:00:00"/>
    <x v="1581"/>
    <x v="1542"/>
    <x v="1484"/>
    <n v="0"/>
    <x v="847"/>
    <x v="10"/>
    <x v="61"/>
  </r>
  <r>
    <x v="402"/>
    <x v="2"/>
    <d v="2014-12-31T00:00:00"/>
    <x v="1582"/>
    <x v="1543"/>
    <x v="1485"/>
    <n v="0"/>
    <x v="848"/>
    <x v="10"/>
    <x v="61"/>
  </r>
  <r>
    <x v="402"/>
    <x v="3"/>
    <d v="2015-12-31T00:00:00"/>
    <x v="1583"/>
    <x v="1544"/>
    <x v="1486"/>
    <n v="0"/>
    <x v="849"/>
    <x v="10"/>
    <x v="61"/>
  </r>
  <r>
    <x v="403"/>
    <x v="0"/>
    <d v="2012-12-31T00:00:00"/>
    <x v="1584"/>
    <x v="1545"/>
    <x v="1487"/>
    <n v="96004000"/>
    <x v="850"/>
    <x v="3"/>
    <x v="4"/>
  </r>
  <r>
    <x v="403"/>
    <x v="1"/>
    <d v="2013-12-31T00:00:00"/>
    <x v="1585"/>
    <x v="1546"/>
    <x v="1488"/>
    <n v="100536000"/>
    <x v="851"/>
    <x v="3"/>
    <x v="4"/>
  </r>
  <r>
    <x v="403"/>
    <x v="2"/>
    <d v="2014-12-31T00:00:00"/>
    <x v="1586"/>
    <x v="1547"/>
    <x v="1489"/>
    <n v="107726000"/>
    <x v="852"/>
    <x v="3"/>
    <x v="4"/>
  </r>
  <r>
    <x v="403"/>
    <x v="3"/>
    <d v="2015-12-31T00:00:00"/>
    <x v="1587"/>
    <x v="1548"/>
    <x v="1490"/>
    <n v="118545000"/>
    <x v="853"/>
    <x v="3"/>
    <x v="4"/>
  </r>
  <r>
    <x v="404"/>
    <x v="0"/>
    <d v="2013-06-28T00:00:00"/>
    <x v="1588"/>
    <x v="1549"/>
    <x v="1491"/>
    <n v="1572000000"/>
    <x v="4"/>
    <x v="2"/>
    <x v="111"/>
  </r>
  <r>
    <x v="404"/>
    <x v="1"/>
    <d v="2014-06-27T00:00:00"/>
    <x v="1589"/>
    <x v="1550"/>
    <x v="1492"/>
    <n v="1661000000"/>
    <x v="4"/>
    <x v="2"/>
    <x v="111"/>
  </r>
  <r>
    <x v="404"/>
    <x v="2"/>
    <d v="2015-07-03T00:00:00"/>
    <x v="1590"/>
    <x v="1551"/>
    <x v="1493"/>
    <n v="1646000000"/>
    <x v="4"/>
    <x v="2"/>
    <x v="111"/>
  </r>
  <r>
    <x v="404"/>
    <x v="3"/>
    <d v="2016-07-01T00:00:00"/>
    <x v="1591"/>
    <x v="1552"/>
    <x v="1494"/>
    <n v="1627000000"/>
    <x v="4"/>
    <x v="2"/>
    <x v="111"/>
  </r>
  <r>
    <x v="405"/>
    <x v="0"/>
    <d v="2012-12-31T00:00:00"/>
    <x v="1592"/>
    <x v="1553"/>
    <x v="1495"/>
    <n v="0"/>
    <x v="854"/>
    <x v="5"/>
    <x v="11"/>
  </r>
  <r>
    <x v="405"/>
    <x v="1"/>
    <d v="2013-12-31T00:00:00"/>
    <x v="1593"/>
    <x v="1554"/>
    <x v="1496"/>
    <n v="0"/>
    <x v="855"/>
    <x v="5"/>
    <x v="11"/>
  </r>
  <r>
    <x v="405"/>
    <x v="2"/>
    <d v="2014-12-31T00:00:00"/>
    <x v="1594"/>
    <x v="1555"/>
    <x v="1497"/>
    <n v="0"/>
    <x v="856"/>
    <x v="5"/>
    <x v="11"/>
  </r>
  <r>
    <x v="405"/>
    <x v="3"/>
    <d v="2015-12-31T00:00:00"/>
    <x v="1595"/>
    <x v="1556"/>
    <x v="1498"/>
    <n v="0"/>
    <x v="857"/>
    <x v="5"/>
    <x v="11"/>
  </r>
  <r>
    <x v="406"/>
    <x v="0"/>
    <d v="2012-12-31T00:00:00"/>
    <x v="1596"/>
    <x v="1557"/>
    <x v="1499"/>
    <n v="0"/>
    <x v="858"/>
    <x v="6"/>
    <x v="35"/>
  </r>
  <r>
    <x v="406"/>
    <x v="1"/>
    <d v="2013-12-31T00:00:00"/>
    <x v="1597"/>
    <x v="1558"/>
    <x v="1500"/>
    <n v="0"/>
    <x v="859"/>
    <x v="6"/>
    <x v="35"/>
  </r>
  <r>
    <x v="406"/>
    <x v="2"/>
    <d v="2014-12-31T00:00:00"/>
    <x v="1598"/>
    <x v="1559"/>
    <x v="1501"/>
    <n v="0"/>
    <x v="860"/>
    <x v="6"/>
    <x v="35"/>
  </r>
  <r>
    <x v="406"/>
    <x v="3"/>
    <d v="2015-12-31T00:00:00"/>
    <x v="1599"/>
    <x v="1560"/>
    <x v="1502"/>
    <n v="0"/>
    <x v="861"/>
    <x v="6"/>
    <x v="35"/>
  </r>
  <r>
    <x v="407"/>
    <x v="0"/>
    <d v="2013-09-29T00:00:00"/>
    <x v="1600"/>
    <x v="1561"/>
    <x v="1503"/>
    <n v="0"/>
    <x v="4"/>
    <x v="4"/>
    <x v="93"/>
  </r>
  <r>
    <x v="407"/>
    <x v="1"/>
    <d v="2014-09-28T00:00:00"/>
    <x v="1601"/>
    <x v="1562"/>
    <x v="1504"/>
    <n v="0"/>
    <x v="4"/>
    <x v="4"/>
    <x v="93"/>
  </r>
  <r>
    <x v="407"/>
    <x v="2"/>
    <d v="2015-09-27T00:00:00"/>
    <x v="1602"/>
    <x v="204"/>
    <x v="1505"/>
    <n v="0"/>
    <x v="4"/>
    <x v="4"/>
    <x v="93"/>
  </r>
  <r>
    <x v="407"/>
    <x v="3"/>
    <d v="2016-09-25T00:00:00"/>
    <x v="1603"/>
    <x v="1563"/>
    <x v="1506"/>
    <n v="0"/>
    <x v="4"/>
    <x v="4"/>
    <x v="93"/>
  </r>
  <r>
    <x v="408"/>
    <x v="0"/>
    <d v="2013-12-31T00:00:00"/>
    <x v="1604"/>
    <x v="1564"/>
    <x v="1507"/>
    <n v="0"/>
    <x v="446"/>
    <x v="1"/>
    <x v="110"/>
  </r>
  <r>
    <x v="408"/>
    <x v="1"/>
    <d v="2014-12-31T00:00:00"/>
    <x v="1605"/>
    <x v="1565"/>
    <x v="1508"/>
    <n v="0"/>
    <x v="379"/>
    <x v="1"/>
    <x v="110"/>
  </r>
  <r>
    <x v="408"/>
    <x v="2"/>
    <d v="2015-12-31T00:00:00"/>
    <x v="1606"/>
    <x v="1566"/>
    <x v="1509"/>
    <n v="0"/>
    <x v="654"/>
    <x v="1"/>
    <x v="110"/>
  </r>
  <r>
    <x v="408"/>
    <x v="3"/>
    <d v="2016-12-31T00:00:00"/>
    <x v="1607"/>
    <x v="1567"/>
    <x v="1510"/>
    <n v="0"/>
    <x v="862"/>
    <x v="1"/>
    <x v="110"/>
  </r>
  <r>
    <x v="409"/>
    <x v="0"/>
    <d v="2013-12-31T00:00:00"/>
    <x v="1608"/>
    <x v="1568"/>
    <x v="1511"/>
    <n v="0"/>
    <x v="863"/>
    <x v="0"/>
    <x v="118"/>
  </r>
  <r>
    <x v="409"/>
    <x v="1"/>
    <d v="2014-12-31T00:00:00"/>
    <x v="1609"/>
    <x v="1569"/>
    <x v="1512"/>
    <n v="0"/>
    <x v="238"/>
    <x v="0"/>
    <x v="118"/>
  </r>
  <r>
    <x v="409"/>
    <x v="2"/>
    <d v="2015-12-31T00:00:00"/>
    <x v="1610"/>
    <x v="1570"/>
    <x v="1513"/>
    <n v="0"/>
    <x v="864"/>
    <x v="0"/>
    <x v="118"/>
  </r>
  <r>
    <x v="409"/>
    <x v="3"/>
    <d v="2016-12-31T00:00:00"/>
    <x v="1611"/>
    <x v="1571"/>
    <x v="1514"/>
    <n v="0"/>
    <x v="216"/>
    <x v="0"/>
    <x v="118"/>
  </r>
  <r>
    <x v="410"/>
    <x v="0"/>
    <d v="2012-12-31T00:00:00"/>
    <x v="1612"/>
    <x v="1572"/>
    <x v="1515"/>
    <n v="0"/>
    <x v="802"/>
    <x v="9"/>
    <x v="27"/>
  </r>
  <r>
    <x v="410"/>
    <x v="1"/>
    <d v="2013-12-31T00:00:00"/>
    <x v="1613"/>
    <x v="1573"/>
    <x v="1516"/>
    <n v="0"/>
    <x v="865"/>
    <x v="9"/>
    <x v="27"/>
  </r>
  <r>
    <x v="410"/>
    <x v="2"/>
    <d v="2014-12-31T00:00:00"/>
    <x v="1614"/>
    <x v="12"/>
    <x v="1517"/>
    <n v="0"/>
    <x v="866"/>
    <x v="9"/>
    <x v="27"/>
  </r>
  <r>
    <x v="410"/>
    <x v="3"/>
    <d v="2015-12-31T00:00:00"/>
    <x v="1615"/>
    <x v="1574"/>
    <x v="1518"/>
    <n v="0"/>
    <x v="149"/>
    <x v="9"/>
    <x v="27"/>
  </r>
  <r>
    <x v="411"/>
    <x v="0"/>
    <d v="2013-01-31T00:00:00"/>
    <x v="1616"/>
    <x v="1575"/>
    <x v="1519"/>
    <n v="0"/>
    <x v="4"/>
    <x v="4"/>
    <x v="55"/>
  </r>
  <r>
    <x v="411"/>
    <x v="1"/>
    <d v="2014-01-31T00:00:00"/>
    <x v="1617"/>
    <x v="1576"/>
    <x v="1520"/>
    <n v="0"/>
    <x v="4"/>
    <x v="4"/>
    <x v="55"/>
  </r>
  <r>
    <x v="411"/>
    <x v="2"/>
    <d v="2015-01-31T00:00:00"/>
    <x v="1618"/>
    <x v="1577"/>
    <x v="1521"/>
    <n v="0"/>
    <x v="4"/>
    <x v="4"/>
    <x v="55"/>
  </r>
  <r>
    <x v="411"/>
    <x v="3"/>
    <d v="2016-01-31T00:00:00"/>
    <x v="1619"/>
    <x v="1578"/>
    <x v="1522"/>
    <n v="0"/>
    <x v="4"/>
    <x v="4"/>
    <x v="55"/>
  </r>
  <r>
    <x v="412"/>
    <x v="0"/>
    <d v="2014-09-30T00:00:00"/>
    <x v="1620"/>
    <x v="1579"/>
    <x v="1523"/>
    <n v="0"/>
    <x v="867"/>
    <x v="8"/>
    <x v="32"/>
  </r>
  <r>
    <x v="412"/>
    <x v="1"/>
    <d v="2015-09-30T00:00:00"/>
    <x v="1621"/>
    <x v="1580"/>
    <x v="1524"/>
    <n v="0"/>
    <x v="711"/>
    <x v="8"/>
    <x v="32"/>
  </r>
  <r>
    <x v="412"/>
    <x v="2"/>
    <d v="2016-09-30T00:00:00"/>
    <x v="1622"/>
    <x v="1581"/>
    <x v="1525"/>
    <n v="0"/>
    <x v="868"/>
    <x v="8"/>
    <x v="32"/>
  </r>
  <r>
    <x v="413"/>
    <x v="0"/>
    <d v="2012-12-31T00:00:00"/>
    <x v="1623"/>
    <x v="1582"/>
    <x v="1526"/>
    <n v="0"/>
    <x v="4"/>
    <x v="2"/>
    <x v="16"/>
  </r>
  <r>
    <x v="413"/>
    <x v="1"/>
    <d v="2013-12-31T00:00:00"/>
    <x v="1624"/>
    <x v="1583"/>
    <x v="1527"/>
    <n v="0"/>
    <x v="4"/>
    <x v="2"/>
    <x v="16"/>
  </r>
  <r>
    <x v="413"/>
    <x v="2"/>
    <d v="2014-12-31T00:00:00"/>
    <x v="1625"/>
    <x v="1584"/>
    <x v="1528"/>
    <n v="0"/>
    <x v="4"/>
    <x v="2"/>
    <x v="16"/>
  </r>
  <r>
    <x v="413"/>
    <x v="3"/>
    <d v="2015-12-31T00:00:00"/>
    <x v="1626"/>
    <x v="1585"/>
    <x v="1529"/>
    <n v="0"/>
    <x v="4"/>
    <x v="2"/>
    <x v="16"/>
  </r>
  <r>
    <x v="414"/>
    <x v="0"/>
    <d v="2012-12-31T00:00:00"/>
    <x v="1627"/>
    <x v="1586"/>
    <x v="1530"/>
    <n v="32000000"/>
    <x v="4"/>
    <x v="7"/>
    <x v="14"/>
  </r>
  <r>
    <x v="414"/>
    <x v="1"/>
    <d v="2013-12-31T00:00:00"/>
    <x v="1628"/>
    <x v="1587"/>
    <x v="1531"/>
    <n v="33000000"/>
    <x v="4"/>
    <x v="7"/>
    <x v="14"/>
  </r>
  <r>
    <x v="414"/>
    <x v="2"/>
    <d v="2014-12-31T00:00:00"/>
    <x v="1629"/>
    <x v="1588"/>
    <x v="1532"/>
    <n v="27000000"/>
    <x v="4"/>
    <x v="7"/>
    <x v="14"/>
  </r>
  <r>
    <x v="414"/>
    <x v="3"/>
    <d v="2015-12-31T00:00:00"/>
    <x v="1630"/>
    <x v="1589"/>
    <x v="1533"/>
    <n v="24000000"/>
    <x v="4"/>
    <x v="7"/>
    <x v="14"/>
  </r>
  <r>
    <x v="415"/>
    <x v="0"/>
    <d v="2012-12-31T00:00:00"/>
    <x v="1631"/>
    <x v="1590"/>
    <x v="1534"/>
    <n v="0"/>
    <x v="869"/>
    <x v="1"/>
    <x v="43"/>
  </r>
  <r>
    <x v="415"/>
    <x v="1"/>
    <d v="2013-12-31T00:00:00"/>
    <x v="1632"/>
    <x v="1591"/>
    <x v="1535"/>
    <n v="0"/>
    <x v="870"/>
    <x v="1"/>
    <x v="43"/>
  </r>
  <r>
    <x v="415"/>
    <x v="2"/>
    <d v="2014-12-31T00:00:00"/>
    <x v="1633"/>
    <x v="1592"/>
    <x v="1536"/>
    <n v="0"/>
    <x v="80"/>
    <x v="1"/>
    <x v="43"/>
  </r>
  <r>
    <x v="415"/>
    <x v="3"/>
    <d v="2015-12-31T00:00:00"/>
    <x v="1634"/>
    <x v="1593"/>
    <x v="1537"/>
    <n v="0"/>
    <x v="871"/>
    <x v="1"/>
    <x v="43"/>
  </r>
  <r>
    <x v="416"/>
    <x v="0"/>
    <d v="2012-12-31T00:00:00"/>
    <x v="1635"/>
    <x v="1594"/>
    <x v="1538"/>
    <n v="0"/>
    <x v="872"/>
    <x v="1"/>
    <x v="119"/>
  </r>
  <r>
    <x v="416"/>
    <x v="1"/>
    <d v="2013-12-31T00:00:00"/>
    <x v="1636"/>
    <x v="1595"/>
    <x v="1539"/>
    <n v="0"/>
    <x v="873"/>
    <x v="1"/>
    <x v="119"/>
  </r>
  <r>
    <x v="416"/>
    <x v="2"/>
    <d v="2014-12-31T00:00:00"/>
    <x v="1637"/>
    <x v="1596"/>
    <x v="1540"/>
    <n v="0"/>
    <x v="874"/>
    <x v="1"/>
    <x v="119"/>
  </r>
  <r>
    <x v="416"/>
    <x v="3"/>
    <d v="2015-12-31T00:00:00"/>
    <x v="1638"/>
    <x v="1597"/>
    <x v="1541"/>
    <n v="0"/>
    <x v="875"/>
    <x v="1"/>
    <x v="119"/>
  </r>
  <r>
    <x v="417"/>
    <x v="0"/>
    <d v="2012-12-31T00:00:00"/>
    <x v="1639"/>
    <x v="1598"/>
    <x v="1542"/>
    <n v="0"/>
    <x v="876"/>
    <x v="9"/>
    <x v="27"/>
  </r>
  <r>
    <x v="417"/>
    <x v="1"/>
    <d v="2013-12-31T00:00:00"/>
    <x v="1640"/>
    <x v="1599"/>
    <x v="1543"/>
    <n v="0"/>
    <x v="877"/>
    <x v="9"/>
    <x v="27"/>
  </r>
  <r>
    <x v="417"/>
    <x v="2"/>
    <d v="2014-12-31T00:00:00"/>
    <x v="1641"/>
    <x v="1600"/>
    <x v="1544"/>
    <n v="0"/>
    <x v="878"/>
    <x v="9"/>
    <x v="27"/>
  </r>
  <r>
    <x v="417"/>
    <x v="3"/>
    <d v="2015-12-31T00:00:00"/>
    <x v="1642"/>
    <x v="1601"/>
    <x v="1545"/>
    <n v="0"/>
    <x v="879"/>
    <x v="9"/>
    <x v="27"/>
  </r>
  <r>
    <x v="418"/>
    <x v="0"/>
    <d v="2012-12-31T00:00:00"/>
    <x v="1643"/>
    <x v="1602"/>
    <x v="1546"/>
    <n v="0"/>
    <x v="880"/>
    <x v="5"/>
    <x v="10"/>
  </r>
  <r>
    <x v="418"/>
    <x v="1"/>
    <d v="2013-12-31T00:00:00"/>
    <x v="1644"/>
    <x v="1603"/>
    <x v="1547"/>
    <n v="0"/>
    <x v="881"/>
    <x v="5"/>
    <x v="10"/>
  </r>
  <r>
    <x v="418"/>
    <x v="2"/>
    <d v="2014-12-31T00:00:00"/>
    <x v="1645"/>
    <x v="1604"/>
    <x v="1548"/>
    <n v="0"/>
    <x v="882"/>
    <x v="5"/>
    <x v="10"/>
  </r>
  <r>
    <x v="418"/>
    <x v="3"/>
    <d v="2015-12-31T00:00:00"/>
    <x v="1646"/>
    <x v="1605"/>
    <x v="1549"/>
    <n v="0"/>
    <x v="883"/>
    <x v="5"/>
    <x v="10"/>
  </r>
  <r>
    <x v="419"/>
    <x v="0"/>
    <d v="2012-12-31T00:00:00"/>
    <x v="1647"/>
    <x v="1606"/>
    <x v="52"/>
    <n v="0"/>
    <x v="884"/>
    <x v="6"/>
    <x v="13"/>
  </r>
  <r>
    <x v="419"/>
    <x v="1"/>
    <d v="2013-12-31T00:00:00"/>
    <x v="1648"/>
    <x v="1607"/>
    <x v="52"/>
    <n v="0"/>
    <x v="885"/>
    <x v="6"/>
    <x v="13"/>
  </r>
  <r>
    <x v="419"/>
    <x v="2"/>
    <d v="2014-12-31T00:00:00"/>
    <x v="1649"/>
    <x v="1608"/>
    <x v="52"/>
    <n v="0"/>
    <x v="886"/>
    <x v="6"/>
    <x v="13"/>
  </r>
  <r>
    <x v="419"/>
    <x v="3"/>
    <d v="2015-12-31T00:00:00"/>
    <x v="1650"/>
    <x v="1609"/>
    <x v="52"/>
    <n v="0"/>
    <x v="887"/>
    <x v="6"/>
    <x v="13"/>
  </r>
  <r>
    <x v="420"/>
    <x v="0"/>
    <d v="2013-03-30T00:00:00"/>
    <x v="1651"/>
    <x v="1610"/>
    <x v="1550"/>
    <n v="475522000"/>
    <x v="888"/>
    <x v="2"/>
    <x v="7"/>
  </r>
  <r>
    <x v="420"/>
    <x v="1"/>
    <d v="2014-03-29T00:00:00"/>
    <x v="1652"/>
    <x v="1611"/>
    <x v="1551"/>
    <n v="492447000"/>
    <x v="889"/>
    <x v="2"/>
    <x v="7"/>
  </r>
  <r>
    <x v="420"/>
    <x v="2"/>
    <d v="2015-03-28T00:00:00"/>
    <x v="1653"/>
    <x v="1612"/>
    <x v="1552"/>
    <n v="525745000"/>
    <x v="890"/>
    <x v="2"/>
    <x v="7"/>
  </r>
  <r>
    <x v="420"/>
    <x v="3"/>
    <d v="2016-04-02T00:00:00"/>
    <x v="1654"/>
    <x v="1613"/>
    <x v="1553"/>
    <n v="533891000"/>
    <x v="891"/>
    <x v="2"/>
    <x v="7"/>
  </r>
  <r>
    <x v="421"/>
    <x v="0"/>
    <d v="2012-12-31T00:00:00"/>
    <x v="1655"/>
    <x v="1614"/>
    <x v="1554"/>
    <n v="0"/>
    <x v="892"/>
    <x v="9"/>
    <x v="48"/>
  </r>
  <r>
    <x v="421"/>
    <x v="1"/>
    <d v="2013-12-31T00:00:00"/>
    <x v="1656"/>
    <x v="1615"/>
    <x v="1555"/>
    <n v="0"/>
    <x v="893"/>
    <x v="9"/>
    <x v="48"/>
  </r>
  <r>
    <x v="421"/>
    <x v="2"/>
    <d v="2014-12-31T00:00:00"/>
    <x v="1657"/>
    <x v="1616"/>
    <x v="1556"/>
    <n v="0"/>
    <x v="894"/>
    <x v="9"/>
    <x v="48"/>
  </r>
  <r>
    <x v="421"/>
    <x v="3"/>
    <d v="2015-12-31T00:00:00"/>
    <x v="1658"/>
    <x v="1617"/>
    <x v="1557"/>
    <n v="0"/>
    <x v="895"/>
    <x v="9"/>
    <x v="48"/>
  </r>
  <r>
    <x v="422"/>
    <x v="0"/>
    <d v="2012-12-31T00:00:00"/>
    <x v="1659"/>
    <x v="1618"/>
    <x v="1558"/>
    <n v="0"/>
    <x v="4"/>
    <x v="3"/>
    <x v="54"/>
  </r>
  <r>
    <x v="422"/>
    <x v="1"/>
    <d v="2013-12-31T00:00:00"/>
    <x v="1660"/>
    <x v="1619"/>
    <x v="1559"/>
    <n v="0"/>
    <x v="4"/>
    <x v="3"/>
    <x v="54"/>
  </r>
  <r>
    <x v="422"/>
    <x v="2"/>
    <d v="2014-12-31T00:00:00"/>
    <x v="1661"/>
    <x v="1620"/>
    <x v="1560"/>
    <n v="0"/>
    <x v="4"/>
    <x v="3"/>
    <x v="54"/>
  </r>
  <r>
    <x v="422"/>
    <x v="3"/>
    <d v="2015-12-31T00:00:00"/>
    <x v="1662"/>
    <x v="1621"/>
    <x v="1561"/>
    <n v="0"/>
    <x v="4"/>
    <x v="3"/>
    <x v="54"/>
  </r>
  <r>
    <x v="423"/>
    <x v="0"/>
    <d v="2012-12-31T00:00:00"/>
    <x v="1663"/>
    <x v="1622"/>
    <x v="1562"/>
    <n v="655000000"/>
    <x v="896"/>
    <x v="2"/>
    <x v="58"/>
  </r>
  <r>
    <x v="423"/>
    <x v="1"/>
    <d v="2013-12-31T00:00:00"/>
    <x v="1664"/>
    <x v="1623"/>
    <x v="1563"/>
    <n v="603000000"/>
    <x v="493"/>
    <x v="2"/>
    <x v="58"/>
  </r>
  <r>
    <x v="423"/>
    <x v="2"/>
    <d v="2014-12-31T00:00:00"/>
    <x v="687"/>
    <x v="1624"/>
    <x v="555"/>
    <n v="577000000"/>
    <x v="897"/>
    <x v="2"/>
    <x v="58"/>
  </r>
  <r>
    <x v="423"/>
    <x v="3"/>
    <d v="2015-12-31T00:00:00"/>
    <x v="1665"/>
    <x v="1625"/>
    <x v="1564"/>
    <n v="563000000"/>
    <x v="898"/>
    <x v="2"/>
    <x v="58"/>
  </r>
  <r>
    <x v="424"/>
    <x v="0"/>
    <d v="2012-12-31T00:00:00"/>
    <x v="1666"/>
    <x v="1626"/>
    <x v="1565"/>
    <n v="106000000"/>
    <x v="4"/>
    <x v="0"/>
    <x v="53"/>
  </r>
  <r>
    <x v="424"/>
    <x v="1"/>
    <d v="2013-12-31T00:00:00"/>
    <x v="1667"/>
    <x v="1627"/>
    <x v="83"/>
    <n v="104000000"/>
    <x v="4"/>
    <x v="0"/>
    <x v="53"/>
  </r>
  <r>
    <x v="424"/>
    <x v="2"/>
    <d v="2014-12-31T00:00:00"/>
    <x v="1668"/>
    <x v="1628"/>
    <x v="1566"/>
    <n v="104000000"/>
    <x v="4"/>
    <x v="0"/>
    <x v="53"/>
  </r>
  <r>
    <x v="424"/>
    <x v="3"/>
    <d v="2015-12-31T00:00:00"/>
    <x v="1669"/>
    <x v="1629"/>
    <x v="1567"/>
    <n v="95000000"/>
    <x v="4"/>
    <x v="0"/>
    <x v="53"/>
  </r>
  <r>
    <x v="425"/>
    <x v="0"/>
    <d v="2012-12-31T00:00:00"/>
    <x v="1670"/>
    <x v="1630"/>
    <x v="1568"/>
    <n v="885824000"/>
    <x v="899"/>
    <x v="2"/>
    <x v="16"/>
  </r>
  <r>
    <x v="425"/>
    <x v="1"/>
    <d v="2013-12-31T00:00:00"/>
    <x v="1671"/>
    <x v="1631"/>
    <x v="1569"/>
    <n v="957587000"/>
    <x v="900"/>
    <x v="2"/>
    <x v="16"/>
  </r>
  <r>
    <x v="425"/>
    <x v="2"/>
    <d v="2014-12-31T00:00:00"/>
    <x v="1672"/>
    <x v="1632"/>
    <x v="1570"/>
    <n v="1156386000"/>
    <x v="901"/>
    <x v="2"/>
    <x v="16"/>
  </r>
  <r>
    <x v="425"/>
    <x v="3"/>
    <d v="2015-12-31T00:00:00"/>
    <x v="1673"/>
    <x v="1633"/>
    <x v="1571"/>
    <n v="1177923000"/>
    <x v="902"/>
    <x v="2"/>
    <x v="16"/>
  </r>
  <r>
    <x v="426"/>
    <x v="0"/>
    <d v="2012-12-29T00:00:00"/>
    <x v="1674"/>
    <x v="1634"/>
    <x v="1572"/>
    <n v="0"/>
    <x v="4"/>
    <x v="1"/>
    <x v="51"/>
  </r>
  <r>
    <x v="426"/>
    <x v="1"/>
    <d v="2013-12-28T00:00:00"/>
    <x v="1675"/>
    <x v="1635"/>
    <x v="1573"/>
    <n v="0"/>
    <x v="4"/>
    <x v="1"/>
    <x v="51"/>
  </r>
  <r>
    <x v="426"/>
    <x v="2"/>
    <d v="2014-12-27T00:00:00"/>
    <x v="1676"/>
    <x v="1636"/>
    <x v="1574"/>
    <n v="0"/>
    <x v="4"/>
    <x v="1"/>
    <x v="51"/>
  </r>
  <r>
    <x v="426"/>
    <x v="3"/>
    <d v="2015-12-26T00:00:00"/>
    <x v="1677"/>
    <x v="1637"/>
    <x v="1575"/>
    <n v="0"/>
    <x v="4"/>
    <x v="1"/>
    <x v="51"/>
  </r>
  <r>
    <x v="427"/>
    <x v="0"/>
    <d v="2012-12-31T00:00:00"/>
    <x v="1678"/>
    <x v="1638"/>
    <x v="1576"/>
    <n v="225600000"/>
    <x v="4"/>
    <x v="3"/>
    <x v="5"/>
  </r>
  <r>
    <x v="427"/>
    <x v="1"/>
    <d v="2013-12-31T00:00:00"/>
    <x v="1679"/>
    <x v="1639"/>
    <x v="1577"/>
    <n v="203000000"/>
    <x v="903"/>
    <x v="3"/>
    <x v="5"/>
  </r>
  <r>
    <x v="427"/>
    <x v="2"/>
    <d v="2014-12-31T00:00:00"/>
    <x v="1680"/>
    <x v="1640"/>
    <x v="1578"/>
    <n v="187400000"/>
    <x v="904"/>
    <x v="3"/>
    <x v="5"/>
  </r>
  <r>
    <x v="427"/>
    <x v="3"/>
    <d v="2015-12-31T00:00:00"/>
    <x v="1681"/>
    <x v="1641"/>
    <x v="1579"/>
    <n v="268800000"/>
    <x v="905"/>
    <x v="3"/>
    <x v="5"/>
  </r>
  <r>
    <x v="428"/>
    <x v="0"/>
    <d v="2012-12-31T00:00:00"/>
    <x v="1682"/>
    <x v="1642"/>
    <x v="1580"/>
    <n v="0"/>
    <x v="906"/>
    <x v="6"/>
    <x v="46"/>
  </r>
  <r>
    <x v="428"/>
    <x v="1"/>
    <d v="2013-12-31T00:00:00"/>
    <x v="1683"/>
    <x v="1643"/>
    <x v="1581"/>
    <n v="0"/>
    <x v="907"/>
    <x v="6"/>
    <x v="46"/>
  </r>
  <r>
    <x v="428"/>
    <x v="2"/>
    <d v="2014-12-31T00:00:00"/>
    <x v="1684"/>
    <x v="1644"/>
    <x v="1582"/>
    <n v="0"/>
    <x v="908"/>
    <x v="6"/>
    <x v="46"/>
  </r>
  <r>
    <x v="428"/>
    <x v="3"/>
    <d v="2015-12-31T00:00:00"/>
    <x v="1685"/>
    <x v="1645"/>
    <x v="1583"/>
    <n v="0"/>
    <x v="909"/>
    <x v="6"/>
    <x v="46"/>
  </r>
  <r>
    <x v="429"/>
    <x v="0"/>
    <d v="2013-12-31T00:00:00"/>
    <x v="1686"/>
    <x v="1646"/>
    <x v="1103"/>
    <n v="399000000"/>
    <x v="910"/>
    <x v="3"/>
    <x v="3"/>
  </r>
  <r>
    <x v="429"/>
    <x v="1"/>
    <d v="2014-12-31T00:00:00"/>
    <x v="1687"/>
    <x v="1647"/>
    <x v="1584"/>
    <n v="396000000"/>
    <x v="910"/>
    <x v="3"/>
    <x v="3"/>
  </r>
  <r>
    <x v="429"/>
    <x v="2"/>
    <d v="2015-12-31T00:00:00"/>
    <x v="1688"/>
    <x v="1648"/>
    <x v="1585"/>
    <n v="364000000"/>
    <x v="329"/>
    <x v="3"/>
    <x v="3"/>
  </r>
  <r>
    <x v="429"/>
    <x v="3"/>
    <d v="2016-12-31T00:00:00"/>
    <x v="1689"/>
    <x v="1649"/>
    <x v="1586"/>
    <n v="376000000"/>
    <x v="911"/>
    <x v="3"/>
    <x v="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10">
  <r>
    <x v="0"/>
    <s v="Year 1"/>
    <d v="2012-12-31T00:00:00"/>
    <n v="24855000000"/>
    <n v="10499000000"/>
    <n v="12977000000"/>
    <n v="0"/>
    <n v="845000000"/>
    <x v="0"/>
    <s v="Airlines"/>
    <n v="14356000000"/>
    <n v="13822000000"/>
    <n v="534000000"/>
  </r>
  <r>
    <x v="0"/>
    <s v="Year 2"/>
    <d v="2013-12-31T00:00:00"/>
    <n v="26743000000"/>
    <n v="11019000000"/>
    <n v="12913000000"/>
    <n v="0"/>
    <n v="853000000"/>
    <x v="0"/>
    <s v="Airlines"/>
    <n v="15724000000"/>
    <n v="13766000000"/>
    <n v="1958000000"/>
  </r>
  <r>
    <x v="0"/>
    <s v="Year 3"/>
    <d v="2014-12-31T00:00:00"/>
    <n v="42650000000"/>
    <n v="15620000000"/>
    <n v="20686000000"/>
    <n v="0"/>
    <n v="1295000000"/>
    <x v="0"/>
    <s v="Airlines"/>
    <n v="27030000000"/>
    <n v="21981000000"/>
    <n v="5049000000"/>
  </r>
  <r>
    <x v="0"/>
    <s v="Year 4"/>
    <d v="2015-12-31T00:00:00"/>
    <n v="40990000000"/>
    <n v="11096000000"/>
    <n v="21275000000"/>
    <n v="0"/>
    <n v="1364000000"/>
    <x v="0"/>
    <s v="Airlines"/>
    <n v="29894000000"/>
    <n v="22639000000"/>
    <n v="7255000000"/>
  </r>
  <r>
    <x v="1"/>
    <s v="Year 1"/>
    <d v="2012-12-29T00:00:00"/>
    <n v="6205003000"/>
    <n v="3106967000"/>
    <n v="2440721000"/>
    <n v="0"/>
    <n v="0"/>
    <x v="1"/>
    <s v="Automotive Retail"/>
    <n v="3098036000"/>
    <n v="2440721000"/>
    <n v="657315000"/>
  </r>
  <r>
    <x v="1"/>
    <s v="Year 2"/>
    <d v="2013-12-28T00:00:00"/>
    <n v="6493814000"/>
    <n v="3241668000"/>
    <n v="2591828000"/>
    <n v="0"/>
    <n v="0"/>
    <x v="1"/>
    <s v="Automotive Retail"/>
    <n v="3252146000"/>
    <n v="2591828000"/>
    <n v="660318000"/>
  </r>
  <r>
    <x v="1"/>
    <s v="Year 3"/>
    <d v="2015-01-03T00:00:00"/>
    <n v="9843861000"/>
    <n v="5390248000"/>
    <n v="3601903000"/>
    <n v="0"/>
    <n v="0"/>
    <x v="1"/>
    <s v="Automotive Retail"/>
    <n v="4453613000"/>
    <n v="3601903000"/>
    <n v="851710000"/>
  </r>
  <r>
    <x v="1"/>
    <s v="Year 4"/>
    <d v="2016-01-02T00:00:00"/>
    <n v="9737018000"/>
    <n v="5314246000"/>
    <n v="3596992000"/>
    <n v="0"/>
    <n v="0"/>
    <x v="1"/>
    <s v="Automotive Retail"/>
    <n v="4422772000"/>
    <n v="3596992000"/>
    <n v="825780000"/>
  </r>
  <r>
    <x v="2"/>
    <s v="Year 1"/>
    <d v="2013-09-28T00:00:00"/>
    <n v="170910000000"/>
    <n v="106606000000"/>
    <n v="10830000000"/>
    <n v="4475000000"/>
    <n v="0"/>
    <x v="2"/>
    <s v="Computer Hardware"/>
    <n v="64304000000"/>
    <n v="15305000000"/>
    <n v="48999000000"/>
  </r>
  <r>
    <x v="2"/>
    <s v="Year 2"/>
    <d v="2014-09-27T00:00:00"/>
    <n v="182795000000"/>
    <n v="112258000000"/>
    <n v="11993000000"/>
    <n v="6041000000"/>
    <n v="0"/>
    <x v="2"/>
    <s v="Computer Hardware"/>
    <n v="70537000000"/>
    <n v="18034000000"/>
    <n v="52503000000"/>
  </r>
  <r>
    <x v="2"/>
    <s v="Year 3"/>
    <d v="2015-09-26T00:00:00"/>
    <n v="233715000000"/>
    <n v="140089000000"/>
    <n v="14329000000"/>
    <n v="8067000000"/>
    <n v="0"/>
    <x v="2"/>
    <s v="Computer Hardware"/>
    <n v="93626000000"/>
    <n v="22396000000"/>
    <n v="71230000000"/>
  </r>
  <r>
    <x v="2"/>
    <s v="Year 4"/>
    <d v="2016-09-24T00:00:00"/>
    <n v="215639000000"/>
    <n v="131376000000"/>
    <n v="14194000000"/>
    <n v="10045000000"/>
    <n v="0"/>
    <x v="2"/>
    <s v="Computer Hardware"/>
    <n v="84263000000"/>
    <n v="24239000000"/>
    <n v="60024000000"/>
  </r>
  <r>
    <x v="3"/>
    <s v="Year 1"/>
    <d v="2012-12-31T00:00:00"/>
    <n v="18380000000"/>
    <n v="4508000000"/>
    <n v="4989000000"/>
    <n v="2778000000"/>
    <n v="0"/>
    <x v="3"/>
    <s v="Pharmaceuticals"/>
    <n v="13872000000"/>
    <n v="7767000000"/>
    <n v="6105000000"/>
  </r>
  <r>
    <x v="3"/>
    <s v="Year 2"/>
    <d v="2013-12-31T00:00:00"/>
    <n v="18790000000"/>
    <n v="4581000000"/>
    <n v="5352000000"/>
    <n v="2855000000"/>
    <n v="0"/>
    <x v="3"/>
    <s v="Pharmaceuticals"/>
    <n v="14209000000"/>
    <n v="8207000000"/>
    <n v="6002000000"/>
  </r>
  <r>
    <x v="3"/>
    <s v="Year 3"/>
    <d v="2014-12-31T00:00:00"/>
    <n v="19960000000"/>
    <n v="4426000000"/>
    <n v="8474000000"/>
    <n v="3297000000"/>
    <n v="0"/>
    <x v="3"/>
    <s v="Pharmaceuticals"/>
    <n v="15534000000"/>
    <n v="11771000000"/>
    <n v="3763000000"/>
  </r>
  <r>
    <x v="3"/>
    <s v="Year 4"/>
    <d v="2015-12-31T00:00:00"/>
    <n v="22859000000"/>
    <n v="4500000000"/>
    <n v="6387000000"/>
    <n v="4285000000"/>
    <n v="0"/>
    <x v="3"/>
    <s v="Pharmaceuticals"/>
    <n v="18359000000"/>
    <n v="10672000000"/>
    <n v="7687000000"/>
  </r>
  <r>
    <x v="4"/>
    <s v="Year 1"/>
    <d v="2013-09-30T00:00:00"/>
    <n v="87959167000"/>
    <n v="85451348000"/>
    <n v="1447234000"/>
    <n v="0"/>
    <n v="162186000"/>
    <x v="3"/>
    <s v="Health Care Distributors"/>
    <n v="2507819000"/>
    <n v="1609420000"/>
    <n v="898399000"/>
  </r>
  <r>
    <x v="4"/>
    <s v="Year 2"/>
    <d v="2014-09-30T00:00:00"/>
    <n v="119569127000"/>
    <n v="116586761000"/>
    <n v="2011595000"/>
    <n v="0"/>
    <n v="188680000"/>
    <x v="3"/>
    <s v="Health Care Distributors"/>
    <n v="2982366000"/>
    <n v="2200275000"/>
    <n v="782091000"/>
  </r>
  <r>
    <x v="4"/>
    <s v="Year 3"/>
    <d v="2015-09-30T00:00:00"/>
    <n v="135961803000"/>
    <n v="132432490000"/>
    <n v="2858458000"/>
    <n v="0"/>
    <n v="248635000"/>
    <x v="3"/>
    <s v="Health Care Distributors"/>
    <n v="3529313000"/>
    <n v="3107093000"/>
    <n v="422220000"/>
  </r>
  <r>
    <x v="4"/>
    <s v="Year 4"/>
    <d v="2016-09-30T00:00:00"/>
    <n v="146849686000"/>
    <n v="142577080000"/>
    <n v="2382097000"/>
    <n v="0"/>
    <n v="364735000"/>
    <x v="3"/>
    <s v="Health Care Distributors"/>
    <n v="4272606000"/>
    <n v="2746832000"/>
    <n v="1525774000"/>
  </r>
  <r>
    <x v="5"/>
    <s v="Year 1"/>
    <d v="2012-12-31T00:00:00"/>
    <n v="19050000000"/>
    <n v="8899000000"/>
    <n v="6735000000"/>
    <n v="1461000000"/>
    <n v="595000000"/>
    <x v="3"/>
    <s v="Health Care Equipment"/>
    <n v="10151000000"/>
    <n v="8791000000"/>
    <n v="1360000000"/>
  </r>
  <r>
    <x v="5"/>
    <s v="Year 2"/>
    <d v="2013-12-31T00:00:00"/>
    <n v="19657000000"/>
    <n v="9193000000"/>
    <n v="6372000000"/>
    <n v="1371000000"/>
    <n v="588000000"/>
    <x v="3"/>
    <s v="Health Care Equipment"/>
    <n v="10464000000"/>
    <n v="8331000000"/>
    <n v="2133000000"/>
  </r>
  <r>
    <x v="5"/>
    <s v="Year 3"/>
    <d v="2014-12-31T00:00:00"/>
    <n v="20247000000"/>
    <n v="9218000000"/>
    <n v="6530000000"/>
    <n v="1345000000"/>
    <n v="555000000"/>
    <x v="3"/>
    <s v="Health Care Equipment"/>
    <n v="11029000000"/>
    <n v="8430000000"/>
    <n v="2599000000"/>
  </r>
  <r>
    <x v="5"/>
    <s v="Year 4"/>
    <d v="2015-12-31T00:00:00"/>
    <n v="20405000000"/>
    <n v="8747000000"/>
    <n v="6785000000"/>
    <n v="1405000000"/>
    <n v="601000000"/>
    <x v="3"/>
    <s v="Health Care Equipment"/>
    <n v="11658000000"/>
    <n v="8791000000"/>
    <n v="2867000000"/>
  </r>
  <r>
    <x v="6"/>
    <s v="Year 1"/>
    <d v="2013-11-29T00:00:00"/>
    <n v="4055240000"/>
    <n v="586557000"/>
    <n v="2140578000"/>
    <n v="826631000"/>
    <n v="52254000"/>
    <x v="2"/>
    <s v="Application Software"/>
    <n v="3468683000"/>
    <n v="3019463000"/>
    <n v="449220000"/>
  </r>
  <r>
    <x v="6"/>
    <s v="Year 2"/>
    <d v="2014-11-28T00:00:00"/>
    <n v="4147065000"/>
    <n v="622080000"/>
    <n v="2195640000"/>
    <n v="844353000"/>
    <n v="52424000"/>
    <x v="2"/>
    <s v="Application Software"/>
    <n v="3524985000"/>
    <n v="3092417000"/>
    <n v="432568000"/>
  </r>
  <r>
    <x v="6"/>
    <s v="Year 3"/>
    <d v="2015-11-27T00:00:00"/>
    <n v="4795511000"/>
    <n v="744317000"/>
    <n v="2215161000"/>
    <n v="862730000"/>
    <n v="68649000"/>
    <x v="2"/>
    <s v="Application Software"/>
    <n v="4051194000"/>
    <n v="3146540000"/>
    <n v="904654000"/>
  </r>
  <r>
    <x v="6"/>
    <s v="Year 4"/>
    <d v="2016-12-02T00:00:00"/>
    <n v="5854430000"/>
    <n v="819908000"/>
    <n v="2487907000"/>
    <n v="975987000"/>
    <n v="78534000"/>
    <x v="2"/>
    <s v="Application Software"/>
    <n v="5034522000"/>
    <n v="3542428000"/>
    <n v="1492094000"/>
  </r>
  <r>
    <x v="7"/>
    <s v="Year 1"/>
    <d v="2013-11-02T00:00:00"/>
    <n v="2633689000"/>
    <n v="941278000"/>
    <n v="396233000"/>
    <n v="513035000"/>
    <n v="220000"/>
    <x v="2"/>
    <s v="Semiconductors"/>
    <n v="1692411000"/>
    <n v="909488000"/>
    <n v="782923000"/>
  </r>
  <r>
    <x v="7"/>
    <s v="Year 2"/>
    <d v="2014-11-01T00:00:00"/>
    <n v="2864773000"/>
    <n v="1034585000"/>
    <n v="454676000"/>
    <n v="559686000"/>
    <n v="26020000"/>
    <x v="2"/>
    <s v="Semiconductors"/>
    <n v="1830188000"/>
    <n v="1040382000"/>
    <n v="789806000"/>
  </r>
  <r>
    <x v="7"/>
    <s v="Year 3"/>
    <d v="2015-10-31T00:00:00"/>
    <n v="3435092000"/>
    <n v="1175830000"/>
    <n v="702644000"/>
    <n v="637459000"/>
    <n v="88318000"/>
    <x v="2"/>
    <s v="Semiconductors"/>
    <n v="2259262000"/>
    <n v="1428421000"/>
    <n v="830841000"/>
  </r>
  <r>
    <x v="7"/>
    <s v="Year 4"/>
    <d v="2016-10-29T00:00:00"/>
    <n v="3421409000"/>
    <n v="1194236000"/>
    <n v="461438000"/>
    <n v="653816000"/>
    <n v="70123000"/>
    <x v="2"/>
    <s v="Semiconductors"/>
    <n v="2227173000"/>
    <n v="1185377000"/>
    <n v="1041796000"/>
  </r>
  <r>
    <x v="8"/>
    <s v="Year 1"/>
    <d v="2012-12-31T00:00:00"/>
    <n v="90559000000"/>
    <n v="86936000000"/>
    <n v="1665000000"/>
    <n v="0"/>
    <n v="0"/>
    <x v="4"/>
    <s v="Agricultural Products"/>
    <n v="3623000000"/>
    <n v="1665000000"/>
    <n v="1958000000"/>
  </r>
  <r>
    <x v="8"/>
    <s v="Year 2"/>
    <d v="2013-12-31T00:00:00"/>
    <n v="89804000000"/>
    <n v="85915000000"/>
    <n v="1759000000"/>
    <n v="0"/>
    <n v="0"/>
    <x v="4"/>
    <s v="Agricultural Products"/>
    <n v="3889000000"/>
    <n v="1759000000"/>
    <n v="2130000000"/>
  </r>
  <r>
    <x v="8"/>
    <s v="Year 3"/>
    <d v="2014-12-31T00:00:00"/>
    <n v="81201000000"/>
    <n v="76433000000"/>
    <n v="1907000000"/>
    <n v="0"/>
    <n v="0"/>
    <x v="4"/>
    <s v="Agricultural Products"/>
    <n v="4768000000"/>
    <n v="1907000000"/>
    <n v="2861000000"/>
  </r>
  <r>
    <x v="8"/>
    <s v="Year 4"/>
    <d v="2015-12-31T00:00:00"/>
    <n v="67702000000"/>
    <n v="63682000000"/>
    <n v="2010000000"/>
    <n v="0"/>
    <n v="0"/>
    <x v="4"/>
    <s v="Agricultural Products"/>
    <n v="4020000000"/>
    <n v="2010000000"/>
    <n v="2010000000"/>
  </r>
  <r>
    <x v="9"/>
    <s v="Year 1"/>
    <d v="2012-12-31T00:00:00"/>
    <n v="3641390000"/>
    <n v="2392091000"/>
    <n v="108059000"/>
    <n v="0"/>
    <n v="166876000"/>
    <x v="2"/>
    <s v="Data Processing &amp; Outsourced Services"/>
    <n v="1249299000"/>
    <n v="274935000"/>
    <n v="974364000"/>
  </r>
  <r>
    <x v="9"/>
    <s v="Year 2"/>
    <d v="2013-12-31T00:00:00"/>
    <n v="4319063000"/>
    <n v="2894917000"/>
    <n v="109115000"/>
    <n v="0"/>
    <n v="216119000"/>
    <x v="2"/>
    <s v="Data Processing &amp; Outsourced Services"/>
    <n v="1424146000"/>
    <n v="325234000"/>
    <n v="1098912000"/>
  </r>
  <r>
    <x v="9"/>
    <s v="Year 3"/>
    <d v="2014-12-31T00:00:00"/>
    <n v="5302940000"/>
    <n v="3643979000"/>
    <n v="247412000"/>
    <n v="0"/>
    <n v="313082000"/>
    <x v="2"/>
    <s v="Data Processing &amp; Outsourced Services"/>
    <n v="1658961000"/>
    <n v="560494000"/>
    <n v="1098467000"/>
  </r>
  <r>
    <x v="9"/>
    <s v="Year 4"/>
    <d v="2015-12-31T00:00:00"/>
    <n v="6439746000"/>
    <n v="4482700000"/>
    <n v="203046000"/>
    <n v="0"/>
    <n v="492140000"/>
    <x v="2"/>
    <s v="Data Processing &amp; Outsourced Services"/>
    <n v="1957046000"/>
    <n v="695186000"/>
    <n v="1261860000"/>
  </r>
  <r>
    <x v="10"/>
    <s v="Year 1"/>
    <d v="2013-01-31T00:00:00"/>
    <n v="2312200000"/>
    <n v="238500000"/>
    <n v="1081800000"/>
    <n v="600000000"/>
    <n v="42100000"/>
    <x v="2"/>
    <s v="Application Software"/>
    <n v="2073700000"/>
    <n v="1723900000"/>
    <n v="349800000"/>
  </r>
  <r>
    <x v="10"/>
    <s v="Year 2"/>
    <d v="2014-01-31T00:00:00"/>
    <n v="2273900000"/>
    <n v="274300000"/>
    <n v="1054400000"/>
    <n v="611100000"/>
    <n v="36500000"/>
    <x v="2"/>
    <s v="Application Software"/>
    <n v="1999600000"/>
    <n v="1702000000"/>
    <n v="297600000"/>
  </r>
  <r>
    <x v="10"/>
    <s v="Year 3"/>
    <d v="2015-01-31T00:00:00"/>
    <n v="2512200000"/>
    <n v="342100000"/>
    <n v="1281300000"/>
    <n v="725200000"/>
    <n v="39800000"/>
    <x v="2"/>
    <s v="Application Software"/>
    <n v="2170100000"/>
    <n v="2046300000"/>
    <n v="123800000"/>
  </r>
  <r>
    <x v="10"/>
    <s v="Year 4"/>
    <d v="2016-01-31T00:00:00"/>
    <n v="2504100000"/>
    <n v="370700000"/>
    <n v="1308900000"/>
    <n v="790000000"/>
    <n v="33200000"/>
    <x v="2"/>
    <s v="Application Software"/>
    <n v="2133400000"/>
    <n v="2132100000"/>
    <n v="1300000"/>
  </r>
  <r>
    <x v="11"/>
    <s v="Year 1"/>
    <d v="2012-12-31T00:00:00"/>
    <n v="5781000000"/>
    <n v="3477000000"/>
    <n v="443000000"/>
    <n v="0"/>
    <n v="673000000"/>
    <x v="5"/>
    <s v="MultiUtilities"/>
    <n v="2304000000"/>
    <n v="1116000000"/>
    <n v="1188000000"/>
  </r>
  <r>
    <x v="11"/>
    <s v="Year 2"/>
    <d v="2013-12-31T00:00:00"/>
    <n v="5838000000"/>
    <n v="3490000000"/>
    <n v="458000000"/>
    <n v="0"/>
    <n v="706000000"/>
    <x v="5"/>
    <s v="MultiUtilities"/>
    <n v="2348000000"/>
    <n v="1164000000"/>
    <n v="1184000000"/>
  </r>
  <r>
    <x v="11"/>
    <s v="Year 3"/>
    <d v="2014-12-31T00:00:00"/>
    <n v="6053000000"/>
    <n v="3586000000"/>
    <n v="468000000"/>
    <n v="0"/>
    <n v="745000000"/>
    <x v="5"/>
    <s v="MultiUtilities"/>
    <n v="2467000000"/>
    <n v="1213000000"/>
    <n v="1254000000"/>
  </r>
  <r>
    <x v="11"/>
    <s v="Year 4"/>
    <d v="2015-12-31T00:00:00"/>
    <n v="6098000000"/>
    <n v="3501000000"/>
    <n v="542000000"/>
    <n v="0"/>
    <n v="796000000"/>
    <x v="5"/>
    <s v="MultiUtilities"/>
    <n v="2597000000"/>
    <n v="1338000000"/>
    <n v="1259000000"/>
  </r>
  <r>
    <x v="12"/>
    <s v="Year 1"/>
    <d v="2012-12-31T00:00:00"/>
    <n v="14945000000"/>
    <n v="6395000000"/>
    <n v="3812000000"/>
    <n v="0"/>
    <n v="1782000000"/>
    <x v="5"/>
    <s v="Electric Utilities"/>
    <n v="8550000000"/>
    <n v="5594000000"/>
    <n v="2956000000"/>
  </r>
  <r>
    <x v="12"/>
    <s v="Year 2"/>
    <d v="2013-12-31T00:00:00"/>
    <n v="14813500000"/>
    <n v="6722300000"/>
    <n v="3329800000"/>
    <n v="0"/>
    <n v="1712500000"/>
    <x v="5"/>
    <s v="Electric Utilities"/>
    <n v="8091200000"/>
    <n v="5042300000"/>
    <n v="3048900000"/>
  </r>
  <r>
    <x v="12"/>
    <s v="Year 3"/>
    <d v="2014-12-31T00:00:00"/>
    <n v="16378600000"/>
    <n v="7685700000"/>
    <n v="3667900000"/>
    <n v="0"/>
    <n v="1897600000"/>
    <x v="5"/>
    <s v="Electric Utilities"/>
    <n v="8692900000"/>
    <n v="5565500000"/>
    <n v="3127400000"/>
  </r>
  <r>
    <x v="12"/>
    <s v="Year 4"/>
    <d v="2015-12-31T00:00:00"/>
    <n v="16453200000"/>
    <n v="7433500000"/>
    <n v="3676500000"/>
    <n v="0"/>
    <n v="2009700000"/>
    <x v="5"/>
    <s v="Electric Utilities"/>
    <n v="9019700000"/>
    <n v="5686200000"/>
    <n v="3333500000"/>
  </r>
  <r>
    <x v="13"/>
    <s v="Year 1"/>
    <d v="2012-12-31T00:00:00"/>
    <n v="25364000000"/>
    <n v="17074000000"/>
    <n v="0"/>
    <n v="0"/>
    <n v="3727000000"/>
    <x v="6"/>
    <s v="Life &amp; Health Insurance"/>
    <n v="8290000000"/>
    <n v="3727000000"/>
    <n v="4563000000"/>
  </r>
  <r>
    <x v="13"/>
    <s v="Year 2"/>
    <d v="2013-12-31T00:00:00"/>
    <n v="23939000000"/>
    <n v="15341000000"/>
    <n v="0"/>
    <n v="0"/>
    <n v="3489000000"/>
    <x v="6"/>
    <s v="Life &amp; Health Insurance"/>
    <n v="8598000000"/>
    <n v="3489000000"/>
    <n v="5109000000"/>
  </r>
  <r>
    <x v="13"/>
    <s v="Year 3"/>
    <d v="2014-12-31T00:00:00"/>
    <n v="22728000000"/>
    <n v="14373000000"/>
    <n v="0"/>
    <n v="0"/>
    <n v="3547000000"/>
    <x v="6"/>
    <s v="Life &amp; Health Insurance"/>
    <n v="8355000000"/>
    <n v="3547000000"/>
    <n v="4808000000"/>
  </r>
  <r>
    <x v="13"/>
    <s v="Year 4"/>
    <d v="2015-12-31T00:00:00"/>
    <n v="20872000000"/>
    <n v="13049000000"/>
    <n v="0"/>
    <n v="0"/>
    <n v="3672000000"/>
    <x v="6"/>
    <s v="Life &amp; Health Insurance"/>
    <n v="7823000000"/>
    <n v="3672000000"/>
    <n v="4151000000"/>
  </r>
  <r>
    <x v="14"/>
    <s v="Year 1"/>
    <d v="2012-12-31T00:00:00"/>
    <n v="71214000000"/>
    <n v="37745000000"/>
    <n v="21491000000"/>
    <n v="0"/>
    <n v="0"/>
    <x v="6"/>
    <s v="Property &amp; Casualty Insurance"/>
    <n v="33469000000"/>
    <n v="21491000000"/>
    <n v="11978000000"/>
  </r>
  <r>
    <x v="14"/>
    <s v="Year 2"/>
    <d v="2013-12-31T00:00:00"/>
    <n v="68874000000"/>
    <n v="34660000000"/>
    <n v="22005000000"/>
    <n v="0"/>
    <n v="0"/>
    <x v="6"/>
    <s v="Property &amp; Casualty Insurance"/>
    <n v="34214000000"/>
    <n v="22005000000"/>
    <n v="12209000000"/>
  </r>
  <r>
    <x v="14"/>
    <s v="Year 3"/>
    <d v="2014-12-31T00:00:00"/>
    <n v="64406000000"/>
    <n v="33611000000"/>
    <n v="18491000000"/>
    <n v="0"/>
    <n v="0"/>
    <x v="6"/>
    <s v="Property &amp; Casualty Insurance"/>
    <n v="30795000000"/>
    <n v="18491000000"/>
    <n v="12304000000"/>
  </r>
  <r>
    <x v="14"/>
    <s v="Year 4"/>
    <d v="2015-12-31T00:00:00"/>
    <n v="58327000000"/>
    <n v="36581000000"/>
    <n v="16417000000"/>
    <n v="0"/>
    <n v="0"/>
    <x v="6"/>
    <s v="Property &amp; Casualty Insurance"/>
    <n v="21746000000"/>
    <n v="16417000000"/>
    <n v="5329000000"/>
  </r>
  <r>
    <x v="15"/>
    <s v="Year 1"/>
    <d v="2012-12-31T00:00:00"/>
    <n v="958511000"/>
    <n v="386355000"/>
    <n v="61732000"/>
    <n v="0"/>
    <n v="325173000"/>
    <x v="7"/>
    <s v="REITs"/>
    <n v="572156000"/>
    <n v="386905000"/>
    <n v="185251000"/>
  </r>
  <r>
    <x v="15"/>
    <s v="Year 2"/>
    <d v="2013-12-31T00:00:00"/>
    <n v="974053000"/>
    <n v="380051000"/>
    <n v="53073000"/>
    <n v="0"/>
    <n v="291910000"/>
    <x v="7"/>
    <s v="REITs"/>
    <n v="594002000"/>
    <n v="344983000"/>
    <n v="249019000"/>
  </r>
  <r>
    <x v="15"/>
    <s v="Year 3"/>
    <d v="2014-12-31T00:00:00"/>
    <n v="984363000"/>
    <n v="380964000"/>
    <n v="56621000"/>
    <n v="0"/>
    <n v="282608000"/>
    <x v="7"/>
    <s v="REITs"/>
    <n v="603399000"/>
    <n v="339229000"/>
    <n v="264170000"/>
  </r>
  <r>
    <x v="15"/>
    <s v="Year 4"/>
    <d v="2015-12-31T00:00:00"/>
    <n v="981310000"/>
    <n v="365248000"/>
    <n v="53546000"/>
    <n v="0"/>
    <n v="306301000"/>
    <x v="7"/>
    <s v="REITs"/>
    <n v="616062000"/>
    <n v="359847000"/>
    <n v="256215000"/>
  </r>
  <r>
    <x v="16"/>
    <s v="Year 1"/>
    <d v="2013-12-31T00:00:00"/>
    <n v="9047657000"/>
    <n v="6709936000"/>
    <n v="0"/>
    <n v="0"/>
    <n v="1470287000"/>
    <x v="6"/>
    <s v="Multi-line Insurance"/>
    <n v="2337721000"/>
    <n v="1470287000"/>
    <n v="867434000"/>
  </r>
  <r>
    <x v="16"/>
    <s v="Year 2"/>
    <d v="2014-12-31T00:00:00"/>
    <n v="10381653000"/>
    <n v="8093563000"/>
    <n v="0"/>
    <n v="0"/>
    <n v="1485558000"/>
    <x v="6"/>
    <s v="Multi-line Insurance"/>
    <n v="2288090000"/>
    <n v="1485558000"/>
    <n v="802532000"/>
  </r>
  <r>
    <x v="16"/>
    <s v="Year 3"/>
    <d v="2015-12-31T00:00:00"/>
    <n v="10325494000"/>
    <n v="8666624000"/>
    <n v="0"/>
    <n v="0"/>
    <n v="1402573000"/>
    <x v="6"/>
    <s v="Multi-line Insurance"/>
    <n v="1658870000"/>
    <n v="1402573000"/>
    <n v="256297000"/>
  </r>
  <r>
    <x v="16"/>
    <s v="Year 4"/>
    <d v="2016-12-31T00:00:00"/>
    <n v="7531780000"/>
    <n v="5251228000"/>
    <n v="0"/>
    <n v="0"/>
    <n v="1351314000"/>
    <x v="6"/>
    <s v="Multi-line Insurance"/>
    <n v="2280552000"/>
    <n v="1351314000"/>
    <n v="929238000"/>
  </r>
  <r>
    <x v="17"/>
    <s v="Year 1"/>
    <d v="2012-12-31T00:00:00"/>
    <n v="1373947000"/>
    <n v="529900000"/>
    <n v="433448000"/>
    <n v="74744000"/>
    <n v="20962000"/>
    <x v="2"/>
    <s v="Internet Software &amp; Services"/>
    <n v="844047000"/>
    <n v="529154000"/>
    <n v="314893000"/>
  </r>
  <r>
    <x v="17"/>
    <s v="Year 2"/>
    <d v="2013-12-31T00:00:00"/>
    <n v="1577922000"/>
    <n v="511087000"/>
    <n v="535598000"/>
    <n v="93879000"/>
    <n v="21547000"/>
    <x v="2"/>
    <s v="Internet Software &amp; Services"/>
    <n v="1066835000"/>
    <n v="651024000"/>
    <n v="415811000"/>
  </r>
  <r>
    <x v="17"/>
    <s v="Year 3"/>
    <d v="2014-12-31T00:00:00"/>
    <n v="1963874000"/>
    <n v="610943000"/>
    <n v="704880000"/>
    <n v="125286000"/>
    <n v="32057000"/>
    <x v="2"/>
    <s v="Internet Software &amp; Services"/>
    <n v="1352931000"/>
    <n v="862223000"/>
    <n v="490708000"/>
  </r>
  <r>
    <x v="17"/>
    <s v="Year 4"/>
    <d v="2015-12-31T00:00:00"/>
    <n v="2197448000"/>
    <n v="725620000"/>
    <n v="829253000"/>
    <n v="148591000"/>
    <n v="27067000"/>
    <x v="2"/>
    <s v="Internet Software &amp; Services"/>
    <n v="1471828000"/>
    <n v="1004911000"/>
    <n v="466917000"/>
  </r>
  <r>
    <x v="18"/>
    <s v="Year 1"/>
    <d v="2012-12-31T00:00:00"/>
    <n v="2519154000"/>
    <n v="1620311000"/>
    <n v="308456000"/>
    <n v="78919000"/>
    <n v="0"/>
    <x v="8"/>
    <s v="Specialty Chemicals"/>
    <n v="898843000"/>
    <n v="387375000"/>
    <n v="511468000"/>
  </r>
  <r>
    <x v="18"/>
    <s v="Year 2"/>
    <d v="2013-12-31T00:00:00"/>
    <n v="2394270000"/>
    <n v="1543799000"/>
    <n v="158189000"/>
    <n v="82246000"/>
    <n v="0"/>
    <x v="8"/>
    <s v="Specialty Chemicals"/>
    <n v="850471000"/>
    <n v="240435000"/>
    <n v="610036000"/>
  </r>
  <r>
    <x v="18"/>
    <s v="Year 3"/>
    <d v="2014-12-31T00:00:00"/>
    <n v="2445548000"/>
    <n v="1674700000"/>
    <n v="355135000"/>
    <n v="88310000"/>
    <n v="0"/>
    <x v="8"/>
    <s v="Specialty Chemicals"/>
    <n v="770848000"/>
    <n v="443445000"/>
    <n v="327403000"/>
  </r>
  <r>
    <x v="18"/>
    <s v="Year 4"/>
    <d v="2015-12-31T00:00:00"/>
    <n v="3651335000"/>
    <n v="2454463000"/>
    <n v="512274000"/>
    <n v="102871000"/>
    <n v="0"/>
    <x v="8"/>
    <s v="Specialty Chemicals"/>
    <n v="1196872000"/>
    <n v="615145000"/>
    <n v="581727000"/>
  </r>
  <r>
    <x v="19"/>
    <s v="Year 1"/>
    <d v="2012-12-31T00:00:00"/>
    <n v="4657000000"/>
    <n v="2319000000"/>
    <n v="1542000000"/>
    <n v="0"/>
    <n v="264000000"/>
    <x v="0"/>
    <s v="Airlines"/>
    <n v="2338000000"/>
    <n v="1806000000"/>
    <n v="532000000"/>
  </r>
  <r>
    <x v="19"/>
    <s v="Year 2"/>
    <d v="2013-12-31T00:00:00"/>
    <n v="5156000000"/>
    <n v="2355000000"/>
    <n v="1693000000"/>
    <n v="0"/>
    <n v="270000000"/>
    <x v="0"/>
    <s v="Airlines"/>
    <n v="2801000000"/>
    <n v="1963000000"/>
    <n v="838000000"/>
  </r>
  <r>
    <x v="19"/>
    <s v="Year 3"/>
    <d v="2014-12-31T00:00:00"/>
    <n v="5368000000"/>
    <n v="2325000000"/>
    <n v="1817000000"/>
    <n v="0"/>
    <n v="294000000"/>
    <x v="0"/>
    <s v="Airlines"/>
    <n v="3043000000"/>
    <n v="2111000000"/>
    <n v="932000000"/>
  </r>
  <r>
    <x v="19"/>
    <s v="Year 4"/>
    <d v="2015-12-31T00:00:00"/>
    <n v="5598000000"/>
    <n v="1935000000"/>
    <n v="2013000000"/>
    <n v="0"/>
    <n v="320000000"/>
    <x v="0"/>
    <s v="Airlines"/>
    <n v="3663000000"/>
    <n v="2333000000"/>
    <n v="1330000000"/>
  </r>
  <r>
    <x v="20"/>
    <s v="Year 1"/>
    <d v="2012-12-31T00:00:00"/>
    <n v="33315000000"/>
    <n v="21618000000"/>
    <n v="0"/>
    <n v="0"/>
    <n v="8002000000"/>
    <x v="6"/>
    <s v="Property &amp; Casualty Insurance"/>
    <n v="11697000000"/>
    <n v="8002000000"/>
    <n v="3695000000"/>
  </r>
  <r>
    <x v="20"/>
    <s v="Year 2"/>
    <d v="2013-12-31T00:00:00"/>
    <n v="34507000000"/>
    <n v="19828000000"/>
    <n v="1278000000"/>
    <n v="0"/>
    <n v="8389000000"/>
    <x v="6"/>
    <s v="Property &amp; Casualty Insurance"/>
    <n v="14679000000"/>
    <n v="9667000000"/>
    <n v="5012000000"/>
  </r>
  <r>
    <x v="20"/>
    <s v="Year 3"/>
    <d v="2014-12-31T00:00:00"/>
    <n v="35239000000"/>
    <n v="21193000000"/>
    <n v="919000000"/>
    <n v="0"/>
    <n v="8476000000"/>
    <x v="6"/>
    <s v="Property &amp; Casualty Insurance"/>
    <n v="14046000000"/>
    <n v="9395000000"/>
    <n v="4651000000"/>
  </r>
  <r>
    <x v="20"/>
    <s v="Year 4"/>
    <d v="2015-12-31T00:00:00"/>
    <n v="35653000000"/>
    <n v="22837000000"/>
    <n v="761000000"/>
    <n v="0"/>
    <n v="8445000000"/>
    <x v="6"/>
    <s v="Property &amp; Casualty Insurance"/>
    <n v="12816000000"/>
    <n v="9206000000"/>
    <n v="3610000000"/>
  </r>
  <r>
    <x v="21"/>
    <s v="Year 1"/>
    <d v="2013-12-31T00:00:00"/>
    <n v="2069600000"/>
    <n v="1208100000"/>
    <n v="483100000"/>
    <n v="0"/>
    <n v="0"/>
    <x v="0"/>
    <s v="Building Products"/>
    <n v="861500000"/>
    <n v="483100000"/>
    <n v="378400000"/>
  </r>
  <r>
    <x v="21"/>
    <s v="Year 2"/>
    <d v="2014-12-31T00:00:00"/>
    <n v="2118300000"/>
    <n v="1264600000"/>
    <n v="527400000"/>
    <n v="0"/>
    <n v="0"/>
    <x v="0"/>
    <s v="Building Products"/>
    <n v="853700000"/>
    <n v="527400000"/>
    <n v="326300000"/>
  </r>
  <r>
    <x v="21"/>
    <s v="Year 3"/>
    <d v="2015-12-31T00:00:00"/>
    <n v="2068100000"/>
    <n v="1199000000"/>
    <n v="510500000"/>
    <n v="0"/>
    <n v="0"/>
    <x v="0"/>
    <s v="Building Products"/>
    <n v="869100000"/>
    <n v="510500000"/>
    <n v="358600000"/>
  </r>
  <r>
    <x v="21"/>
    <s v="Year 4"/>
    <d v="2016-12-31T00:00:00"/>
    <n v="2238000000"/>
    <n v="1252700000"/>
    <n v="559800000"/>
    <n v="0"/>
    <n v="0"/>
    <x v="0"/>
    <s v="Building Products"/>
    <n v="985300000"/>
    <n v="559800000"/>
    <n v="425500000"/>
  </r>
  <r>
    <x v="22"/>
    <s v="Year 1"/>
    <d v="2013-12-31T00:00:00"/>
    <n v="1551346000"/>
    <n v="177556000"/>
    <n v="493726000"/>
    <n v="317093000"/>
    <n v="417000"/>
    <x v="3"/>
    <s v="Biotechnology"/>
    <n v="1373790000"/>
    <n v="811236000"/>
    <n v="562554000"/>
  </r>
  <r>
    <x v="22"/>
    <s v="Year 2"/>
    <d v="2014-12-31T00:00:00"/>
    <n v="2234000000"/>
    <n v="174000000"/>
    <n v="650000000"/>
    <n v="514000000"/>
    <n v="0"/>
    <x v="3"/>
    <s v="Biotechnology"/>
    <n v="2060000000"/>
    <n v="1164000000"/>
    <n v="896000000"/>
  </r>
  <r>
    <x v="22"/>
    <s v="Year 3"/>
    <d v="2015-12-31T00:00:00"/>
    <n v="2604000000"/>
    <n v="233000000"/>
    <n v="927000000"/>
    <n v="709000000"/>
    <n v="117000000"/>
    <x v="3"/>
    <s v="Biotechnology"/>
    <n v="2371000000"/>
    <n v="1753000000"/>
    <n v="618000000"/>
  </r>
  <r>
    <x v="22"/>
    <s v="Year 4"/>
    <d v="2016-12-31T00:00:00"/>
    <n v="3084000000"/>
    <n v="258000000"/>
    <n v="990000000"/>
    <n v="757000000"/>
    <n v="322000000"/>
    <x v="3"/>
    <s v="Biotechnology"/>
    <n v="2826000000"/>
    <n v="2069000000"/>
    <n v="757000000"/>
  </r>
  <r>
    <x v="23"/>
    <s v="Year 1"/>
    <d v="2013-10-27T00:00:00"/>
    <n v="7509000000"/>
    <n v="4518000000"/>
    <n v="898000000"/>
    <n v="1320000000"/>
    <n v="0"/>
    <x v="2"/>
    <s v="Semiconductor Equipment"/>
    <n v="2991000000"/>
    <n v="2218000000"/>
    <n v="773000000"/>
  </r>
  <r>
    <x v="23"/>
    <s v="Year 2"/>
    <d v="2014-10-26T00:00:00"/>
    <n v="9072000000"/>
    <n v="5229000000"/>
    <n v="895000000"/>
    <n v="1428000000"/>
    <n v="0"/>
    <x v="2"/>
    <s v="Semiconductor Equipment"/>
    <n v="3843000000"/>
    <n v="2323000000"/>
    <n v="1520000000"/>
  </r>
  <r>
    <x v="23"/>
    <s v="Year 3"/>
    <d v="2015-10-25T00:00:00"/>
    <n v="9659000000"/>
    <n v="5707000000"/>
    <n v="808000000"/>
    <n v="1451000000"/>
    <n v="0"/>
    <x v="2"/>
    <s v="Semiconductor Equipment"/>
    <n v="3952000000"/>
    <n v="2259000000"/>
    <n v="1693000000"/>
  </r>
  <r>
    <x v="23"/>
    <s v="Year 4"/>
    <d v="2016-10-30T00:00:00"/>
    <n v="10825000000"/>
    <n v="6314000000"/>
    <n v="819000000"/>
    <n v="1540000000"/>
    <n v="0"/>
    <x v="2"/>
    <s v="Semiconductor Equipment"/>
    <n v="4511000000"/>
    <n v="2359000000"/>
    <n v="2152000000"/>
  </r>
  <r>
    <x v="24"/>
    <s v="Year 1"/>
    <d v="2012-12-31T00:00:00"/>
    <n v="3334213000"/>
    <n v="2154132000"/>
    <n v="380532000"/>
    <n v="0"/>
    <n v="53677000"/>
    <x v="0"/>
    <s v="Electrical Components &amp; Equipment"/>
    <n v="1180081000"/>
    <n v="434209000"/>
    <n v="745872000"/>
  </r>
  <r>
    <x v="24"/>
    <s v="Year 2"/>
    <d v="2013-12-31T00:00:00"/>
    <n v="3594136000"/>
    <n v="2323642000"/>
    <n v="398177000"/>
    <n v="0"/>
    <n v="57238000"/>
    <x v="0"/>
    <s v="Electrical Components &amp; Equipment"/>
    <n v="1270494000"/>
    <n v="455415000"/>
    <n v="815079000"/>
  </r>
  <r>
    <x v="24"/>
    <s v="Year 3"/>
    <d v="2014-12-31T00:00:00"/>
    <n v="4021964000"/>
    <n v="2597017000"/>
    <n v="462637000"/>
    <n v="0"/>
    <n v="63724000"/>
    <x v="0"/>
    <s v="Electrical Components &amp; Equipment"/>
    <n v="1424947000"/>
    <n v="526361000"/>
    <n v="898586000"/>
  </r>
  <r>
    <x v="24"/>
    <s v="Year 4"/>
    <d v="2015-12-31T00:00:00"/>
    <n v="3974295000"/>
    <n v="2549280000"/>
    <n v="448592000"/>
    <n v="0"/>
    <n v="68707000"/>
    <x v="0"/>
    <s v="Electrical Components &amp; Equipment"/>
    <n v="1425015000"/>
    <n v="517299000"/>
    <n v="907716000"/>
  </r>
  <r>
    <x v="25"/>
    <s v="Year 1"/>
    <d v="2013-12-31T00:00:00"/>
    <n v="18676000000"/>
    <n v="3346000000"/>
    <n v="5380000000"/>
    <n v="4083000000"/>
    <n v="0"/>
    <x v="3"/>
    <s v="Biotechnology"/>
    <n v="15330000000"/>
    <n v="9463000000"/>
    <n v="5867000000"/>
  </r>
  <r>
    <x v="25"/>
    <s v="Year 2"/>
    <d v="2014-12-31T00:00:00"/>
    <n v="20063000000"/>
    <n v="4422000000"/>
    <n v="5153000000"/>
    <n v="4297000000"/>
    <n v="0"/>
    <x v="3"/>
    <s v="Biotechnology"/>
    <n v="15641000000"/>
    <n v="9450000000"/>
    <n v="6191000000"/>
  </r>
  <r>
    <x v="25"/>
    <s v="Year 3"/>
    <d v="2015-12-31T00:00:00"/>
    <n v="21662000000"/>
    <n v="4227000000"/>
    <n v="4895000000"/>
    <n v="4070000000"/>
    <n v="0"/>
    <x v="3"/>
    <s v="Biotechnology"/>
    <n v="17435000000"/>
    <n v="8965000000"/>
    <n v="8470000000"/>
  </r>
  <r>
    <x v="25"/>
    <s v="Year 4"/>
    <d v="2016-12-31T00:00:00"/>
    <n v="22991000000"/>
    <n v="4162000000"/>
    <n v="5195000000"/>
    <n v="3840000000"/>
    <n v="0"/>
    <x v="3"/>
    <s v="Biotechnology"/>
    <n v="18829000000"/>
    <n v="9035000000"/>
    <n v="9794000000"/>
  </r>
  <r>
    <x v="26"/>
    <s v="Year 1"/>
    <d v="2012-12-31T00:00:00"/>
    <n v="10259000000"/>
    <n v="1899000000"/>
    <n v="3927000000"/>
    <n v="0"/>
    <n v="2877000000"/>
    <x v="6"/>
    <s v="Asset Management &amp; Custody Banks"/>
    <n v="8360000000"/>
    <n v="6804000000"/>
    <n v="1556000000"/>
  </r>
  <r>
    <x v="26"/>
    <s v="Year 2"/>
    <d v="2013-12-31T00:00:00"/>
    <n v="11230000000"/>
    <n v="1954000000"/>
    <n v="3862000000"/>
    <n v="0"/>
    <n v="3132000000"/>
    <x v="6"/>
    <s v="Asset Management &amp; Custody Banks"/>
    <n v="9276000000"/>
    <n v="6994000000"/>
    <n v="2282000000"/>
  </r>
  <r>
    <x v="26"/>
    <s v="Year 3"/>
    <d v="2014-12-31T00:00:00"/>
    <n v="12296000000"/>
    <n v="1982000000"/>
    <n v="3808000000"/>
    <n v="0"/>
    <n v="3603000000"/>
    <x v="6"/>
    <s v="Asset Management &amp; Custody Banks"/>
    <n v="10314000000"/>
    <n v="7411000000"/>
    <n v="2903000000"/>
  </r>
  <r>
    <x v="26"/>
    <s v="Year 4"/>
    <d v="2015-12-31T00:00:00"/>
    <n v="12200000000"/>
    <n v="2261000000"/>
    <n v="3750000000"/>
    <n v="0"/>
    <n v="3630000000"/>
    <x v="6"/>
    <s v="Asset Management &amp; Custody Banks"/>
    <n v="9939000000"/>
    <n v="7380000000"/>
    <n v="2559000000"/>
  </r>
  <r>
    <x v="27"/>
    <s v="Year 1"/>
    <d v="2012-12-31T00:00:00"/>
    <n v="2875960000"/>
    <n v="722479000"/>
    <n v="389486000"/>
    <n v="0"/>
    <n v="644276000"/>
    <x v="7"/>
    <s v="Specialized REITs"/>
    <n v="2153481000"/>
    <n v="1033762000"/>
    <n v="1119719000"/>
  </r>
  <r>
    <x v="27"/>
    <s v="Year 2"/>
    <d v="2013-12-31T00:00:00"/>
    <n v="3361407000"/>
    <n v="859873000"/>
    <n v="487084000"/>
    <n v="0"/>
    <n v="800145000"/>
    <x v="7"/>
    <s v="Specialized REITs"/>
    <n v="2501534000"/>
    <n v="1287229000"/>
    <n v="1214305000"/>
  </r>
  <r>
    <x v="27"/>
    <s v="Year 3"/>
    <d v="2014-12-31T00:00:00"/>
    <n v="4100048000"/>
    <n v="1094265000"/>
    <n v="515059000"/>
    <n v="0"/>
    <n v="1003802000"/>
    <x v="7"/>
    <s v="Specialized REITs"/>
    <n v="3005783000"/>
    <n v="1518861000"/>
    <n v="1486922000"/>
  </r>
  <r>
    <x v="27"/>
    <s v="Year 4"/>
    <d v="2015-12-31T00:00:00"/>
    <n v="4771516000"/>
    <n v="1308868000"/>
    <n v="564531000"/>
    <n v="0"/>
    <n v="1285328000"/>
    <x v="7"/>
    <s v="Specialized REITs"/>
    <n v="3462648000"/>
    <n v="1849859000"/>
    <n v="1612789000"/>
  </r>
  <r>
    <x v="28"/>
    <s v="Year 1"/>
    <d v="2013-12-31T00:00:00"/>
    <n v="74452000000"/>
    <n v="54181000000"/>
    <n v="19526000000"/>
    <n v="0"/>
    <n v="0"/>
    <x v="1"/>
    <s v="Internet &amp; Direct Marketing Retail"/>
    <n v="20271000000"/>
    <n v="19526000000"/>
    <n v="745000000"/>
  </r>
  <r>
    <x v="28"/>
    <s v="Year 2"/>
    <d v="2014-12-31T00:00:00"/>
    <n v="88988000000"/>
    <n v="62752000000"/>
    <n v="26058000000"/>
    <n v="0"/>
    <n v="0"/>
    <x v="1"/>
    <s v="Internet &amp; Direct Marketing Retail"/>
    <n v="26236000000"/>
    <n v="26058000000"/>
    <n v="178000000"/>
  </r>
  <r>
    <x v="28"/>
    <s v="Year 3"/>
    <d v="2015-12-31T00:00:00"/>
    <n v="107006000000"/>
    <n v="71651000000"/>
    <n v="33122000000"/>
    <n v="0"/>
    <n v="0"/>
    <x v="1"/>
    <s v="Internet &amp; Direct Marketing Retail"/>
    <n v="35355000000"/>
    <n v="33122000000"/>
    <n v="2233000000"/>
  </r>
  <r>
    <x v="28"/>
    <s v="Year 4"/>
    <d v="2016-12-31T00:00:00"/>
    <n v="135987000000"/>
    <n v="88265000000"/>
    <n v="43536000000"/>
    <n v="0"/>
    <n v="0"/>
    <x v="1"/>
    <s v="Internet &amp; Direct Marketing Retail"/>
    <n v="47722000000"/>
    <n v="43536000000"/>
    <n v="4186000000"/>
  </r>
  <r>
    <x v="29"/>
    <s v="Year 1"/>
    <d v="2013-12-31T00:00:00"/>
    <n v="17517600000"/>
    <n v="14757700000"/>
    <n v="1924300000"/>
    <n v="0"/>
    <n v="95300000"/>
    <x v="1"/>
    <s v="Specialty Stores"/>
    <n v="2759900000"/>
    <n v="2019600000"/>
    <n v="740300000"/>
  </r>
  <r>
    <x v="29"/>
    <s v="Year 2"/>
    <d v="2014-12-31T00:00:00"/>
    <n v="19108800000"/>
    <n v="16120100000"/>
    <n v="2061000000"/>
    <n v="0"/>
    <n v="106900000"/>
    <x v="1"/>
    <s v="Specialty Stores"/>
    <n v="2988700000"/>
    <n v="2167900000"/>
    <n v="820800000"/>
  </r>
  <r>
    <x v="29"/>
    <s v="Year 3"/>
    <d v="2015-12-31T00:00:00"/>
    <n v="20862000000"/>
    <n v="17600500000"/>
    <n v="2245600000"/>
    <n v="0"/>
    <n v="127400000"/>
    <x v="1"/>
    <s v="Specialty Stores"/>
    <n v="3261500000"/>
    <n v="2373000000"/>
    <n v="888500000"/>
  </r>
  <r>
    <x v="29"/>
    <s v="Year 4"/>
    <d v="2016-12-31T00:00:00"/>
    <n v="21609000000"/>
    <n v="18295800000"/>
    <n v="2280300000"/>
    <n v="0"/>
    <n v="143400000"/>
    <x v="1"/>
    <s v="Specialty Stores"/>
    <n v="3313200000"/>
    <n v="2423700000"/>
    <n v="889500000"/>
  </r>
  <r>
    <x v="30"/>
    <s v="Year 1"/>
    <d v="2012-12-31T00:00:00"/>
    <n v="61497200000"/>
    <n v="48213600000"/>
    <n v="8680500000"/>
    <n v="0"/>
    <n v="233000000"/>
    <x v="3"/>
    <s v="Managed Health Care"/>
    <n v="13283600000"/>
    <n v="8913500000"/>
    <n v="4370100000"/>
  </r>
  <r>
    <x v="30"/>
    <s v="Year 2"/>
    <d v="2013-12-31T00:00:00"/>
    <n v="71023500000"/>
    <n v="56237100000"/>
    <n v="9952900000"/>
    <n v="0"/>
    <n v="245300000"/>
    <x v="3"/>
    <s v="Managed Health Care"/>
    <n v="14786400000"/>
    <n v="10198200000"/>
    <n v="4588200000"/>
  </r>
  <r>
    <x v="30"/>
    <s v="Year 3"/>
    <d v="2014-12-31T00:00:00"/>
    <n v="73874100000"/>
    <n v="56854900000"/>
    <n v="11748400000"/>
    <n v="0"/>
    <n v="220900000"/>
    <x v="3"/>
    <s v="Managed Health Care"/>
    <n v="17019200000"/>
    <n v="11969300000"/>
    <n v="5049900000"/>
  </r>
  <r>
    <x v="30"/>
    <s v="Year 4"/>
    <d v="2015-12-31T00:00:00"/>
    <n v="79156500000"/>
    <n v="61116900000"/>
    <n v="12534800000"/>
    <n v="0"/>
    <n v="230100000"/>
    <x v="3"/>
    <s v="Managed Health Care"/>
    <n v="18039600000"/>
    <n v="12764900000"/>
    <n v="5274700000"/>
  </r>
  <r>
    <x v="31"/>
    <s v="Year 1"/>
    <d v="2012-12-31T00:00:00"/>
    <n v="16428000000"/>
    <n v="3079000000"/>
    <n v="1333000000"/>
    <n v="0"/>
    <n v="6881000000"/>
    <x v="9"/>
    <s v="Oil &amp; Gas Exploration &amp; Production"/>
    <n v="13349000000"/>
    <n v="8214000000"/>
    <n v="5135000000"/>
  </r>
  <r>
    <x v="31"/>
    <s v="Year 2"/>
    <d v="2013-12-31T00:00:00"/>
    <n v="14771000000"/>
    <n v="2938000000"/>
    <n v="1286000000"/>
    <n v="0"/>
    <n v="5866000000"/>
    <x v="9"/>
    <s v="Oil &amp; Gas Exploration &amp; Production"/>
    <n v="11833000000"/>
    <n v="7152000000"/>
    <n v="4681000000"/>
  </r>
  <r>
    <x v="31"/>
    <s v="Year 3"/>
    <d v="2014-12-31T00:00:00"/>
    <n v="12691000000"/>
    <n v="2511000000"/>
    <n v="1095000000"/>
    <n v="0"/>
    <n v="9720000000"/>
    <x v="9"/>
    <s v="Oil &amp; Gas Exploration &amp; Production"/>
    <n v="10180000000"/>
    <n v="10815000000"/>
    <n v="-635000000"/>
  </r>
  <r>
    <x v="31"/>
    <s v="Year 4"/>
    <d v="2015-12-31T00:00:00"/>
    <n v="6383000000"/>
    <n v="2065000000"/>
    <n v="791000000"/>
    <n v="0"/>
    <n v="29372000000"/>
    <x v="9"/>
    <s v="Oil &amp; Gas Exploration &amp; Production"/>
    <n v="4318000000"/>
    <n v="30163000000"/>
    <n v="-25845000000"/>
  </r>
  <r>
    <x v="32"/>
    <s v="Year 1"/>
    <d v="2013-12-31T00:00:00"/>
    <n v="14581000000"/>
    <n v="2942000000"/>
    <n v="2256000000"/>
    <n v="0"/>
    <n v="3927000000"/>
    <x v="9"/>
    <s v="Oil &amp; Gas Exploration &amp; Production"/>
    <n v="11639000000"/>
    <n v="6183000000"/>
    <n v="5456000000"/>
  </r>
  <r>
    <x v="32"/>
    <s v="Year 2"/>
    <d v="2014-12-31T00:00:00"/>
    <n v="18470000000"/>
    <n v="3317000000"/>
    <n v="2725000000"/>
    <n v="0"/>
    <n v="4550000000"/>
    <x v="9"/>
    <s v="Oil &amp; Gas Exploration &amp; Production"/>
    <n v="15153000000"/>
    <n v="7275000000"/>
    <n v="7878000000"/>
  </r>
  <r>
    <x v="32"/>
    <s v="Year 3"/>
    <d v="2015-12-31T00:00:00"/>
    <n v="8698000000"/>
    <n v="3185000000"/>
    <n v="2000000000"/>
    <n v="0"/>
    <n v="4603000000"/>
    <x v="9"/>
    <s v="Oil &amp; Gas Exploration &amp; Production"/>
    <n v="5513000000"/>
    <n v="6603000000"/>
    <n v="-1090000000"/>
  </r>
  <r>
    <x v="32"/>
    <s v="Year 4"/>
    <d v="2016-12-31T00:00:00"/>
    <n v="7869000000"/>
    <n v="2900000000"/>
    <n v="2094000000"/>
    <n v="0"/>
    <n v="4301000000"/>
    <x v="9"/>
    <s v="Oil &amp; Gas Exploration &amp; Production"/>
    <n v="4969000000"/>
    <n v="6395000000"/>
    <n v="-1426000000"/>
  </r>
  <r>
    <x v="33"/>
    <s v="Year 1"/>
    <d v="2013-09-30T00:00:00"/>
    <n v="10180400000"/>
    <n v="7472100000"/>
    <n v="1018600000"/>
    <n v="133700000"/>
    <n v="0"/>
    <x v="8"/>
    <s v="Industrial Gases"/>
    <n v="2708300000"/>
    <n v="1152300000"/>
    <n v="1556000000"/>
  </r>
  <r>
    <x v="33"/>
    <s v="Year 2"/>
    <d v="2014-09-30T00:00:00"/>
    <n v="10439000000"/>
    <n v="7629900000"/>
    <n v="1007400000"/>
    <n v="139800000"/>
    <n v="0"/>
    <x v="8"/>
    <s v="Industrial Gases"/>
    <n v="2809100000"/>
    <n v="1147200000"/>
    <n v="1661900000"/>
  </r>
  <r>
    <x v="33"/>
    <s v="Year 3"/>
    <d v="2015-09-30T00:00:00"/>
    <n v="9894900000"/>
    <n v="6939000000"/>
    <n v="895300000"/>
    <n v="137100000"/>
    <n v="0"/>
    <x v="8"/>
    <s v="Industrial Gases"/>
    <n v="2955900000"/>
    <n v="1032400000"/>
    <n v="1923500000"/>
  </r>
  <r>
    <x v="33"/>
    <s v="Year 4"/>
    <d v="2016-09-30T00:00:00"/>
    <n v="9524400000"/>
    <n v="6402700000"/>
    <n v="797600000"/>
    <n v="132000000"/>
    <n v="0"/>
    <x v="8"/>
    <s v="Industrial Gases"/>
    <n v="3121700000"/>
    <n v="929600000"/>
    <n v="2192100000"/>
  </r>
  <r>
    <x v="34"/>
    <s v="Year 1"/>
    <d v="2012-12-31T00:00:00"/>
    <n v="4292100000"/>
    <n v="2948900000"/>
    <n v="512900000"/>
    <n v="0"/>
    <n v="0"/>
    <x v="2"/>
    <s v="Electronic Components"/>
    <n v="1343200000"/>
    <n v="512900000"/>
    <n v="830300000"/>
  </r>
  <r>
    <x v="34"/>
    <s v="Year 2"/>
    <d v="2013-12-31T00:00:00"/>
    <n v="4614700000"/>
    <n v="3163900000"/>
    <n v="548000000"/>
    <n v="0"/>
    <n v="0"/>
    <x v="2"/>
    <s v="Electronic Components"/>
    <n v="1450800000"/>
    <n v="548000000"/>
    <n v="902800000"/>
  </r>
  <r>
    <x v="34"/>
    <s v="Year 3"/>
    <d v="2014-12-31T00:00:00"/>
    <n v="5345500000"/>
    <n v="3651700000"/>
    <n v="645100000"/>
    <n v="0"/>
    <n v="0"/>
    <x v="2"/>
    <s v="Electronic Components"/>
    <n v="1693800000"/>
    <n v="645100000"/>
    <n v="1048700000"/>
  </r>
  <r>
    <x v="34"/>
    <s v="Year 4"/>
    <d v="2015-12-31T00:00:00"/>
    <n v="5568700000"/>
    <n v="3789200000"/>
    <n v="669100000"/>
    <n v="0"/>
    <n v="0"/>
    <x v="2"/>
    <s v="Electronic Components"/>
    <n v="1779500000"/>
    <n v="669100000"/>
    <n v="1110400000"/>
  </r>
  <r>
    <x v="35"/>
    <s v="Year 1"/>
    <d v="2012-12-31T00:00:00"/>
    <n v="23700000000"/>
    <n v="20401000000"/>
    <n v="997000000"/>
    <n v="197000000"/>
    <n v="1460000000"/>
    <x v="0"/>
    <s v="Aerospace &amp; Defense"/>
    <n v="3299000000"/>
    <n v="2654000000"/>
    <n v="645000000"/>
  </r>
  <r>
    <x v="35"/>
    <s v="Year 2"/>
    <d v="2013-12-31T00:00:00"/>
    <n v="23032000000"/>
    <n v="19286000000"/>
    <n v="1008000000"/>
    <n v="192000000"/>
    <n v="1421000000"/>
    <x v="0"/>
    <s v="Aerospace &amp; Defense"/>
    <n v="3746000000"/>
    <n v="2621000000"/>
    <n v="1125000000"/>
  </r>
  <r>
    <x v="35"/>
    <s v="Year 3"/>
    <d v="2014-12-31T00:00:00"/>
    <n v="23906000000"/>
    <n v="19137000000"/>
    <n v="995000000"/>
    <n v="218000000"/>
    <n v="1371000000"/>
    <x v="0"/>
    <s v="Aerospace &amp; Defense"/>
    <n v="4769000000"/>
    <n v="2584000000"/>
    <n v="2185000000"/>
  </r>
  <r>
    <x v="35"/>
    <s v="Year 4"/>
    <d v="2015-12-31T00:00:00"/>
    <n v="22534000000"/>
    <n v="18069000000"/>
    <n v="979000000"/>
    <n v="238000000"/>
    <n v="1280000000"/>
    <x v="0"/>
    <s v="Aerospace &amp; Defense"/>
    <n v="4465000000"/>
    <n v="2497000000"/>
    <n v="1968000000"/>
  </r>
  <r>
    <x v="36"/>
    <s v="Year 1"/>
    <d v="2012-12-31T00:00:00"/>
    <n v="4856000000"/>
    <n v="1662000000"/>
    <n v="1139000000"/>
    <n v="604000000"/>
    <n v="0"/>
    <x v="2"/>
    <s v="Home Entertainment Software"/>
    <n v="3194000000"/>
    <n v="1743000000"/>
    <n v="1451000000"/>
  </r>
  <r>
    <x v="36"/>
    <s v="Year 2"/>
    <d v="2013-12-31T00:00:00"/>
    <n v="4583000000"/>
    <n v="1531000000"/>
    <n v="1096000000"/>
    <n v="584000000"/>
    <n v="0"/>
    <x v="2"/>
    <s v="Home Entertainment Software"/>
    <n v="3052000000"/>
    <n v="1680000000"/>
    <n v="1372000000"/>
  </r>
  <r>
    <x v="36"/>
    <s v="Year 3"/>
    <d v="2014-12-31T00:00:00"/>
    <n v="4408000000"/>
    <n v="1525000000"/>
    <n v="1129000000"/>
    <n v="571000000"/>
    <n v="0"/>
    <x v="2"/>
    <s v="Home Entertainment Software"/>
    <n v="2883000000"/>
    <n v="1700000000"/>
    <n v="1183000000"/>
  </r>
  <r>
    <x v="36"/>
    <s v="Year 4"/>
    <d v="2015-12-31T00:00:00"/>
    <n v="4664000000"/>
    <n v="1585000000"/>
    <n v="1114000000"/>
    <n v="646000000"/>
    <n v="0"/>
    <x v="2"/>
    <s v="Home Entertainment Software"/>
    <n v="3079000000"/>
    <n v="1760000000"/>
    <n v="1319000000"/>
  </r>
  <r>
    <x v="37"/>
    <s v="Year 1"/>
    <d v="2015-11-01T00:00:00"/>
    <n v="6824000000"/>
    <n v="3271000000"/>
    <n v="486000000"/>
    <n v="1049000000"/>
    <n v="249000000"/>
    <x v="2"/>
    <s v="Semiconductors"/>
    <n v="3553000000"/>
    <n v="1784000000"/>
    <n v="1769000000"/>
  </r>
  <r>
    <x v="37"/>
    <s v="Year 2"/>
    <d v="2016-10-30T00:00:00"/>
    <n v="13240000000"/>
    <n v="7300000000"/>
    <n v="806000000"/>
    <n v="2674000000"/>
    <n v="1873000000"/>
    <x v="2"/>
    <s v="Semiconductors"/>
    <n v="5940000000"/>
    <n v="5353000000"/>
    <n v="587000000"/>
  </r>
  <r>
    <x v="38"/>
    <s v="Year 1"/>
    <d v="2012-12-31T00:00:00"/>
    <n v="5863500000"/>
    <n v="4335300000"/>
    <n v="1148900000"/>
    <n v="0"/>
    <n v="0"/>
    <x v="8"/>
    <s v="Paper Packaging"/>
    <n v="1528200000"/>
    <n v="1148900000"/>
    <n v="379300000"/>
  </r>
  <r>
    <x v="38"/>
    <s v="Year 2"/>
    <d v="2013-12-28T00:00:00"/>
    <n v="6140000000"/>
    <n v="4502300000"/>
    <n v="1174200000"/>
    <n v="0"/>
    <n v="0"/>
    <x v="8"/>
    <s v="Paper Packaging"/>
    <n v="1637700000"/>
    <n v="1174200000"/>
    <n v="463500000"/>
  </r>
  <r>
    <x v="38"/>
    <s v="Year 3"/>
    <d v="2015-01-03T00:00:00"/>
    <n v="6330300000"/>
    <n v="4679100000"/>
    <n v="1158900000"/>
    <n v="0"/>
    <n v="0"/>
    <x v="8"/>
    <s v="Paper Packaging"/>
    <n v="1651200000"/>
    <n v="1158900000"/>
    <n v="492300000"/>
  </r>
  <r>
    <x v="38"/>
    <s v="Year 4"/>
    <d v="2016-01-02T00:00:00"/>
    <n v="5966900000"/>
    <n v="4321100000"/>
    <n v="1108100000"/>
    <n v="0"/>
    <n v="0"/>
    <x v="8"/>
    <s v="Paper Packaging"/>
    <n v="1645800000"/>
    <n v="1108100000"/>
    <n v="537700000"/>
  </r>
  <r>
    <x v="39"/>
    <s v="Year 1"/>
    <d v="2012-12-31T00:00:00"/>
    <n v="2853926000"/>
    <n v="1329500000"/>
    <n v="220758000"/>
    <n v="0"/>
    <n v="380402000"/>
    <x v="5"/>
    <s v="Water Utilities"/>
    <n v="1524426000"/>
    <n v="601160000"/>
    <n v="923266000"/>
  </r>
  <r>
    <x v="39"/>
    <s v="Year 2"/>
    <d v="2013-12-31T00:00:00"/>
    <n v="2879000000"/>
    <n v="1289000000"/>
    <n v="234000000"/>
    <n v="0"/>
    <n v="407000000"/>
    <x v="5"/>
    <s v="Water Utilities"/>
    <n v="1590000000"/>
    <n v="641000000"/>
    <n v="949000000"/>
  </r>
  <r>
    <x v="39"/>
    <s v="Year 3"/>
    <d v="2014-12-31T00:00:00"/>
    <n v="3011000000"/>
    <n v="1350000000"/>
    <n v="236000000"/>
    <n v="0"/>
    <n v="424000000"/>
    <x v="5"/>
    <s v="Water Utilities"/>
    <n v="1661000000"/>
    <n v="660000000"/>
    <n v="1001000000"/>
  </r>
  <r>
    <x v="39"/>
    <s v="Year 4"/>
    <d v="2015-12-31T00:00:00"/>
    <n v="3159000000"/>
    <n v="1404000000"/>
    <n v="243000000"/>
    <n v="0"/>
    <n v="440000000"/>
    <x v="5"/>
    <s v="Water Utilities"/>
    <n v="1755000000"/>
    <n v="683000000"/>
    <n v="1072000000"/>
  </r>
  <r>
    <x v="40"/>
    <s v="Year 1"/>
    <d v="2012-12-31T00:00:00"/>
    <n v="33781000000"/>
    <n v="480000000"/>
    <n v="23392000000"/>
    <n v="0"/>
    <n v="1712000000"/>
    <x v="6"/>
    <s v="Consumer Finance"/>
    <n v="33301000000"/>
    <n v="25104000000"/>
    <n v="8197000000"/>
  </r>
  <r>
    <x v="40"/>
    <s v="Year 2"/>
    <d v="2013-12-31T00:00:00"/>
    <n v="34828000000"/>
    <n v="442000000"/>
    <n v="23150000000"/>
    <n v="0"/>
    <n v="1832000000"/>
    <x v="6"/>
    <s v="Consumer Finance"/>
    <n v="34386000000"/>
    <n v="24982000000"/>
    <n v="9404000000"/>
  </r>
  <r>
    <x v="40"/>
    <s v="Year 3"/>
    <d v="2014-12-31T00:00:00"/>
    <n v="35895000000"/>
    <n v="373000000"/>
    <n v="23153000000"/>
    <n v="0"/>
    <n v="2044000000"/>
    <x v="6"/>
    <s v="Consumer Finance"/>
    <n v="35522000000"/>
    <n v="25197000000"/>
    <n v="10325000000"/>
  </r>
  <r>
    <x v="40"/>
    <s v="Year 4"/>
    <d v="2015-12-31T00:00:00"/>
    <n v="34441000000"/>
    <n v="475000000"/>
    <n v="22892000000"/>
    <n v="0"/>
    <n v="1988000000"/>
    <x v="6"/>
    <s v="Consumer Finance"/>
    <n v="33966000000"/>
    <n v="24880000000"/>
    <n v="9086000000"/>
  </r>
  <r>
    <x v="41"/>
    <s v="Year 1"/>
    <d v="2013-08-31T00:00:00"/>
    <n v="2089100000"/>
    <n v="1251500000"/>
    <n v="607600000"/>
    <n v="0"/>
    <n v="0"/>
    <x v="0"/>
    <s v="Electrical Components &amp; Equipment"/>
    <n v="837600000"/>
    <n v="607600000"/>
    <n v="230000000"/>
  </r>
  <r>
    <x v="41"/>
    <s v="Year 2"/>
    <d v="2014-08-31T00:00:00"/>
    <n v="2393500000"/>
    <n v="1414300000"/>
    <n v="680300000"/>
    <n v="0"/>
    <n v="0"/>
    <x v="0"/>
    <s v="Electrical Components &amp; Equipment"/>
    <n v="979200000"/>
    <n v="680300000"/>
    <n v="298900000"/>
  </r>
  <r>
    <x v="41"/>
    <s v="Year 3"/>
    <d v="2015-08-31T00:00:00"/>
    <n v="2706700000"/>
    <n v="1561100000"/>
    <n v="756900000"/>
    <n v="0"/>
    <n v="0"/>
    <x v="0"/>
    <s v="Electrical Components &amp; Equipment"/>
    <n v="1145600000"/>
    <n v="756900000"/>
    <n v="388700000"/>
  </r>
  <r>
    <x v="41"/>
    <s v="Year 4"/>
    <d v="2016-08-31T00:00:00"/>
    <n v="3291300000"/>
    <n v="1855100000"/>
    <n v="946000000"/>
    <n v="0"/>
    <n v="0"/>
    <x v="0"/>
    <s v="Electrical Components &amp; Equipment"/>
    <n v="1436200000"/>
    <n v="946000000"/>
    <n v="490200000"/>
  </r>
  <r>
    <x v="42"/>
    <s v="Year 1"/>
    <d v="2013-08-31T00:00:00"/>
    <n v="9147530000"/>
    <n v="4406595000"/>
    <n v="2967837000"/>
    <n v="0"/>
    <n v="0"/>
    <x v="1"/>
    <s v="Specialty Stores"/>
    <n v="4740935000"/>
    <n v="2967837000"/>
    <n v="1773098000"/>
  </r>
  <r>
    <x v="42"/>
    <s v="Year 2"/>
    <d v="2014-08-30T00:00:00"/>
    <n v="9475313000"/>
    <n v="4540406000"/>
    <n v="3104684000"/>
    <n v="0"/>
    <n v="0"/>
    <x v="1"/>
    <s v="Specialty Stores"/>
    <n v="4934907000"/>
    <n v="3104684000"/>
    <n v="1830223000"/>
  </r>
  <r>
    <x v="42"/>
    <s v="Year 3"/>
    <d v="2015-08-29T00:00:00"/>
    <n v="10187340000"/>
    <n v="4860309000"/>
    <n v="3373980000"/>
    <n v="0"/>
    <n v="0"/>
    <x v="1"/>
    <s v="Specialty Stores"/>
    <n v="5327031000"/>
    <n v="3373980000"/>
    <n v="1953051000"/>
  </r>
  <r>
    <x v="42"/>
    <s v="Year 4"/>
    <d v="2016-08-27T00:00:00"/>
    <n v="10635676000"/>
    <n v="5026940000"/>
    <n v="3548341000"/>
    <n v="0"/>
    <n v="0"/>
    <x v="1"/>
    <s v="Specialty Stores"/>
    <n v="5608736000"/>
    <n v="3548341000"/>
    <n v="2060395000"/>
  </r>
  <r>
    <x v="43"/>
    <s v="Year 1"/>
    <d v="2013-12-31T00:00:00"/>
    <n v="86623000000"/>
    <n v="73268000000"/>
    <n v="3742000000"/>
    <n v="3071000000"/>
    <n v="0"/>
    <x v="0"/>
    <s v="Aerospace &amp; Defense"/>
    <n v="13355000000"/>
    <n v="6813000000"/>
    <n v="6542000000"/>
  </r>
  <r>
    <x v="43"/>
    <s v="Year 2"/>
    <d v="2014-12-31T00:00:00"/>
    <n v="90762000000"/>
    <n v="76752000000"/>
    <n v="3480000000"/>
    <n v="3047000000"/>
    <n v="0"/>
    <x v="0"/>
    <s v="Aerospace &amp; Defense"/>
    <n v="14010000000"/>
    <n v="6527000000"/>
    <n v="7483000000"/>
  </r>
  <r>
    <x v="43"/>
    <s v="Year 3"/>
    <d v="2015-12-31T00:00:00"/>
    <n v="96114000000"/>
    <n v="82088000000"/>
    <n v="3251000000"/>
    <n v="3331000000"/>
    <n v="0"/>
    <x v="0"/>
    <s v="Aerospace &amp; Defense"/>
    <n v="14026000000"/>
    <n v="6582000000"/>
    <n v="7444000000"/>
  </r>
  <r>
    <x v="43"/>
    <s v="Year 4"/>
    <d v="2016-12-31T00:00:00"/>
    <n v="94571000000"/>
    <n v="80790000000"/>
    <n v="3313000000"/>
    <n v="4627000000"/>
    <n v="0"/>
    <x v="0"/>
    <s v="Aerospace &amp; Defense"/>
    <n v="13781000000"/>
    <n v="7940000000"/>
    <n v="5841000000"/>
  </r>
  <r>
    <x v="44"/>
    <s v="Year 1"/>
    <d v="2012-12-31T00:00:00"/>
    <n v="100078000000"/>
    <n v="3753000000"/>
    <n v="70829000000"/>
    <n v="0"/>
    <n v="9433000000"/>
    <x v="6"/>
    <s v="Banks"/>
    <n v="96325000000"/>
    <n v="80262000000"/>
    <n v="16063000000"/>
  </r>
  <r>
    <x v="44"/>
    <s v="Year 2"/>
    <d v="2013-12-31T00:00:00"/>
    <n v="101697000000"/>
    <n v="3034000000"/>
    <n v="68128000000"/>
    <n v="0"/>
    <n v="4642000000"/>
    <x v="6"/>
    <s v="Banks"/>
    <n v="98663000000"/>
    <n v="72770000000"/>
    <n v="25893000000"/>
  </r>
  <r>
    <x v="44"/>
    <s v="Year 3"/>
    <d v="2014-12-31T00:00:00"/>
    <n v="95181000000"/>
    <n v="2656000000"/>
    <n v="74181000000"/>
    <n v="0"/>
    <n v="3211000000"/>
    <x v="6"/>
    <s v="Banks"/>
    <n v="92525000000"/>
    <n v="77392000000"/>
    <n v="15133000000"/>
  </r>
  <r>
    <x v="44"/>
    <s v="Year 4"/>
    <d v="2015-12-31T00:00:00"/>
    <n v="93056000000"/>
    <n v="2204000000"/>
    <n v="56358000000"/>
    <n v="0"/>
    <n v="3995000000"/>
    <x v="6"/>
    <s v="Banks"/>
    <n v="90852000000"/>
    <n v="60353000000"/>
    <n v="30499000000"/>
  </r>
  <r>
    <x v="45"/>
    <s v="Year 1"/>
    <d v="2012-12-31T00:00:00"/>
    <n v="13936000000"/>
    <n v="6802000000"/>
    <n v="3283000000"/>
    <n v="1081000000"/>
    <n v="0"/>
    <x v="3"/>
    <s v="Health Care Equipment"/>
    <n v="7134000000"/>
    <n v="4364000000"/>
    <n v="2770000000"/>
  </r>
  <r>
    <x v="45"/>
    <s v="Year 2"/>
    <d v="2013-12-31T00:00:00"/>
    <n v="9413000000"/>
    <n v="5251000000"/>
    <n v="3084000000"/>
    <n v="582000000"/>
    <n v="0"/>
    <x v="3"/>
    <s v="Health Care Equipment"/>
    <n v="4162000000"/>
    <n v="3666000000"/>
    <n v="496000000"/>
  </r>
  <r>
    <x v="45"/>
    <s v="Year 3"/>
    <d v="2014-12-31T00:00:00"/>
    <n v="10719000000"/>
    <n v="6138000000"/>
    <n v="3315000000"/>
    <n v="610000000"/>
    <n v="0"/>
    <x v="3"/>
    <s v="Health Care Equipment"/>
    <n v="4581000000"/>
    <n v="3925000000"/>
    <n v="656000000"/>
  </r>
  <r>
    <x v="45"/>
    <s v="Year 4"/>
    <d v="2015-12-31T00:00:00"/>
    <n v="9968000000"/>
    <n v="5822000000"/>
    <n v="3094000000"/>
    <n v="603000000"/>
    <n v="0"/>
    <x v="3"/>
    <s v="Health Care Equipment"/>
    <n v="4146000000"/>
    <n v="3697000000"/>
    <n v="449000000"/>
  </r>
  <r>
    <x v="46"/>
    <s v="Year 1"/>
    <d v="2013-03-02T00:00:00"/>
    <n v="10914585000"/>
    <n v="6525830000"/>
    <n v="2750537000"/>
    <n v="0"/>
    <n v="0"/>
    <x v="1"/>
    <s v="Specialty Stores"/>
    <n v="4388755000"/>
    <n v="2750537000"/>
    <n v="1638218000"/>
  </r>
  <r>
    <x v="46"/>
    <s v="Year 2"/>
    <d v="2014-03-01T00:00:00"/>
    <n v="11503963000"/>
    <n v="6938381000"/>
    <n v="2950995000"/>
    <n v="0"/>
    <n v="0"/>
    <x v="1"/>
    <s v="Specialty Stores"/>
    <n v="4565582000"/>
    <n v="2950995000"/>
    <n v="1614587000"/>
  </r>
  <r>
    <x v="46"/>
    <s v="Year 3"/>
    <d v="2015-02-28T00:00:00"/>
    <n v="11881176000"/>
    <n v="7261397000"/>
    <n v="3065486000"/>
    <n v="0"/>
    <n v="0"/>
    <x v="1"/>
    <s v="Specialty Stores"/>
    <n v="4619779000"/>
    <n v="3065486000"/>
    <n v="1554293000"/>
  </r>
  <r>
    <x v="46"/>
    <s v="Year 4"/>
    <d v="2016-02-27T00:00:00"/>
    <n v="12103887000"/>
    <n v="7483577000"/>
    <n v="3205407000"/>
    <n v="0"/>
    <n v="0"/>
    <x v="1"/>
    <s v="Specialty Stores"/>
    <n v="4620310000"/>
    <n v="3205407000"/>
    <n v="1414903000"/>
  </r>
  <r>
    <x v="47"/>
    <s v="Year 1"/>
    <d v="2012-12-31T00:00:00"/>
    <n v="10737000000"/>
    <n v="429000000"/>
    <n v="5650000000"/>
    <n v="0"/>
    <n v="1167000000"/>
    <x v="6"/>
    <s v="Banks"/>
    <n v="10308000000"/>
    <n v="6817000000"/>
    <n v="3491000000"/>
  </r>
  <r>
    <x v="47"/>
    <s v="Year 2"/>
    <d v="2013-12-31T00:00:00"/>
    <n v="10543000000"/>
    <n v="301000000"/>
    <n v="5625000000"/>
    <n v="0"/>
    <n v="698000000"/>
    <x v="6"/>
    <s v="Banks"/>
    <n v="10242000000"/>
    <n v="6323000000"/>
    <n v="3919000000"/>
  </r>
  <r>
    <x v="47"/>
    <s v="Year 3"/>
    <d v="2014-12-31T00:00:00"/>
    <n v="9998000000"/>
    <n v="239000000"/>
    <n v="5715000000"/>
    <n v="0"/>
    <n v="342000000"/>
    <x v="6"/>
    <s v="Banks"/>
    <n v="9759000000"/>
    <n v="6057000000"/>
    <n v="3702000000"/>
  </r>
  <r>
    <x v="47"/>
    <s v="Year 4"/>
    <d v="2015-12-31T00:00:00"/>
    <n v="10346000000"/>
    <n v="233000000"/>
    <n v="5996000000"/>
    <n v="0"/>
    <n v="533000000"/>
    <x v="6"/>
    <s v="Banks"/>
    <n v="10113000000"/>
    <n v="6529000000"/>
    <n v="3584000000"/>
  </r>
  <r>
    <x v="48"/>
    <s v="Year 1"/>
    <d v="2012-03-03T00:00:00"/>
    <n v="45457000000"/>
    <n v="34473000000"/>
    <n v="8755000000"/>
    <n v="0"/>
    <n v="0"/>
    <x v="1"/>
    <s v="Computer &amp; Electronics Retail"/>
    <n v="10984000000"/>
    <n v="8755000000"/>
    <n v="2229000000"/>
  </r>
  <r>
    <x v="48"/>
    <s v="Year 2"/>
    <d v="2014-02-01T00:00:00"/>
    <n v="40611000000"/>
    <n v="31212000000"/>
    <n v="8106000000"/>
    <n v="0"/>
    <n v="0"/>
    <x v="1"/>
    <s v="Computer &amp; Electronics Retail"/>
    <n v="9399000000"/>
    <n v="8106000000"/>
    <n v="1293000000"/>
  </r>
  <r>
    <x v="48"/>
    <s v="Year 3"/>
    <d v="2015-01-31T00:00:00"/>
    <n v="40339000000"/>
    <n v="31292000000"/>
    <n v="7592000000"/>
    <n v="0"/>
    <n v="0"/>
    <x v="1"/>
    <s v="Computer &amp; Electronics Retail"/>
    <n v="9047000000"/>
    <n v="7592000000"/>
    <n v="1455000000"/>
  </r>
  <r>
    <x v="48"/>
    <s v="Year 4"/>
    <d v="2016-01-30T00:00:00"/>
    <n v="39528000000"/>
    <n v="30337000000"/>
    <n v="7618000000"/>
    <n v="0"/>
    <n v="0"/>
    <x v="1"/>
    <s v="Computer &amp; Electronics Retail"/>
    <n v="9191000000"/>
    <n v="7618000000"/>
    <n v="1573000000"/>
  </r>
  <r>
    <x v="49"/>
    <s v="Year 1"/>
    <d v="2013-12-31T00:00:00"/>
    <n v="3049500000"/>
    <n v="1194400000"/>
    <n v="920300000"/>
    <n v="295700000"/>
    <n v="0"/>
    <x v="3"/>
    <s v="Health Care Equipment"/>
    <n v="1855100000"/>
    <n v="1216000000"/>
    <n v="639100000"/>
  </r>
  <r>
    <x v="49"/>
    <s v="Year 2"/>
    <d v="2014-12-31T00:00:00"/>
    <n v="3323600000"/>
    <n v="1258600000"/>
    <n v="981500000"/>
    <n v="302000000"/>
    <n v="0"/>
    <x v="3"/>
    <s v="Health Care Equipment"/>
    <n v="2065000000"/>
    <n v="1283500000"/>
    <n v="781500000"/>
  </r>
  <r>
    <x v="49"/>
    <s v="Year 3"/>
    <d v="2015-12-31T00:00:00"/>
    <n v="3416000000"/>
    <n v="1301200000"/>
    <n v="1012100000"/>
    <n v="259200000"/>
    <n v="0"/>
    <x v="3"/>
    <s v="Health Care Equipment"/>
    <n v="2114800000"/>
    <n v="1271300000"/>
    <n v="843500000"/>
  </r>
  <r>
    <x v="49"/>
    <s v="Year 4"/>
    <d v="2016-12-31T00:00:00"/>
    <n v="3714000000"/>
    <n v="1371700000"/>
    <n v="1101900000"/>
    <n v="292800000"/>
    <n v="0"/>
    <x v="3"/>
    <s v="Health Care Equipment"/>
    <n v="2342300000"/>
    <n v="1394700000"/>
    <n v="947600000"/>
  </r>
  <r>
    <x v="50"/>
    <s v="Year 1"/>
    <d v="2013-09-30T00:00:00"/>
    <n v="8054000000"/>
    <n v="3883000000"/>
    <n v="2422000000"/>
    <n v="494000000"/>
    <n v="0"/>
    <x v="3"/>
    <s v="Health Care Equipment"/>
    <n v="4171000000"/>
    <n v="2916000000"/>
    <n v="1255000000"/>
  </r>
  <r>
    <x v="50"/>
    <s v="Year 2"/>
    <d v="2014-09-30T00:00:00"/>
    <n v="8446000000"/>
    <n v="4145000000"/>
    <n v="2145000000"/>
    <n v="550000000"/>
    <n v="0"/>
    <x v="3"/>
    <s v="Health Care Equipment"/>
    <n v="4301000000"/>
    <n v="2695000000"/>
    <n v="1606000000"/>
  </r>
  <r>
    <x v="50"/>
    <s v="Year 3"/>
    <d v="2015-09-30T00:00:00"/>
    <n v="10282000000"/>
    <n v="5587000000"/>
    <n v="2563000000"/>
    <n v="632000000"/>
    <n v="0"/>
    <x v="3"/>
    <s v="Health Care Equipment"/>
    <n v="4695000000"/>
    <n v="3195000000"/>
    <n v="1500000000"/>
  </r>
  <r>
    <x v="50"/>
    <s v="Year 4"/>
    <d v="2016-09-30T00:00:00"/>
    <n v="12483000000"/>
    <n v="6492000000"/>
    <n v="3005000000"/>
    <n v="828000000"/>
    <n v="0"/>
    <x v="3"/>
    <s v="Health Care Equipment"/>
    <n v="5991000000"/>
    <n v="3833000000"/>
    <n v="2158000000"/>
  </r>
  <r>
    <x v="51"/>
    <s v="Year 1"/>
    <d v="2013-12-31T00:00:00"/>
    <n v="22364000000"/>
    <n v="18553000000"/>
    <n v="1306000000"/>
    <n v="556000000"/>
    <n v="0"/>
    <x v="9"/>
    <s v="Oil &amp; Gas Equipment &amp; Services"/>
    <n v="3811000000"/>
    <n v="1862000000"/>
    <n v="1949000000"/>
  </r>
  <r>
    <x v="51"/>
    <s v="Year 2"/>
    <d v="2014-12-31T00:00:00"/>
    <n v="24551000000"/>
    <n v="19746000000"/>
    <n v="1333000000"/>
    <n v="613000000"/>
    <n v="0"/>
    <x v="9"/>
    <s v="Oil &amp; Gas Equipment &amp; Services"/>
    <n v="4805000000"/>
    <n v="1946000000"/>
    <n v="2859000000"/>
  </r>
  <r>
    <x v="51"/>
    <s v="Year 3"/>
    <d v="2015-12-31T00:00:00"/>
    <n v="15742000000"/>
    <n v="14415000000"/>
    <n v="969000000"/>
    <n v="466000000"/>
    <n v="0"/>
    <x v="9"/>
    <s v="Oil &amp; Gas Equipment &amp; Services"/>
    <n v="1327000000"/>
    <n v="1435000000"/>
    <n v="-108000000"/>
  </r>
  <r>
    <x v="51"/>
    <s v="Year 4"/>
    <d v="2016-12-31T00:00:00"/>
    <n v="9841000000"/>
    <n v="9973000000"/>
    <n v="815000000"/>
    <n v="384000000"/>
    <n v="0"/>
    <x v="9"/>
    <s v="Oil &amp; Gas Equipment &amp; Services"/>
    <n v="-132000000"/>
    <n v="1199000000"/>
    <n v="-1331000000"/>
  </r>
  <r>
    <x v="52"/>
    <s v="Year 1"/>
    <d v="2013-12-31T00:00:00"/>
    <n v="6932200000"/>
    <n v="857700000"/>
    <n v="1797000000"/>
    <n v="1444100000"/>
    <n v="342900000"/>
    <x v="3"/>
    <s v="Biotechnology"/>
    <n v="6074500000"/>
    <n v="3584000000"/>
    <n v="2490500000"/>
  </r>
  <r>
    <x v="52"/>
    <s v="Year 2"/>
    <d v="2014-12-31T00:00:00"/>
    <n v="9703300000"/>
    <n v="1171000000"/>
    <n v="2193400000"/>
    <n v="1893400000"/>
    <n v="489800000"/>
    <x v="3"/>
    <s v="Biotechnology"/>
    <n v="8532300000"/>
    <n v="4576600000"/>
    <n v="3955700000"/>
  </r>
  <r>
    <x v="52"/>
    <s v="Year 3"/>
    <d v="2015-12-31T00:00:00"/>
    <n v="10763800000"/>
    <n v="1240400000"/>
    <n v="2143600000"/>
    <n v="2012800000"/>
    <n v="382600000"/>
    <x v="3"/>
    <s v="Biotechnology"/>
    <n v="9523400000"/>
    <n v="4539000000"/>
    <n v="4984400000"/>
  </r>
  <r>
    <x v="52"/>
    <s v="Year 4"/>
    <d v="2016-12-31T00:00:00"/>
    <n v="11448800000"/>
    <n v="1478700000"/>
    <n v="1972900000"/>
    <n v="1973300000"/>
    <n v="385600000"/>
    <x v="3"/>
    <s v="Biotechnology"/>
    <n v="9970100000"/>
    <n v="4331800000"/>
    <n v="5638300000"/>
  </r>
  <r>
    <x v="53"/>
    <s v="Year 1"/>
    <d v="2012-12-31T00:00:00"/>
    <n v="8735700000"/>
    <n v="7174000000"/>
    <n v="488300000"/>
    <n v="0"/>
    <n v="282900000"/>
    <x v="8"/>
    <s v="Metal &amp; Glass Containers"/>
    <n v="1561700000"/>
    <n v="771200000"/>
    <n v="790500000"/>
  </r>
  <r>
    <x v="53"/>
    <s v="Year 2"/>
    <d v="2013-12-31T00:00:00"/>
    <n v="8468100000"/>
    <n v="6875400000"/>
    <n v="497400000"/>
    <n v="0"/>
    <n v="299900000"/>
    <x v="8"/>
    <s v="Metal &amp; Glass Containers"/>
    <n v="1592700000"/>
    <n v="797300000"/>
    <n v="795400000"/>
  </r>
  <r>
    <x v="53"/>
    <s v="Year 3"/>
    <d v="2014-12-31T00:00:00"/>
    <n v="8570000000"/>
    <n v="6903500000"/>
    <n v="547000000"/>
    <n v="0"/>
    <n v="280900000"/>
    <x v="8"/>
    <s v="Metal &amp; Glass Containers"/>
    <n v="1666500000"/>
    <n v="827900000"/>
    <n v="838600000"/>
  </r>
  <r>
    <x v="53"/>
    <s v="Year 4"/>
    <d v="2015-12-31T00:00:00"/>
    <n v="7997000000"/>
    <n v="6460300000"/>
    <n v="646000000"/>
    <n v="0"/>
    <n v="285500000"/>
    <x v="8"/>
    <s v="Metal &amp; Glass Containers"/>
    <n v="1536700000"/>
    <n v="931500000"/>
    <n v="605200000"/>
  </r>
  <r>
    <x v="54"/>
    <s v="Year 1"/>
    <d v="2012-12-31T00:00:00"/>
    <n v="17621000000"/>
    <n v="4610000000"/>
    <n v="5017000000"/>
    <n v="3904000000"/>
    <n v="0"/>
    <x v="3"/>
    <s v="Health Care Distributors"/>
    <n v="13011000000"/>
    <n v="8921000000"/>
    <n v="4090000000"/>
  </r>
  <r>
    <x v="54"/>
    <s v="Year 2"/>
    <d v="2013-12-31T00:00:00"/>
    <n v="16385000000"/>
    <n v="4619000000"/>
    <n v="4939000000"/>
    <n v="3731000000"/>
    <n v="0"/>
    <x v="3"/>
    <s v="Health Care Distributors"/>
    <n v="11766000000"/>
    <n v="8670000000"/>
    <n v="3096000000"/>
  </r>
  <r>
    <x v="54"/>
    <s v="Year 3"/>
    <d v="2014-12-31T00:00:00"/>
    <n v="15879000000"/>
    <n v="3932000000"/>
    <n v="4822000000"/>
    <n v="4534000000"/>
    <n v="0"/>
    <x v="3"/>
    <s v="Health Care Distributors"/>
    <n v="11947000000"/>
    <n v="9356000000"/>
    <n v="2591000000"/>
  </r>
  <r>
    <x v="54"/>
    <s v="Year 4"/>
    <d v="2015-12-31T00:00:00"/>
    <n v="16560000000"/>
    <n v="3909000000"/>
    <n v="4841000000"/>
    <n v="5920000000"/>
    <n v="0"/>
    <x v="3"/>
    <s v="Health Care Distributors"/>
    <n v="12651000000"/>
    <n v="10761000000"/>
    <n v="1890000000"/>
  </r>
  <r>
    <x v="55"/>
    <s v="Year 1"/>
    <d v="2012-12-31T00:00:00"/>
    <n v="7249000000"/>
    <n v="2349000000"/>
    <n v="2529000000"/>
    <n v="886000000"/>
    <n v="395000000"/>
    <x v="3"/>
    <s v="Health Care Equipment"/>
    <n v="4900000000"/>
    <n v="3810000000"/>
    <n v="1090000000"/>
  </r>
  <r>
    <x v="55"/>
    <s v="Year 2"/>
    <d v="2013-12-31T00:00:00"/>
    <n v="7143000000"/>
    <n v="2174000000"/>
    <n v="2678000000"/>
    <n v="861000000"/>
    <n v="410000000"/>
    <x v="3"/>
    <s v="Health Care Equipment"/>
    <n v="4969000000"/>
    <n v="3949000000"/>
    <n v="1020000000"/>
  </r>
  <r>
    <x v="55"/>
    <s v="Year 3"/>
    <d v="2014-12-31T00:00:00"/>
    <n v="7380000000"/>
    <n v="2210000000"/>
    <n v="2817000000"/>
    <n v="817000000"/>
    <n v="438000000"/>
    <x v="3"/>
    <s v="Health Care Equipment"/>
    <n v="5170000000"/>
    <n v="4072000000"/>
    <n v="1098000000"/>
  </r>
  <r>
    <x v="55"/>
    <s v="Year 4"/>
    <d v="2015-12-31T00:00:00"/>
    <n v="7477000000"/>
    <n v="2173000000"/>
    <n v="2996000000"/>
    <n v="876000000"/>
    <n v="495000000"/>
    <x v="3"/>
    <s v="Health Care Equipment"/>
    <n v="5304000000"/>
    <n v="4367000000"/>
    <n v="937000000"/>
  </r>
  <r>
    <x v="56"/>
    <s v="Year 1"/>
    <d v="2013-12-31T00:00:00"/>
    <n v="7436600000"/>
    <n v="5879100000"/>
    <n v="702300000"/>
    <n v="0"/>
    <n v="0"/>
    <x v="1"/>
    <s v="Auto Parts &amp; Equipment"/>
    <n v="1557500000"/>
    <n v="702300000"/>
    <n v="855200000"/>
  </r>
  <r>
    <x v="56"/>
    <s v="Year 2"/>
    <d v="2014-12-31T00:00:00"/>
    <n v="8305100000"/>
    <n v="6548700000"/>
    <n v="792700000"/>
    <n v="0"/>
    <n v="0"/>
    <x v="1"/>
    <s v="Auto Parts &amp; Equipment"/>
    <n v="1756400000"/>
    <n v="792700000"/>
    <n v="963700000"/>
  </r>
  <r>
    <x v="56"/>
    <s v="Year 3"/>
    <d v="2015-12-31T00:00:00"/>
    <n v="8023200000"/>
    <n v="6320100000"/>
    <n v="763400000"/>
    <n v="0"/>
    <n v="0"/>
    <x v="1"/>
    <s v="Auto Parts &amp; Equipment"/>
    <n v="1703100000"/>
    <n v="763400000"/>
    <n v="939700000"/>
  </r>
  <r>
    <x v="56"/>
    <s v="Year 4"/>
    <d v="2016-12-31T00:00:00"/>
    <n v="9071000000"/>
    <n v="7137900000"/>
    <n v="1707200000"/>
    <n v="0"/>
    <n v="0"/>
    <x v="1"/>
    <s v="Auto Parts &amp; Equipment"/>
    <n v="1933100000"/>
    <n v="1707200000"/>
    <n v="225900000"/>
  </r>
  <r>
    <x v="57"/>
    <s v="Year 1"/>
    <d v="2012-12-31T00:00:00"/>
    <n v="1847186000"/>
    <n v="667208000"/>
    <n v="93782000"/>
    <n v="0"/>
    <n v="445875000"/>
    <x v="7"/>
    <s v="REITs"/>
    <n v="1179978000"/>
    <n v="539657000"/>
    <n v="640321000"/>
  </r>
  <r>
    <x v="57"/>
    <s v="Year 2"/>
    <d v="2013-12-31T00:00:00"/>
    <n v="2135539000"/>
    <n v="771403000"/>
    <n v="117073000"/>
    <n v="0"/>
    <n v="560637000"/>
    <x v="7"/>
    <s v="REITs"/>
    <n v="1364136000"/>
    <n v="677710000"/>
    <n v="686426000"/>
  </r>
  <r>
    <x v="57"/>
    <s v="Year 3"/>
    <d v="2014-12-31T00:00:00"/>
    <n v="2396998000"/>
    <n v="864526000"/>
    <n v="102077000"/>
    <n v="0"/>
    <n v="628573000"/>
    <x v="7"/>
    <s v="REITs"/>
    <n v="1532472000"/>
    <n v="730650000"/>
    <n v="801822000"/>
  </r>
  <r>
    <x v="57"/>
    <s v="Year 4"/>
    <d v="2015-12-31T00:00:00"/>
    <n v="2490821000"/>
    <n v="904336000"/>
    <n v="97578000"/>
    <n v="0"/>
    <n v="639542000"/>
    <x v="7"/>
    <s v="REITs"/>
    <n v="1586485000"/>
    <n v="737120000"/>
    <n v="849365000"/>
  </r>
  <r>
    <x v="58"/>
    <s v="Year 1"/>
    <d v="2013-05-26T00:00:00"/>
    <n v="13469300000"/>
    <n v="10104400000"/>
    <n v="2065900000"/>
    <n v="0"/>
    <n v="0"/>
    <x v="4"/>
    <s v="Packaged Foods &amp; Meats"/>
    <n v="3364900000"/>
    <n v="2065900000"/>
    <n v="1299000000"/>
  </r>
  <r>
    <x v="58"/>
    <s v="Year 2"/>
    <d v="2014-05-25T00:00:00"/>
    <n v="11838200000"/>
    <n v="8910800000"/>
    <n v="1778900000"/>
    <n v="0"/>
    <n v="0"/>
    <x v="4"/>
    <s v="Packaged Foods &amp; Meats"/>
    <n v="2927400000"/>
    <n v="1778900000"/>
    <n v="1148500000"/>
  </r>
  <r>
    <x v="58"/>
    <s v="Year 3"/>
    <d v="2015-05-31T00:00:00"/>
    <n v="11937000000"/>
    <n v="9061400000"/>
    <n v="1545300000"/>
    <n v="0"/>
    <n v="0"/>
    <x v="4"/>
    <s v="Packaged Foods &amp; Meats"/>
    <n v="2875600000"/>
    <n v="1545300000"/>
    <n v="1330300000"/>
  </r>
  <r>
    <x v="58"/>
    <s v="Year 4"/>
    <d v="2016-05-29T00:00:00"/>
    <n v="11642900000"/>
    <n v="8552100000"/>
    <n v="2209400000"/>
    <n v="0"/>
    <n v="0"/>
    <x v="4"/>
    <s v="Packaged Foods &amp; Meats"/>
    <n v="3090800000"/>
    <n v="2209400000"/>
    <n v="881400000"/>
  </r>
  <r>
    <x v="59"/>
    <s v="Year 1"/>
    <d v="2013-06-30T00:00:00"/>
    <n v="101093000000"/>
    <n v="96172000000"/>
    <n v="2875000000"/>
    <n v="0"/>
    <n v="158000000"/>
    <x v="3"/>
    <s v="Health Care Distributors"/>
    <n v="4921000000"/>
    <n v="3033000000"/>
    <n v="1888000000"/>
  </r>
  <r>
    <x v="59"/>
    <s v="Year 2"/>
    <d v="2014-06-30T00:00:00"/>
    <n v="91084000000"/>
    <n v="85923000000"/>
    <n v="3028000000"/>
    <n v="0"/>
    <n v="223000000"/>
    <x v="3"/>
    <s v="Health Care Distributors"/>
    <n v="5161000000"/>
    <n v="3251000000"/>
    <n v="1910000000"/>
  </r>
  <r>
    <x v="59"/>
    <s v="Year 3"/>
    <d v="2015-06-30T00:00:00"/>
    <n v="102531000000"/>
    <n v="96819000000"/>
    <n v="3240000000"/>
    <n v="0"/>
    <n v="281000000"/>
    <x v="3"/>
    <s v="Health Care Distributors"/>
    <n v="5712000000"/>
    <n v="3521000000"/>
    <n v="2191000000"/>
  </r>
  <r>
    <x v="59"/>
    <s v="Year 4"/>
    <d v="2016-06-30T00:00:00"/>
    <n v="121546000000"/>
    <n v="115003000000"/>
    <n v="3648000000"/>
    <n v="0"/>
    <n v="459000000"/>
    <x v="3"/>
    <s v="Health Care Distributors"/>
    <n v="6543000000"/>
    <n v="4107000000"/>
    <n v="2436000000"/>
  </r>
  <r>
    <x v="60"/>
    <s v="Year 1"/>
    <d v="2013-12-31T00:00:00"/>
    <n v="55656000000"/>
    <n v="41454000000"/>
    <n v="6528000000"/>
    <n v="2046000000"/>
    <n v="0"/>
    <x v="0"/>
    <s v="Construction &amp; Farm Machinery &amp; Heavy Trucks"/>
    <n v="14202000000"/>
    <n v="8574000000"/>
    <n v="5628000000"/>
  </r>
  <r>
    <x v="60"/>
    <s v="Year 2"/>
    <d v="2014-12-31T00:00:00"/>
    <n v="55184000000"/>
    <n v="41342000000"/>
    <n v="8148000000"/>
    <n v="2380000000"/>
    <n v="0"/>
    <x v="0"/>
    <s v="Construction &amp; Farm Machinery &amp; Heavy Trucks"/>
    <n v="13842000000"/>
    <n v="10528000000"/>
    <n v="3314000000"/>
  </r>
  <r>
    <x v="60"/>
    <s v="Year 3"/>
    <d v="2015-12-31T00:00:00"/>
    <n v="47011000000"/>
    <n v="34133000000"/>
    <n v="6974000000"/>
    <n v="2119000000"/>
    <n v="0"/>
    <x v="0"/>
    <s v="Construction &amp; Farm Machinery &amp; Heavy Trucks"/>
    <n v="12878000000"/>
    <n v="9093000000"/>
    <n v="3785000000"/>
  </r>
  <r>
    <x v="60"/>
    <s v="Year 4"/>
    <d v="2016-12-31T00:00:00"/>
    <n v="38537000000"/>
    <n v="28905000000"/>
    <n v="6588000000"/>
    <n v="1951000000"/>
    <n v="0"/>
    <x v="0"/>
    <s v="Construction &amp; Farm Machinery &amp; Heavy Trucks"/>
    <n v="9632000000"/>
    <n v="8539000000"/>
    <n v="1093000000"/>
  </r>
  <r>
    <x v="61"/>
    <s v="Year 1"/>
    <d v="2012-12-31T00:00:00"/>
    <n v="17936000000"/>
    <n v="12620000000"/>
    <n v="2096000000"/>
    <n v="0"/>
    <n v="6000000"/>
    <x v="6"/>
    <s v="Property &amp; Casualty Insurance"/>
    <n v="5316000000"/>
    <n v="2102000000"/>
    <n v="3214000000"/>
  </r>
  <r>
    <x v="61"/>
    <s v="Year 2"/>
    <d v="2013-12-31T00:00:00"/>
    <n v="19261000000"/>
    <n v="12522000000"/>
    <n v="2211000000"/>
    <n v="0"/>
    <n v="15000000"/>
    <x v="6"/>
    <s v="Property &amp; Casualty Insurance"/>
    <n v="6739000000"/>
    <n v="2226000000"/>
    <n v="4513000000"/>
  </r>
  <r>
    <x v="61"/>
    <s v="Year 3"/>
    <d v="2014-12-31T00:00:00"/>
    <n v="19171000000"/>
    <n v="13241000000"/>
    <n v="2245000000"/>
    <n v="0"/>
    <n v="82000000"/>
    <x v="6"/>
    <s v="Property &amp; Casualty Insurance"/>
    <n v="5930000000"/>
    <n v="2327000000"/>
    <n v="3603000000"/>
  </r>
  <r>
    <x v="61"/>
    <s v="Year 4"/>
    <d v="2015-12-31T00:00:00"/>
    <n v="18987000000"/>
    <n v="12968000000"/>
    <n v="2270000000"/>
    <n v="0"/>
    <n v="120000000"/>
    <x v="6"/>
    <s v="Property &amp; Casualty Insurance"/>
    <n v="6019000000"/>
    <n v="2390000000"/>
    <n v="3629000000"/>
  </r>
  <r>
    <x v="62"/>
    <s v="Year 1"/>
    <d v="2012-12-31T00:00:00"/>
    <n v="6514099000"/>
    <n v="5745428000"/>
    <n v="0"/>
    <n v="0"/>
    <n v="169645000"/>
    <x v="7"/>
    <s v="Real Estate Services"/>
    <n v="768671000"/>
    <n v="169645000"/>
    <n v="599026000"/>
  </r>
  <r>
    <x v="62"/>
    <s v="Year 2"/>
    <d v="2013-12-31T00:00:00"/>
    <n v="7184794000"/>
    <n v="6293699000"/>
    <n v="0"/>
    <n v="0"/>
    <n v="190390000"/>
    <x v="7"/>
    <s v="Real Estate Services"/>
    <n v="891095000"/>
    <n v="190390000"/>
    <n v="700705000"/>
  </r>
  <r>
    <x v="62"/>
    <s v="Year 3"/>
    <d v="2014-12-31T00:00:00"/>
    <n v="9049918000"/>
    <n v="8050222000"/>
    <n v="0"/>
    <n v="0"/>
    <n v="265101000"/>
    <x v="7"/>
    <s v="Real Estate Services"/>
    <n v="999696000"/>
    <n v="265101000"/>
    <n v="734595000"/>
  </r>
  <r>
    <x v="62"/>
    <s v="Year 4"/>
    <d v="2015-12-31T00:00:00"/>
    <n v="10855810000"/>
    <n v="9716541000"/>
    <n v="0"/>
    <n v="0"/>
    <n v="314096000"/>
    <x v="7"/>
    <s v="Real Estate Services"/>
    <n v="1139269000"/>
    <n v="314096000"/>
    <n v="825173000"/>
  </r>
  <r>
    <x v="63"/>
    <s v="Year 1"/>
    <d v="2012-12-31T00:00:00"/>
    <n v="2432680000"/>
    <n v="728989000"/>
    <n v="212572000"/>
    <n v="0"/>
    <n v="622592000"/>
    <x v="7"/>
    <s v="REITs"/>
    <n v="1703691000"/>
    <n v="835164000"/>
    <n v="868527000"/>
  </r>
  <r>
    <x v="63"/>
    <s v="Year 2"/>
    <d v="2013-12-31T00:00:00"/>
    <n v="2865751000"/>
    <n v="991017000"/>
    <n v="213519000"/>
    <n v="0"/>
    <n v="741342000"/>
    <x v="7"/>
    <s v="REITs"/>
    <n v="1874734000"/>
    <n v="954861000"/>
    <n v="919873000"/>
  </r>
  <r>
    <x v="63"/>
    <s v="Year 3"/>
    <d v="2014-12-31T00:00:00"/>
    <n v="3538756000"/>
    <n v="1306606000"/>
    <n v="257296000"/>
    <n v="0"/>
    <n v="985781000"/>
    <x v="7"/>
    <s v="REITs"/>
    <n v="2232150000"/>
    <n v="1243077000"/>
    <n v="989073000"/>
  </r>
  <r>
    <x v="63"/>
    <s v="Year 4"/>
    <d v="2015-12-31T00:00:00"/>
    <n v="3663851000"/>
    <n v="1321426000"/>
    <n v="310921000"/>
    <n v="0"/>
    <n v="1036178000"/>
    <x v="7"/>
    <s v="REITs"/>
    <n v="2342425000"/>
    <n v="1347099000"/>
    <n v="995326000"/>
  </r>
  <r>
    <x v="64"/>
    <s v="Year 1"/>
    <d v="2013-11-30T00:00:00"/>
    <n v="15456000000"/>
    <n v="10645000000"/>
    <n v="1879000000"/>
    <n v="0"/>
    <n v="1590000000"/>
    <x v="1"/>
    <s v="Hotels, Resorts &amp; Cruise Lines"/>
    <n v="4811000000"/>
    <n v="3469000000"/>
    <n v="1342000000"/>
  </r>
  <r>
    <x v="64"/>
    <s v="Year 2"/>
    <d v="2014-11-30T00:00:00"/>
    <n v="15884000000"/>
    <n v="10421000000"/>
    <n v="2054000000"/>
    <n v="0"/>
    <n v="1637000000"/>
    <x v="1"/>
    <s v="Hotels, Resorts &amp; Cruise Lines"/>
    <n v="5463000000"/>
    <n v="3691000000"/>
    <n v="1772000000"/>
  </r>
  <r>
    <x v="64"/>
    <s v="Year 3"/>
    <d v="2015-11-30T00:00:00"/>
    <n v="15714000000"/>
    <n v="9447000000"/>
    <n v="2067000000"/>
    <n v="0"/>
    <n v="1626000000"/>
    <x v="1"/>
    <s v="Hotels, Resorts &amp; Cruise Lines"/>
    <n v="6267000000"/>
    <n v="3693000000"/>
    <n v="2574000000"/>
  </r>
  <r>
    <x v="64"/>
    <s v="Year 4"/>
    <d v="2016-11-30T00:00:00"/>
    <n v="16389000000"/>
    <n v="9383000000"/>
    <n v="2197000000"/>
    <n v="0"/>
    <n v="1738000000"/>
    <x v="1"/>
    <s v="Hotels, Resorts &amp; Cruise Lines"/>
    <n v="7006000000"/>
    <n v="3935000000"/>
    <n v="3071000000"/>
  </r>
  <r>
    <x v="65"/>
    <s v="Year 1"/>
    <d v="2013-12-31T00:00:00"/>
    <n v="6493900000"/>
    <n v="340400000"/>
    <n v="1684500000"/>
    <n v="2226200000"/>
    <n v="262800000"/>
    <x v="3"/>
    <s v="Biotechnology"/>
    <n v="6153500000"/>
    <n v="4173500000"/>
    <n v="1980000000"/>
  </r>
  <r>
    <x v="65"/>
    <s v="Year 2"/>
    <d v="2014-12-31T00:00:00"/>
    <n v="7670400000"/>
    <n v="385900000"/>
    <n v="2027900000"/>
    <n v="2430600000"/>
    <n v="258300000"/>
    <x v="3"/>
    <s v="Biotechnology"/>
    <n v="7284500000"/>
    <n v="4716800000"/>
    <n v="2567700000"/>
  </r>
  <r>
    <x v="65"/>
    <s v="Year 3"/>
    <d v="2015-12-31T00:00:00"/>
    <n v="9256000000"/>
    <n v="420100000"/>
    <n v="2305400000"/>
    <n v="3697300000"/>
    <n v="279000000"/>
    <x v="3"/>
    <s v="Biotechnology"/>
    <n v="8835900000"/>
    <n v="6281700000"/>
    <n v="2554200000"/>
  </r>
  <r>
    <x v="65"/>
    <s v="Year 4"/>
    <d v="2016-12-31T00:00:00"/>
    <n v="11229200000"/>
    <n v="438000000"/>
    <n v="2657700000"/>
    <n v="4470100000"/>
    <n v="459000000"/>
    <x v="3"/>
    <s v="Biotechnology"/>
    <n v="10791200000"/>
    <n v="7586800000"/>
    <n v="3204400000"/>
  </r>
  <r>
    <x v="66"/>
    <s v="Year 1"/>
    <d v="2013-12-28T00:00:00"/>
    <n v="2910748000"/>
    <n v="514722000"/>
    <n v="1468434000"/>
    <n v="338786000"/>
    <n v="12794000"/>
    <x v="3"/>
    <s v="Health Care Technology"/>
    <n v="2396026000"/>
    <n v="1820014000"/>
    <n v="576012000"/>
  </r>
  <r>
    <x v="66"/>
    <s v="Year 2"/>
    <d v="2015-01-03T00:00:00"/>
    <n v="3402703000"/>
    <n v="604377000"/>
    <n v="1628961000"/>
    <n v="392805000"/>
    <n v="13476000"/>
    <x v="3"/>
    <s v="Health Care Technology"/>
    <n v="2798326000"/>
    <n v="2035242000"/>
    <n v="763084000"/>
  </r>
  <r>
    <x v="66"/>
    <s v="Year 3"/>
    <d v="2016-01-02T00:00:00"/>
    <n v="4425267000"/>
    <n v="750781000"/>
    <n v="2262024000"/>
    <n v="539799000"/>
    <n v="91527000"/>
    <x v="3"/>
    <s v="Health Care Technology"/>
    <n v="3674486000"/>
    <n v="2893350000"/>
    <n v="781136000"/>
  </r>
  <r>
    <x v="66"/>
    <s v="Year 4"/>
    <d v="2016-12-31T00:00:00"/>
    <n v="4796473000"/>
    <n v="779116000"/>
    <n v="2464380000"/>
    <n v="551418000"/>
    <n v="90546000"/>
    <x v="3"/>
    <s v="Health Care Technology"/>
    <n v="4017357000"/>
    <n v="3106344000"/>
    <n v="911013000"/>
  </r>
  <r>
    <x v="67"/>
    <s v="Year 1"/>
    <d v="2012-12-31T00:00:00"/>
    <n v="6104000000"/>
    <n v="2990700000"/>
    <n v="200900000"/>
    <n v="0"/>
    <n v="0"/>
    <x v="8"/>
    <s v="Fertilizers &amp; Agricultural Chemicals"/>
    <n v="3113300000"/>
    <n v="200900000"/>
    <n v="2912400000"/>
  </r>
  <r>
    <x v="67"/>
    <s v="Year 2"/>
    <d v="2013-12-31T00:00:00"/>
    <n v="5474700000"/>
    <n v="2954500000"/>
    <n v="150200000"/>
    <n v="0"/>
    <n v="0"/>
    <x v="8"/>
    <s v="Fertilizers &amp; Agricultural Chemicals"/>
    <n v="2520200000"/>
    <n v="150200000"/>
    <n v="2370000000"/>
  </r>
  <r>
    <x v="67"/>
    <s v="Year 3"/>
    <d v="2014-12-31T00:00:00"/>
    <n v="4743200000"/>
    <n v="2964700000"/>
    <n v="205200000"/>
    <n v="0"/>
    <n v="0"/>
    <x v="8"/>
    <s v="Fertilizers &amp; Agricultural Chemicals"/>
    <n v="1778500000"/>
    <n v="205200000"/>
    <n v="1573300000"/>
  </r>
  <r>
    <x v="67"/>
    <s v="Year 4"/>
    <d v="2015-12-31T00:00:00"/>
    <n v="4308300000"/>
    <n v="2761200000"/>
    <n v="319000000"/>
    <n v="0"/>
    <n v="0"/>
    <x v="8"/>
    <s v="Fertilizers &amp; Agricultural Chemicals"/>
    <n v="1547100000"/>
    <n v="319000000"/>
    <n v="1228100000"/>
  </r>
  <r>
    <x v="68"/>
    <s v="Year 1"/>
    <d v="2012-12-31T00:00:00"/>
    <n v="5513000000"/>
    <n v="375000000"/>
    <n v="3380000000"/>
    <n v="0"/>
    <n v="490000000"/>
    <x v="6"/>
    <s v="Regional Banks"/>
    <n v="5138000000"/>
    <n v="3870000000"/>
    <n v="1268000000"/>
  </r>
  <r>
    <x v="68"/>
    <s v="Year 2"/>
    <d v="2013-12-31T00:00:00"/>
    <n v="5133000000"/>
    <n v="216000000"/>
    <n v="3142000000"/>
    <n v="0"/>
    <n v="581000000"/>
    <x v="6"/>
    <s v="Regional Banks"/>
    <n v="4917000000"/>
    <n v="3723000000"/>
    <n v="1194000000"/>
  </r>
  <r>
    <x v="68"/>
    <s v="Year 3"/>
    <d v="2014-12-31T00:00:00"/>
    <n v="5342000000"/>
    <n v="160000000"/>
    <n v="3247000000"/>
    <n v="0"/>
    <n v="464000000"/>
    <x v="6"/>
    <s v="Regional Banks"/>
    <n v="5182000000"/>
    <n v="3711000000"/>
    <n v="1471000000"/>
  </r>
  <r>
    <x v="68"/>
    <s v="Year 4"/>
    <d v="2015-12-31T00:00:00"/>
    <n v="5276000000"/>
    <n v="237000000"/>
    <n v="3113000000"/>
    <n v="0"/>
    <n v="448000000"/>
    <x v="6"/>
    <s v="Regional Banks"/>
    <n v="5039000000"/>
    <n v="3561000000"/>
    <n v="1478000000"/>
  </r>
  <r>
    <x v="69"/>
    <s v="Year 1"/>
    <d v="2012-12-31T00:00:00"/>
    <n v="2921900000"/>
    <n v="1630500000"/>
    <n v="746300000"/>
    <n v="0"/>
    <n v="0"/>
    <x v="4"/>
    <s v="Household Products"/>
    <n v="1291400000"/>
    <n v="746300000"/>
    <n v="545100000"/>
  </r>
  <r>
    <x v="69"/>
    <s v="Year 2"/>
    <d v="2013-12-31T00:00:00"/>
    <n v="3194300000"/>
    <n v="1756300000"/>
    <n v="815800000"/>
    <n v="0"/>
    <n v="0"/>
    <x v="4"/>
    <s v="Household Products"/>
    <n v="1438000000"/>
    <n v="815800000"/>
    <n v="622200000"/>
  </r>
  <r>
    <x v="69"/>
    <s v="Year 3"/>
    <d v="2014-12-31T00:00:00"/>
    <n v="3297600000"/>
    <n v="1844700000"/>
    <n v="811700000"/>
    <n v="0"/>
    <n v="0"/>
    <x v="4"/>
    <s v="Household Products"/>
    <n v="1452900000"/>
    <n v="811700000"/>
    <n v="641200000"/>
  </r>
  <r>
    <x v="69"/>
    <s v="Year 4"/>
    <d v="2015-12-31T00:00:00"/>
    <n v="3394800000"/>
    <n v="1883000000"/>
    <n v="837600000"/>
    <n v="0"/>
    <n v="0"/>
    <x v="4"/>
    <s v="Household Products"/>
    <n v="1511800000"/>
    <n v="837600000"/>
    <n v="674200000"/>
  </r>
  <r>
    <x v="70"/>
    <s v="Year 1"/>
    <d v="2012-12-31T00:00:00"/>
    <n v="12316000000"/>
    <n v="7081000000"/>
    <n v="723000000"/>
    <n v="0"/>
    <n v="2811000000"/>
    <x v="9"/>
    <s v="Integrated Oil &amp; Gas"/>
    <n v="5235000000"/>
    <n v="3534000000"/>
    <n v="1701000000"/>
  </r>
  <r>
    <x v="70"/>
    <s v="Year 2"/>
    <d v="2013-12-31T00:00:00"/>
    <n v="19080000000"/>
    <n v="12930000000"/>
    <n v="686000000"/>
    <n v="0"/>
    <n v="2903000000"/>
    <x v="9"/>
    <s v="Integrated Oil &amp; Gas"/>
    <n v="6150000000"/>
    <n v="3589000000"/>
    <n v="2561000000"/>
  </r>
  <r>
    <x v="70"/>
    <s v="Year 3"/>
    <d v="2014-12-31T00:00:00"/>
    <n v="23125000000"/>
    <n v="16049000000"/>
    <n v="554000000"/>
    <n v="0"/>
    <n v="2915000000"/>
    <x v="9"/>
    <s v="Integrated Oil &amp; Gas"/>
    <n v="7076000000"/>
    <n v="3469000000"/>
    <n v="3607000000"/>
  </r>
  <r>
    <x v="70"/>
    <s v="Year 4"/>
    <d v="2015-12-31T00:00:00"/>
    <n v="12764000000"/>
    <n v="10295000000"/>
    <n v="334000000"/>
    <n v="0"/>
    <n v="2229000000"/>
    <x v="9"/>
    <s v="Integrated Oil &amp; Gas"/>
    <n v="2469000000"/>
    <n v="2563000000"/>
    <n v="-94000000"/>
  </r>
  <r>
    <x v="71"/>
    <s v="Year 1"/>
    <d v="2012-12-31T00:00:00"/>
    <n v="11359113000"/>
    <n v="9641542000"/>
    <n v="1042251000"/>
    <n v="0"/>
    <n v="0"/>
    <x v="0"/>
    <s v="Air Freight &amp; Logistics"/>
    <n v="1717571000"/>
    <n v="1042251000"/>
    <n v="675320000"/>
  </r>
  <r>
    <x v="71"/>
    <s v="Year 2"/>
    <d v="2013-12-31T00:00:00"/>
    <n v="12752076000"/>
    <n v="10915981000"/>
    <n v="1153445000"/>
    <n v="0"/>
    <n v="0"/>
    <x v="0"/>
    <s v="Air Freight &amp; Logistics"/>
    <n v="1836095000"/>
    <n v="1153445000"/>
    <n v="682650000"/>
  </r>
  <r>
    <x v="71"/>
    <s v="Year 3"/>
    <d v="2014-12-31T00:00:00"/>
    <n v="13470067000"/>
    <n v="11462415000"/>
    <n v="1259234000"/>
    <n v="0"/>
    <n v="0"/>
    <x v="0"/>
    <s v="Air Freight &amp; Logistics"/>
    <n v="2007652000"/>
    <n v="1259234000"/>
    <n v="748418000"/>
  </r>
  <r>
    <x v="71"/>
    <s v="Year 4"/>
    <d v="2015-12-31T00:00:00"/>
    <n v="13476084000"/>
    <n v="11207604000"/>
    <n v="1410170000"/>
    <n v="0"/>
    <n v="0"/>
    <x v="0"/>
    <s v="Air Freight &amp; Logistics"/>
    <n v="2268480000"/>
    <n v="1410170000"/>
    <n v="858310000"/>
  </r>
  <r>
    <x v="72"/>
    <s v="Year 1"/>
    <d v="2013-12-31T00:00:00"/>
    <n v="8155000000"/>
    <n v="5345000000"/>
    <n v="47000000"/>
    <n v="0"/>
    <n v="1854000000"/>
    <x v="1"/>
    <s v="Cable &amp; Satellite"/>
    <n v="2810000000"/>
    <n v="1901000000"/>
    <n v="909000000"/>
  </r>
  <r>
    <x v="72"/>
    <s v="Year 2"/>
    <d v="2014-12-31T00:00:00"/>
    <n v="9108000000"/>
    <n v="5973000000"/>
    <n v="62000000"/>
    <n v="0"/>
    <n v="2102000000"/>
    <x v="1"/>
    <s v="Cable &amp; Satellite"/>
    <n v="3135000000"/>
    <n v="2164000000"/>
    <n v="971000000"/>
  </r>
  <r>
    <x v="72"/>
    <s v="Year 3"/>
    <d v="2015-12-31T00:00:00"/>
    <n v="9754000000"/>
    <n v="6426000000"/>
    <n v="89000000"/>
    <n v="0"/>
    <n v="2125000000"/>
    <x v="1"/>
    <s v="Cable &amp; Satellite"/>
    <n v="3328000000"/>
    <n v="2214000000"/>
    <n v="1114000000"/>
  </r>
  <r>
    <x v="72"/>
    <s v="Year 4"/>
    <d v="2016-12-31T00:00:00"/>
    <n v="29003000000"/>
    <n v="18655000000"/>
    <n v="86000000"/>
    <n v="0"/>
    <n v="6907000000"/>
    <x v="1"/>
    <s v="Cable &amp; Satellite"/>
    <n v="10348000000"/>
    <n v="6993000000"/>
    <n v="3355000000"/>
  </r>
  <r>
    <x v="73"/>
    <s v="Year 1"/>
    <d v="2012-12-31T00:00:00"/>
    <n v="29119000000"/>
    <n v="17900000000"/>
    <n v="0"/>
    <n v="0"/>
    <n v="8742000000"/>
    <x v="3"/>
    <s v="Managed Health Care"/>
    <n v="11219000000"/>
    <n v="8742000000"/>
    <n v="2477000000"/>
  </r>
  <r>
    <x v="73"/>
    <s v="Year 2"/>
    <d v="2013-12-31T00:00:00"/>
    <n v="32380000000"/>
    <n v="20865000000"/>
    <n v="0"/>
    <n v="0"/>
    <n v="9339000000"/>
    <x v="3"/>
    <s v="Managed Health Care"/>
    <n v="11515000000"/>
    <n v="9339000000"/>
    <n v="2176000000"/>
  </r>
  <r>
    <x v="73"/>
    <s v="Year 3"/>
    <d v="2014-12-31T00:00:00"/>
    <n v="34914000000"/>
    <n v="21334000000"/>
    <n v="0"/>
    <n v="0"/>
    <n v="10276000000"/>
    <x v="3"/>
    <s v="Managed Health Care"/>
    <n v="13580000000"/>
    <n v="10276000000"/>
    <n v="3304000000"/>
  </r>
  <r>
    <x v="73"/>
    <s v="Year 4"/>
    <d v="2015-12-31T00:00:00"/>
    <n v="37876000000"/>
    <n v="23290000000"/>
    <n v="0"/>
    <n v="0"/>
    <n v="11259000000"/>
    <x v="3"/>
    <s v="Managed Health Care"/>
    <n v="14586000000"/>
    <n v="11259000000"/>
    <n v="3327000000"/>
  </r>
  <r>
    <x v="74"/>
    <s v="Year 1"/>
    <d v="2012-12-31T00:00:00"/>
    <n v="4111000000"/>
    <n v="3477000000"/>
    <n v="0"/>
    <n v="0"/>
    <n v="14000000"/>
    <x v="6"/>
    <s v="Property &amp; Casualty Insurance"/>
    <n v="634000000"/>
    <n v="14000000"/>
    <n v="620000000"/>
  </r>
  <r>
    <x v="74"/>
    <s v="Year 2"/>
    <d v="2013-12-31T00:00:00"/>
    <n v="4531000000"/>
    <n v="3748000000"/>
    <n v="0"/>
    <n v="0"/>
    <n v="15000000"/>
    <x v="6"/>
    <s v="Property &amp; Casualty Insurance"/>
    <n v="783000000"/>
    <n v="15000000"/>
    <n v="768000000"/>
  </r>
  <r>
    <x v="74"/>
    <s v="Year 3"/>
    <d v="2014-12-31T00:00:00"/>
    <n v="4945000000"/>
    <n v="4157000000"/>
    <n v="0"/>
    <n v="0"/>
    <n v="14000000"/>
    <x v="6"/>
    <s v="Property &amp; Casualty Insurance"/>
    <n v="788000000"/>
    <n v="14000000"/>
    <n v="774000000"/>
  </r>
  <r>
    <x v="74"/>
    <s v="Year 4"/>
    <d v="2015-12-31T00:00:00"/>
    <n v="5142000000"/>
    <n v="4195000000"/>
    <n v="0"/>
    <n v="0"/>
    <n v="13000000"/>
    <x v="6"/>
    <s v="Property &amp; Casualty Insurance"/>
    <n v="947000000"/>
    <n v="13000000"/>
    <n v="934000000"/>
  </r>
  <r>
    <x v="75"/>
    <s v="Year 1"/>
    <d v="2012-12-31T00:00:00"/>
    <n v="17085000000"/>
    <n v="7153000000"/>
    <n v="6043000000"/>
    <n v="0"/>
    <n v="0"/>
    <x v="4"/>
    <s v="Household Products"/>
    <n v="9932000000"/>
    <n v="6043000000"/>
    <n v="3889000000"/>
  </r>
  <r>
    <x v="75"/>
    <s v="Year 2"/>
    <d v="2013-12-31T00:00:00"/>
    <n v="17420000000"/>
    <n v="7219000000"/>
    <n v="6645000000"/>
    <n v="0"/>
    <n v="0"/>
    <x v="4"/>
    <s v="Household Products"/>
    <n v="10201000000"/>
    <n v="6645000000"/>
    <n v="3556000000"/>
  </r>
  <r>
    <x v="75"/>
    <s v="Year 3"/>
    <d v="2014-12-31T00:00:00"/>
    <n v="17277000000"/>
    <n v="7168000000"/>
    <n v="6552000000"/>
    <n v="0"/>
    <n v="0"/>
    <x v="4"/>
    <s v="Household Products"/>
    <n v="10109000000"/>
    <n v="6552000000"/>
    <n v="3557000000"/>
  </r>
  <r>
    <x v="75"/>
    <s v="Year 4"/>
    <d v="2015-12-31T00:00:00"/>
    <n v="16034000000"/>
    <n v="6635000000"/>
    <n v="6610000000"/>
    <n v="0"/>
    <n v="0"/>
    <x v="4"/>
    <s v="Household Products"/>
    <n v="9399000000"/>
    <n v="6610000000"/>
    <n v="2789000000"/>
  </r>
  <r>
    <x v="76"/>
    <s v="Year 1"/>
    <d v="2013-06-30T00:00:00"/>
    <n v="5533000000"/>
    <n v="3142000000"/>
    <n v="1291000000"/>
    <n v="130000000"/>
    <n v="0"/>
    <x v="4"/>
    <s v="Household Products"/>
    <n v="2391000000"/>
    <n v="1421000000"/>
    <n v="970000000"/>
  </r>
  <r>
    <x v="76"/>
    <s v="Year 2"/>
    <d v="2014-06-30T00:00:00"/>
    <n v="5514000000"/>
    <n v="3158000000"/>
    <n v="1254000000"/>
    <n v="125000000"/>
    <n v="0"/>
    <x v="4"/>
    <s v="Household Products"/>
    <n v="2356000000"/>
    <n v="1379000000"/>
    <n v="977000000"/>
  </r>
  <r>
    <x v="76"/>
    <s v="Year 3"/>
    <d v="2015-06-30T00:00:00"/>
    <n v="5655000000"/>
    <n v="3190000000"/>
    <n v="1321000000"/>
    <n v="136000000"/>
    <n v="0"/>
    <x v="4"/>
    <s v="Household Products"/>
    <n v="2465000000"/>
    <n v="1457000000"/>
    <n v="1008000000"/>
  </r>
  <r>
    <x v="76"/>
    <s v="Year 4"/>
    <d v="2016-06-30T00:00:00"/>
    <n v="5761000000"/>
    <n v="3163000000"/>
    <n v="1393000000"/>
    <n v="141000000"/>
    <n v="0"/>
    <x v="4"/>
    <s v="Household Products"/>
    <n v="2598000000"/>
    <n v="1534000000"/>
    <n v="1064000000"/>
  </r>
  <r>
    <x v="77"/>
    <s v="Year 1"/>
    <d v="2013-12-31T00:00:00"/>
    <n v="2666000000"/>
    <n v="55000000"/>
    <n v="1670000000"/>
    <n v="0"/>
    <n v="46000000"/>
    <x v="6"/>
    <s v="Regional Banks"/>
    <n v="2611000000"/>
    <n v="1716000000"/>
    <n v="895000000"/>
  </r>
  <r>
    <x v="77"/>
    <s v="Year 2"/>
    <d v="2014-12-31T00:00:00"/>
    <n v="2607000000"/>
    <n v="45000000"/>
    <n v="1611000000"/>
    <n v="0"/>
    <n v="27000000"/>
    <x v="6"/>
    <s v="Regional Banks"/>
    <n v="2562000000"/>
    <n v="1638000000"/>
    <n v="924000000"/>
  </r>
  <r>
    <x v="77"/>
    <s v="Year 3"/>
    <d v="2015-12-31T00:00:00"/>
    <n v="2819000000"/>
    <n v="43000000"/>
    <n v="1859000000"/>
    <n v="0"/>
    <n v="147000000"/>
    <x v="6"/>
    <s v="Regional Banks"/>
    <n v="2776000000"/>
    <n v="2006000000"/>
    <n v="770000000"/>
  </r>
  <r>
    <x v="77"/>
    <s v="Year 4"/>
    <d v="2016-12-31T00:00:00"/>
    <n v="2960000000"/>
    <n v="40000000"/>
    <n v="1836000000"/>
    <n v="0"/>
    <n v="248000000"/>
    <x v="6"/>
    <s v="Regional Banks"/>
    <n v="2920000000"/>
    <n v="2084000000"/>
    <n v="836000000"/>
  </r>
  <r>
    <x v="78"/>
    <s v="Year 1"/>
    <d v="2013-12-31T00:00:00"/>
    <n v="3214591000"/>
    <n v="2359822000"/>
    <n v="203733000"/>
    <n v="0"/>
    <n v="96054000"/>
    <x v="1"/>
    <s v="Restaurants"/>
    <n v="854769000"/>
    <n v="299787000"/>
    <n v="554982000"/>
  </r>
  <r>
    <x v="78"/>
    <s v="Year 2"/>
    <d v="2014-12-31T00:00:00"/>
    <n v="4108269000"/>
    <n v="2990513000"/>
    <n v="273897000"/>
    <n v="0"/>
    <n v="110474000"/>
    <x v="1"/>
    <s v="Restaurants"/>
    <n v="1117756000"/>
    <n v="384371000"/>
    <n v="733385000"/>
  </r>
  <r>
    <x v="78"/>
    <s v="Year 3"/>
    <d v="2015-12-31T00:00:00"/>
    <n v="4501223000"/>
    <n v="3326936000"/>
    <n v="250214000"/>
    <n v="0"/>
    <n v="130368000"/>
    <x v="1"/>
    <s v="Restaurants"/>
    <n v="1174287000"/>
    <n v="380582000"/>
    <n v="793705000"/>
  </r>
  <r>
    <x v="78"/>
    <s v="Year 4"/>
    <d v="2016-12-31T00:00:00"/>
    <n v="3904384000"/>
    <n v="3406170000"/>
    <n v="276240000"/>
    <n v="0"/>
    <n v="146368000"/>
    <x v="1"/>
    <s v="Restaurants"/>
    <n v="498214000"/>
    <n v="422608000"/>
    <n v="75606000"/>
  </r>
  <r>
    <x v="79"/>
    <s v="Year 1"/>
    <d v="2013-12-31T00:00:00"/>
    <n v="17301000000"/>
    <n v="13021000000"/>
    <n v="1827000000"/>
    <n v="713000000"/>
    <n v="0"/>
    <x v="0"/>
    <s v="Industrial Machinery"/>
    <n v="4280000000"/>
    <n v="2540000000"/>
    <n v="1740000000"/>
  </r>
  <r>
    <x v="79"/>
    <s v="Year 2"/>
    <d v="2014-12-31T00:00:00"/>
    <n v="19221000000"/>
    <n v="14360000000"/>
    <n v="2112000000"/>
    <n v="754000000"/>
    <n v="0"/>
    <x v="0"/>
    <s v="Industrial Machinery"/>
    <n v="4861000000"/>
    <n v="2866000000"/>
    <n v="1995000000"/>
  </r>
  <r>
    <x v="79"/>
    <s v="Year 3"/>
    <d v="2015-12-31T00:00:00"/>
    <n v="19110000000"/>
    <n v="14163000000"/>
    <n v="2169000000"/>
    <n v="735000000"/>
    <n v="0"/>
    <x v="0"/>
    <s v="Industrial Machinery"/>
    <n v="4947000000"/>
    <n v="2904000000"/>
    <n v="2043000000"/>
  </r>
  <r>
    <x v="79"/>
    <s v="Year 4"/>
    <d v="2016-12-31T00:00:00"/>
    <n v="17509000000"/>
    <n v="13057000000"/>
    <n v="2189000000"/>
    <n v="636000000"/>
    <n v="0"/>
    <x v="0"/>
    <s v="Industrial Machinery"/>
    <n v="4452000000"/>
    <n v="2825000000"/>
    <n v="1627000000"/>
  </r>
  <r>
    <x v="80"/>
    <s v="Year 1"/>
    <d v="2013-12-31T00:00:00"/>
    <n v="6566000000"/>
    <n v="4562000000"/>
    <n v="234000000"/>
    <n v="0"/>
    <n v="628000000"/>
    <x v="5"/>
    <s v="MultiUtilities"/>
    <n v="2004000000"/>
    <n v="862000000"/>
    <n v="1142000000"/>
  </r>
  <r>
    <x v="80"/>
    <s v="Year 2"/>
    <d v="2014-12-31T00:00:00"/>
    <n v="7179000000"/>
    <n v="5090000000"/>
    <n v="252000000"/>
    <n v="0"/>
    <n v="685000000"/>
    <x v="5"/>
    <s v="MultiUtilities"/>
    <n v="2089000000"/>
    <n v="937000000"/>
    <n v="1152000000"/>
  </r>
  <r>
    <x v="80"/>
    <s v="Year 3"/>
    <d v="2015-12-31T00:00:00"/>
    <n v="6456000000"/>
    <n v="4281000000"/>
    <n v="262000000"/>
    <n v="0"/>
    <n v="750000000"/>
    <x v="5"/>
    <s v="MultiUtilities"/>
    <n v="2175000000"/>
    <n v="1012000000"/>
    <n v="1163000000"/>
  </r>
  <r>
    <x v="80"/>
    <s v="Year 4"/>
    <d v="2016-12-31T00:00:00"/>
    <n v="6399000000"/>
    <n v="4010000000"/>
    <n v="281000000"/>
    <n v="0"/>
    <n v="811000000"/>
    <x v="5"/>
    <s v="MultiUtilities"/>
    <n v="2389000000"/>
    <n v="1092000000"/>
    <n v="1297000000"/>
  </r>
  <r>
    <x v="81"/>
    <s v="Year 1"/>
    <d v="2012-12-31T00:00:00"/>
    <n v="8110000000"/>
    <n v="6781000000"/>
    <n v="1105000000"/>
    <n v="0"/>
    <n v="88000000"/>
    <x v="3"/>
    <s v="Managed Health Care"/>
    <n v="1329000000"/>
    <n v="1193000000"/>
    <n v="136000000"/>
  </r>
  <r>
    <x v="81"/>
    <s v="Year 2"/>
    <d v="2013-12-31T00:00:00"/>
    <n v="10863000000"/>
    <n v="8995000000"/>
    <n v="1264000000"/>
    <n v="0"/>
    <n v="327000000"/>
    <x v="3"/>
    <s v="Managed Health Care"/>
    <n v="1868000000"/>
    <n v="1591000000"/>
    <n v="277000000"/>
  </r>
  <r>
    <x v="81"/>
    <s v="Year 3"/>
    <d v="2014-12-31T00:00:00"/>
    <n v="16560000000"/>
    <n v="12678000000"/>
    <n v="2012000000"/>
    <n v="0"/>
    <n v="1406000000"/>
    <x v="3"/>
    <s v="Managed Health Care"/>
    <n v="3882000000"/>
    <n v="3418000000"/>
    <n v="464000000"/>
  </r>
  <r>
    <x v="81"/>
    <s v="Year 4"/>
    <d v="2015-12-31T00:00:00"/>
    <n v="22760000000"/>
    <n v="17242000000"/>
    <n v="2977000000"/>
    <n v="0"/>
    <n v="1836000000"/>
    <x v="3"/>
    <s v="Managed Health Care"/>
    <n v="5518000000"/>
    <n v="4813000000"/>
    <n v="705000000"/>
  </r>
  <r>
    <x v="82"/>
    <s v="Year 1"/>
    <d v="2012-12-31T00:00:00"/>
    <n v="7452000000"/>
    <n v="4747000000"/>
    <n v="365000000"/>
    <n v="0"/>
    <n v="1050000000"/>
    <x v="5"/>
    <s v="MultiUtilities"/>
    <n v="2705000000"/>
    <n v="1415000000"/>
    <n v="1290000000"/>
  </r>
  <r>
    <x v="82"/>
    <s v="Year 2"/>
    <d v="2013-12-31T00:00:00"/>
    <n v="8106000000"/>
    <n v="5755000000"/>
    <n v="387000000"/>
    <n v="0"/>
    <n v="954000000"/>
    <x v="5"/>
    <s v="MultiUtilities"/>
    <n v="2351000000"/>
    <n v="1341000000"/>
    <n v="1010000000"/>
  </r>
  <r>
    <x v="82"/>
    <s v="Year 3"/>
    <d v="2014-12-31T00:00:00"/>
    <n v="9226000000"/>
    <n v="6890000000"/>
    <n v="388000000"/>
    <n v="0"/>
    <n v="1013000000"/>
    <x v="5"/>
    <s v="MultiUtilities"/>
    <n v="2336000000"/>
    <n v="1401000000"/>
    <n v="935000000"/>
  </r>
  <r>
    <x v="82"/>
    <s v="Year 4"/>
    <d v="2015-12-31T00:00:00"/>
    <n v="7386000000"/>
    <n v="5109000000"/>
    <n v="374000000"/>
    <n v="0"/>
    <n v="970000000"/>
    <x v="5"/>
    <s v="MultiUtilities"/>
    <n v="2277000000"/>
    <n v="1344000000"/>
    <n v="933000000"/>
  </r>
  <r>
    <x v="83"/>
    <s v="Year 1"/>
    <d v="2012-12-31T00:00:00"/>
    <n v="23771000000"/>
    <n v="1403000000"/>
    <n v="11188000000"/>
    <n v="0"/>
    <n v="5024000000"/>
    <x v="6"/>
    <s v="Consumer Finance"/>
    <n v="22368000000"/>
    <n v="16212000000"/>
    <n v="6156000000"/>
  </r>
  <r>
    <x v="83"/>
    <s v="Year 2"/>
    <d v="2013-12-31T00:00:00"/>
    <n v="24176000000"/>
    <n v="1241000000"/>
    <n v="11682000000"/>
    <n v="0"/>
    <n v="4124000000"/>
    <x v="6"/>
    <s v="Consumer Finance"/>
    <n v="22935000000"/>
    <n v="15806000000"/>
    <n v="7129000000"/>
  </r>
  <r>
    <x v="83"/>
    <s v="Year 3"/>
    <d v="2014-12-31T00:00:00"/>
    <n v="23869000000"/>
    <n v="1088000000"/>
    <n v="11648000000"/>
    <n v="0"/>
    <n v="4073000000"/>
    <x v="6"/>
    <s v="Consumer Finance"/>
    <n v="22781000000"/>
    <n v="15721000000"/>
    <n v="7060000000"/>
  </r>
  <r>
    <x v="83"/>
    <s v="Year 4"/>
    <d v="2015-12-31T00:00:00"/>
    <n v="25038000000"/>
    <n v="1091000000"/>
    <n v="12566000000"/>
    <n v="0"/>
    <n v="4966000000"/>
    <x v="6"/>
    <s v="Consumer Finance"/>
    <n v="23947000000"/>
    <n v="17532000000"/>
    <n v="6415000000"/>
  </r>
  <r>
    <x v="84"/>
    <s v="Year 1"/>
    <d v="2012-12-31T00:00:00"/>
    <n v="1204546000"/>
    <n v="290054000"/>
    <n v="170113000"/>
    <n v="0"/>
    <n v="451405000"/>
    <x v="9"/>
    <s v="Oil &amp; Gas Exploration &amp; Production"/>
    <n v="914492000"/>
    <n v="621518000"/>
    <n v="292974000"/>
  </r>
  <r>
    <x v="84"/>
    <s v="Year 2"/>
    <d v="2013-12-31T00:00:00"/>
    <n v="1746278000"/>
    <n v="400281000"/>
    <n v="147651000"/>
    <n v="0"/>
    <n v="651052000"/>
    <x v="9"/>
    <s v="Oil &amp; Gas Exploration &amp; Production"/>
    <n v="1345997000"/>
    <n v="798703000"/>
    <n v="547294000"/>
  </r>
  <r>
    <x v="84"/>
    <s v="Year 3"/>
    <d v="2014-12-31T00:00:00"/>
    <n v="2173011000"/>
    <n v="524880000"/>
    <n v="129602000"/>
    <n v="0"/>
    <n v="632760000"/>
    <x v="9"/>
    <s v="Oil &amp; Gas Exploration &amp; Production"/>
    <n v="1648131000"/>
    <n v="762362000"/>
    <n v="885769000"/>
  </r>
  <r>
    <x v="84"/>
    <s v="Year 4"/>
    <d v="2015-12-31T00:00:00"/>
    <n v="1357150000"/>
    <n v="580994000"/>
    <n v="112253000"/>
    <n v="0"/>
    <n v="622211000"/>
    <x v="9"/>
    <s v="Oil &amp; Gas Exploration &amp; Production"/>
    <n v="776156000"/>
    <n v="734464000"/>
    <n v="41692000"/>
  </r>
  <r>
    <x v="85"/>
    <s v="Year 1"/>
    <d v="2013-09-30T00:00:00"/>
    <n v="4474000000"/>
    <n v="3103000000"/>
    <n v="495000000"/>
    <n v="0"/>
    <n v="0"/>
    <x v="0"/>
    <s v="Industrial Conglomerates"/>
    <n v="1371000000"/>
    <n v="495000000"/>
    <n v="876000000"/>
  </r>
  <r>
    <x v="85"/>
    <s v="Year 2"/>
    <d v="2014-09-30T00:00:00"/>
    <n v="4979000000"/>
    <n v="3469000000"/>
    <n v="594000000"/>
    <n v="0"/>
    <n v="0"/>
    <x v="0"/>
    <s v="Industrial Conglomerates"/>
    <n v="1510000000"/>
    <n v="594000000"/>
    <n v="916000000"/>
  </r>
  <r>
    <x v="85"/>
    <s v="Year 3"/>
    <d v="2015-09-30T00:00:00"/>
    <n v="5244000000"/>
    <n v="3630000000"/>
    <n v="606000000"/>
    <n v="0"/>
    <n v="0"/>
    <x v="0"/>
    <s v="Industrial Conglomerates"/>
    <n v="1614000000"/>
    <n v="606000000"/>
    <n v="1008000000"/>
  </r>
  <r>
    <x v="85"/>
    <s v="Year 4"/>
    <d v="2016-09-30T00:00:00"/>
    <n v="5259000000"/>
    <n v="3642000000"/>
    <n v="638000000"/>
    <n v="0"/>
    <n v="0"/>
    <x v="0"/>
    <s v="Industrial Conglomerates"/>
    <n v="1617000000"/>
    <n v="638000000"/>
    <n v="979000000"/>
  </r>
  <r>
    <x v="86"/>
    <s v="Year 1"/>
    <d v="2013-10-31T00:00:00"/>
    <n v="1587725000"/>
    <n v="560917000"/>
    <n v="610735000"/>
    <n v="58827000"/>
    <n v="30239000"/>
    <x v="3"/>
    <s v="Health Care Supplies"/>
    <n v="1026808000"/>
    <n v="699801000"/>
    <n v="327007000"/>
  </r>
  <r>
    <x v="86"/>
    <s v="Year 2"/>
    <d v="2014-10-31T00:00:00"/>
    <n v="1717776000"/>
    <n v="626206000"/>
    <n v="683115000"/>
    <n v="66259000"/>
    <n v="35710000"/>
    <x v="3"/>
    <s v="Health Care Supplies"/>
    <n v="1091570000"/>
    <n v="785084000"/>
    <n v="306486000"/>
  </r>
  <r>
    <x v="86"/>
    <s v="Year 3"/>
    <d v="2015-10-31T00:00:00"/>
    <n v="1797060000"/>
    <n v="726798000"/>
    <n v="712543000"/>
    <n v="69589000"/>
    <n v="51459000"/>
    <x v="3"/>
    <s v="Health Care Supplies"/>
    <n v="1070262000"/>
    <n v="833591000"/>
    <n v="236671000"/>
  </r>
  <r>
    <x v="86"/>
    <s v="Year 4"/>
    <d v="2016-10-31T00:00:00"/>
    <n v="1966814000"/>
    <n v="793735000"/>
    <n v="722798000"/>
    <n v="65411000"/>
    <n v="60790000"/>
    <x v="3"/>
    <s v="Health Care Supplies"/>
    <n v="1173079000"/>
    <n v="848999000"/>
    <n v="324080000"/>
  </r>
  <r>
    <x v="87"/>
    <s v="Year 1"/>
    <d v="2013-09-01T00:00:00"/>
    <n v="105156000000"/>
    <n v="91948000000"/>
    <n v="10104000000"/>
    <n v="0"/>
    <n v="0"/>
    <x v="4"/>
    <s v="Hypermarkets &amp; Super Centers"/>
    <n v="13208000000"/>
    <n v="10104000000"/>
    <n v="3104000000"/>
  </r>
  <r>
    <x v="87"/>
    <s v="Year 2"/>
    <d v="2014-08-31T00:00:00"/>
    <n v="112640000000"/>
    <n v="98458000000"/>
    <n v="10899000000"/>
    <n v="0"/>
    <n v="0"/>
    <x v="4"/>
    <s v="Hypermarkets &amp; Super Centers"/>
    <n v="14182000000"/>
    <n v="10899000000"/>
    <n v="3283000000"/>
  </r>
  <r>
    <x v="87"/>
    <s v="Year 3"/>
    <d v="2015-08-30T00:00:00"/>
    <n v="116199000000"/>
    <n v="101065000000"/>
    <n v="11445000000"/>
    <n v="0"/>
    <n v="0"/>
    <x v="4"/>
    <s v="Hypermarkets &amp; Super Centers"/>
    <n v="15134000000"/>
    <n v="11445000000"/>
    <n v="3689000000"/>
  </r>
  <r>
    <x v="87"/>
    <s v="Year 4"/>
    <d v="2016-08-28T00:00:00"/>
    <n v="118719000000"/>
    <n v="102901000000"/>
    <n v="12068000000"/>
    <n v="0"/>
    <n v="0"/>
    <x v="4"/>
    <s v="Hypermarkets &amp; Super Centers"/>
    <n v="15818000000"/>
    <n v="12068000000"/>
    <n v="3750000000"/>
  </r>
  <r>
    <x v="88"/>
    <s v="Year 1"/>
    <d v="2003-06-30T00:00:00"/>
    <n v="1577000"/>
    <n v="258000"/>
    <n v="2410000"/>
    <n v="65000"/>
    <n v="0"/>
    <x v="4"/>
    <s v="Personal Products"/>
    <n v="1319000"/>
    <n v="2475000"/>
    <n v="-1156000"/>
  </r>
  <r>
    <x v="88"/>
    <s v="Year 2"/>
    <d v="2004-06-30T00:00:00"/>
    <n v="1514000"/>
    <n v="142000"/>
    <n v="3940000"/>
    <n v="30000"/>
    <n v="163000"/>
    <x v="4"/>
    <s v="Personal Products"/>
    <n v="1372000"/>
    <n v="4133000"/>
    <n v="-2761000"/>
  </r>
  <r>
    <x v="88"/>
    <s v="Year 3"/>
    <d v="2006-02-28T00:00:00"/>
    <n v="79562000"/>
    <n v="75508000"/>
    <n v="15359000"/>
    <n v="0"/>
    <n v="0"/>
    <x v="4"/>
    <s v="Personal Products"/>
    <n v="4054000"/>
    <n v="15359000"/>
    <n v="-11305000"/>
  </r>
  <r>
    <x v="88"/>
    <s v="Year 4"/>
    <d v="2007-02-28T00:00:00"/>
    <n v="99642000"/>
    <n v="84477000"/>
    <n v="25853000"/>
    <n v="0"/>
    <n v="0"/>
    <x v="4"/>
    <s v="Personal Products"/>
    <n v="15165000"/>
    <n v="25853000"/>
    <n v="-10688000"/>
  </r>
  <r>
    <x v="89"/>
    <s v="Year 1"/>
    <d v="2013-07-28T00:00:00"/>
    <n v="8052000000"/>
    <n v="5140000000"/>
    <n v="1653000000"/>
    <n v="128000000"/>
    <n v="0"/>
    <x v="4"/>
    <s v="Packaged Foods &amp; Meats"/>
    <n v="2912000000"/>
    <n v="1781000000"/>
    <n v="1131000000"/>
  </r>
  <r>
    <x v="89"/>
    <s v="Year 2"/>
    <d v="2014-08-03T00:00:00"/>
    <n v="8268000000"/>
    <n v="5297000000"/>
    <n v="1527000000"/>
    <n v="122000000"/>
    <n v="0"/>
    <x v="4"/>
    <s v="Packaged Foods &amp; Meats"/>
    <n v="2971000000"/>
    <n v="1649000000"/>
    <n v="1322000000"/>
  </r>
  <r>
    <x v="89"/>
    <s v="Year 3"/>
    <d v="2015-08-02T00:00:00"/>
    <n v="8082000000"/>
    <n v="5300000000"/>
    <n v="1509000000"/>
    <n v="117000000"/>
    <n v="0"/>
    <x v="4"/>
    <s v="Packaged Foods &amp; Meats"/>
    <n v="2782000000"/>
    <n v="1626000000"/>
    <n v="1156000000"/>
  </r>
  <r>
    <x v="89"/>
    <s v="Year 4"/>
    <d v="2016-07-31T00:00:00"/>
    <n v="7961000000"/>
    <n v="5181000000"/>
    <n v="1665000000"/>
    <n v="124000000"/>
    <n v="0"/>
    <x v="4"/>
    <s v="Packaged Foods &amp; Meats"/>
    <n v="2780000000"/>
    <n v="1789000000"/>
    <n v="991000000"/>
  </r>
  <r>
    <x v="90"/>
    <s v="Year 1"/>
    <d v="2013-01-31T00:00:00"/>
    <n v="3050195000"/>
    <n v="683579000"/>
    <n v="2047847000"/>
    <n v="429479000"/>
    <n v="0"/>
    <x v="2"/>
    <s v="Internet Software &amp; Services"/>
    <n v="2366616000"/>
    <n v="2477326000"/>
    <n v="-110710000"/>
  </r>
  <r>
    <x v="90"/>
    <s v="Year 2"/>
    <d v="2014-01-31T00:00:00"/>
    <n v="4071003000"/>
    <n v="968428000"/>
    <n v="2764851000"/>
    <n v="623798000"/>
    <n v="0"/>
    <x v="2"/>
    <s v="Internet Software &amp; Services"/>
    <n v="3102575000"/>
    <n v="3388649000"/>
    <n v="-286074000"/>
  </r>
  <r>
    <x v="90"/>
    <s v="Year 3"/>
    <d v="2015-01-31T00:00:00"/>
    <n v="5373586000"/>
    <n v="1289270000"/>
    <n v="3437032000"/>
    <n v="792917000"/>
    <n v="0"/>
    <x v="2"/>
    <s v="Internet Software &amp; Services"/>
    <n v="4084316000"/>
    <n v="4229949000"/>
    <n v="-145633000"/>
  </r>
  <r>
    <x v="90"/>
    <s v="Year 4"/>
    <d v="2016-01-31T00:00:00"/>
    <n v="6667216000"/>
    <n v="1654548000"/>
    <n v="3951445000"/>
    <n v="946300000"/>
    <n v="0"/>
    <x v="2"/>
    <s v="Internet Software &amp; Services"/>
    <n v="5012668000"/>
    <n v="4897745000"/>
    <n v="114923000"/>
  </r>
  <r>
    <x v="91"/>
    <s v="Year 1"/>
    <d v="2013-07-27T00:00:00"/>
    <n v="48607000000"/>
    <n v="19167000000"/>
    <n v="11802000000"/>
    <n v="5942000000"/>
    <n v="395000000"/>
    <x v="2"/>
    <s v="Networking Equipment"/>
    <n v="29440000000"/>
    <n v="18139000000"/>
    <n v="11301000000"/>
  </r>
  <r>
    <x v="91"/>
    <s v="Year 2"/>
    <d v="2014-07-26T00:00:00"/>
    <n v="47142000000"/>
    <n v="19373000000"/>
    <n v="11437000000"/>
    <n v="6294000000"/>
    <n v="275000000"/>
    <x v="2"/>
    <s v="Networking Equipment"/>
    <n v="27769000000"/>
    <n v="18006000000"/>
    <n v="9763000000"/>
  </r>
  <r>
    <x v="91"/>
    <s v="Year 3"/>
    <d v="2015-07-25T00:00:00"/>
    <n v="49161000000"/>
    <n v="19480000000"/>
    <n v="11861000000"/>
    <n v="6207000000"/>
    <n v="359000000"/>
    <x v="2"/>
    <s v="Networking Equipment"/>
    <n v="29681000000"/>
    <n v="18427000000"/>
    <n v="11254000000"/>
  </r>
  <r>
    <x v="91"/>
    <s v="Year 4"/>
    <d v="2016-07-30T00:00:00"/>
    <n v="49247000000"/>
    <n v="18287000000"/>
    <n v="11433000000"/>
    <n v="6296000000"/>
    <n v="303000000"/>
    <x v="2"/>
    <s v="Networking Equipment"/>
    <n v="30960000000"/>
    <n v="18032000000"/>
    <n v="12928000000"/>
  </r>
  <r>
    <x v="92"/>
    <s v="Year 1"/>
    <d v="2015-04-03T00:00:00"/>
    <n v="4069746000"/>
    <n v="3282301000"/>
    <n v="194207000"/>
    <n v="0"/>
    <n v="137058000"/>
    <x v="2"/>
    <s v="IT Consulting &amp; Other Services"/>
    <n v="787445000"/>
    <n v="331265000"/>
    <n v="456180000"/>
  </r>
  <r>
    <x v="92"/>
    <s v="Year 2"/>
    <d v="2016-04-01T00:00:00"/>
    <n v="4250447000"/>
    <n v="3575631000"/>
    <n v="187244000"/>
    <n v="0"/>
    <n v="182242000"/>
    <x v="2"/>
    <s v="IT Consulting &amp; Other Services"/>
    <n v="674816000"/>
    <n v="369486000"/>
    <n v="305330000"/>
  </r>
  <r>
    <x v="93"/>
    <s v="Year 1"/>
    <d v="2013-12-31T00:00:00"/>
    <n v="12026000000"/>
    <n v="3931000000"/>
    <n v="3518000000"/>
    <n v="0"/>
    <n v="1104000000"/>
    <x v="0"/>
    <s v="Railroads"/>
    <n v="8095000000"/>
    <n v="4622000000"/>
    <n v="3473000000"/>
  </r>
  <r>
    <x v="93"/>
    <s v="Year 2"/>
    <d v="2014-12-26T00:00:00"/>
    <n v="12669000000"/>
    <n v="4100000000"/>
    <n v="3805000000"/>
    <n v="0"/>
    <n v="1151000000"/>
    <x v="0"/>
    <s v="Railroads"/>
    <n v="8569000000"/>
    <n v="4956000000"/>
    <n v="3613000000"/>
  </r>
  <r>
    <x v="93"/>
    <s v="Year 3"/>
    <d v="2015-12-25T00:00:00"/>
    <n v="11811000000"/>
    <n v="3293000000"/>
    <n v="3726000000"/>
    <n v="0"/>
    <n v="1208000000"/>
    <x v="0"/>
    <s v="Railroads"/>
    <n v="8518000000"/>
    <n v="4934000000"/>
    <n v="3584000000"/>
  </r>
  <r>
    <x v="93"/>
    <s v="Year 4"/>
    <d v="2016-12-30T00:00:00"/>
    <n v="11069000000"/>
    <n v="2782000000"/>
    <n v="3597000000"/>
    <n v="0"/>
    <n v="1301000000"/>
    <x v="0"/>
    <s v="Railroads"/>
    <n v="8287000000"/>
    <n v="4898000000"/>
    <n v="3389000000"/>
  </r>
  <r>
    <x v="94"/>
    <s v="Year 1"/>
    <d v="2013-05-31T00:00:00"/>
    <n v="4245964000"/>
    <n v="2492655000"/>
    <n v="1187331000"/>
    <n v="0"/>
    <n v="0"/>
    <x v="0"/>
    <s v="Diversified Support Services"/>
    <n v="1753309000"/>
    <n v="1187331000"/>
    <n v="565978000"/>
  </r>
  <r>
    <x v="94"/>
    <s v="Year 2"/>
    <d v="2014-05-31T00:00:00"/>
    <n v="4193844000"/>
    <n v="2444085000"/>
    <n v="1147039000"/>
    <n v="0"/>
    <n v="0"/>
    <x v="0"/>
    <s v="Diversified Support Services"/>
    <n v="1749759000"/>
    <n v="1147039000"/>
    <n v="602720000"/>
  </r>
  <r>
    <x v="94"/>
    <s v="Year 3"/>
    <d v="2015-05-31T00:00:00"/>
    <n v="4476886000"/>
    <n v="2555549000"/>
    <n v="1224930000"/>
    <n v="0"/>
    <n v="0"/>
    <x v="0"/>
    <s v="Diversified Support Services"/>
    <n v="1921337000"/>
    <n v="1224930000"/>
    <n v="696407000"/>
  </r>
  <r>
    <x v="94"/>
    <s v="Year 4"/>
    <d v="2016-05-31T00:00:00"/>
    <n v="4905458000"/>
    <n v="2775588000"/>
    <n v="1348122000"/>
    <n v="0"/>
    <n v="0"/>
    <x v="0"/>
    <s v="Diversified Support Services"/>
    <n v="2129870000"/>
    <n v="1348122000"/>
    <n v="781748000"/>
  </r>
  <r>
    <x v="95"/>
    <s v="Year 1"/>
    <d v="2012-12-31T00:00:00"/>
    <n v="18376000000"/>
    <n v="7639000000"/>
    <n v="3244000000"/>
    <n v="0"/>
    <n v="4780000000"/>
    <x v="10"/>
    <s v="Integrated Telecommunications Services"/>
    <n v="10737000000"/>
    <n v="8024000000"/>
    <n v="2713000000"/>
  </r>
  <r>
    <x v="95"/>
    <s v="Year 2"/>
    <d v="2013-12-31T00:00:00"/>
    <n v="18095000000"/>
    <n v="7507000000"/>
    <n v="3502000000"/>
    <n v="0"/>
    <n v="4541000000"/>
    <x v="10"/>
    <s v="Integrated Telecommunications Services"/>
    <n v="10588000000"/>
    <n v="8043000000"/>
    <n v="2545000000"/>
  </r>
  <r>
    <x v="95"/>
    <s v="Year 3"/>
    <d v="2014-12-31T00:00:00"/>
    <n v="18031000000"/>
    <n v="7846000000"/>
    <n v="3347000000"/>
    <n v="0"/>
    <n v="4428000000"/>
    <x v="10"/>
    <s v="Integrated Telecommunications Services"/>
    <n v="10185000000"/>
    <n v="7775000000"/>
    <n v="2410000000"/>
  </r>
  <r>
    <x v="95"/>
    <s v="Year 4"/>
    <d v="2015-12-31T00:00:00"/>
    <n v="17900000000"/>
    <n v="7778000000"/>
    <n v="3328000000"/>
    <n v="0"/>
    <n v="4189000000"/>
    <x v="10"/>
    <s v="Integrated Telecommunications Services"/>
    <n v="10122000000"/>
    <n v="7517000000"/>
    <n v="2605000000"/>
  </r>
  <r>
    <x v="96"/>
    <s v="Year 1"/>
    <d v="2012-12-31T00:00:00"/>
    <n v="7346472000"/>
    <n v="4278241000"/>
    <n v="1557646000"/>
    <n v="0"/>
    <n v="149089000"/>
    <x v="2"/>
    <s v="IT Consulting &amp; Other Services"/>
    <n v="3068231000"/>
    <n v="1706735000"/>
    <n v="1361496000"/>
  </r>
  <r>
    <x v="96"/>
    <s v="Year 2"/>
    <d v="2013-12-31T00:00:00"/>
    <n v="8843200000"/>
    <n v="5265500000"/>
    <n v="1727600000"/>
    <n v="0"/>
    <n v="172200000"/>
    <x v="2"/>
    <s v="IT Consulting &amp; Other Services"/>
    <n v="3577700000"/>
    <n v="1899800000"/>
    <n v="1677900000"/>
  </r>
  <r>
    <x v="96"/>
    <s v="Year 3"/>
    <d v="2014-12-31T00:00:00"/>
    <n v="10262700000"/>
    <n v="6141100000"/>
    <n v="2037000000"/>
    <n v="0"/>
    <n v="199700000"/>
    <x v="2"/>
    <s v="IT Consulting &amp; Other Services"/>
    <n v="4121600000"/>
    <n v="2236700000"/>
    <n v="1884900000"/>
  </r>
  <r>
    <x v="96"/>
    <s v="Year 4"/>
    <d v="2015-12-31T00:00:00"/>
    <n v="12416000000"/>
    <n v="7440200000"/>
    <n v="2508600000"/>
    <n v="0"/>
    <n v="325200000"/>
    <x v="2"/>
    <s v="IT Consulting &amp; Other Services"/>
    <n v="4975800000"/>
    <n v="2833800000"/>
    <n v="2142000000"/>
  </r>
  <r>
    <x v="97"/>
    <s v="Year 1"/>
    <d v="2013-12-31T00:00:00"/>
    <n v="2918434000"/>
    <n v="502795000"/>
    <n v="1476916000"/>
    <n v="516338000"/>
    <n v="41668000"/>
    <x v="2"/>
    <s v="Internet Software &amp; Services"/>
    <n v="2415639000"/>
    <n v="2034922000"/>
    <n v="380717000"/>
  </r>
  <r>
    <x v="97"/>
    <s v="Year 2"/>
    <d v="2014-12-31T00:00:00"/>
    <n v="3142856000"/>
    <n v="620219000"/>
    <n v="1600187000"/>
    <n v="553817000"/>
    <n v="39577000"/>
    <x v="2"/>
    <s v="Internet Software &amp; Services"/>
    <n v="2522637000"/>
    <n v="2193581000"/>
    <n v="329056000"/>
  </r>
  <r>
    <x v="97"/>
    <s v="Year 3"/>
    <d v="2015-12-31T00:00:00"/>
    <n v="3275594000"/>
    <n v="614364000"/>
    <n v="1538027000"/>
    <n v="563975000"/>
    <n v="41595000"/>
    <x v="2"/>
    <s v="Internet Software &amp; Services"/>
    <n v="2661230000"/>
    <n v="2143597000"/>
    <n v="517633000"/>
  </r>
  <r>
    <x v="97"/>
    <s v="Year 4"/>
    <d v="2016-12-31T00:00:00"/>
    <n v="3418265000"/>
    <n v="559541000"/>
    <n v="1620006000"/>
    <n v="489265000"/>
    <n v="29173000"/>
    <x v="2"/>
    <s v="Internet Software &amp; Services"/>
    <n v="2858724000"/>
    <n v="2138444000"/>
    <n v="720280000"/>
  </r>
  <r>
    <x v="98"/>
    <s v="Year 1"/>
    <d v="2013-12-31T00:00:00"/>
    <n v="126761000000"/>
    <n v="102978000000"/>
    <n v="0"/>
    <n v="0"/>
    <n v="0"/>
    <x v="4"/>
    <s v="Drug Retail"/>
    <n v="23783000000"/>
    <n v="0"/>
    <n v="23783000000"/>
  </r>
  <r>
    <x v="98"/>
    <s v="Year 2"/>
    <d v="2014-12-31T00:00:00"/>
    <n v="139367000000"/>
    <n v="114000000000"/>
    <n v="0"/>
    <n v="0"/>
    <n v="0"/>
    <x v="4"/>
    <s v="Drug Retail"/>
    <n v="25367000000"/>
    <n v="0"/>
    <n v="25367000000"/>
  </r>
  <r>
    <x v="98"/>
    <s v="Year 3"/>
    <d v="2015-12-31T00:00:00"/>
    <n v="153290000000"/>
    <n v="126762000000"/>
    <n v="0"/>
    <n v="0"/>
    <n v="0"/>
    <x v="4"/>
    <s v="Drug Retail"/>
    <n v="26528000000"/>
    <n v="0"/>
    <n v="26528000000"/>
  </r>
  <r>
    <x v="98"/>
    <s v="Year 4"/>
    <d v="2016-12-31T00:00:00"/>
    <n v="177526000000"/>
    <n v="148669000000"/>
    <n v="0"/>
    <n v="0"/>
    <n v="0"/>
    <x v="4"/>
    <s v="Drug Retail"/>
    <n v="28857000000"/>
    <n v="0"/>
    <n v="28857000000"/>
  </r>
  <r>
    <x v="99"/>
    <s v="Year 1"/>
    <d v="2012-12-31T00:00:00"/>
    <n v="230590000000"/>
    <n v="163336000000"/>
    <n v="17100000000"/>
    <n v="0"/>
    <n v="13413000000"/>
    <x v="9"/>
    <s v="Integrated Oil &amp; Gas"/>
    <n v="67254000000"/>
    <n v="30513000000"/>
    <n v="36741000000"/>
  </r>
  <r>
    <x v="99"/>
    <s v="Year 2"/>
    <d v="2013-12-31T00:00:00"/>
    <n v="220156000000"/>
    <n v="159323000000"/>
    <n v="17573000000"/>
    <n v="0"/>
    <n v="14186000000"/>
    <x v="9"/>
    <s v="Integrated Oil &amp; Gas"/>
    <n v="60833000000"/>
    <n v="31759000000"/>
    <n v="29074000000"/>
  </r>
  <r>
    <x v="99"/>
    <s v="Year 3"/>
    <d v="2014-12-31T00:00:00"/>
    <n v="200494000000"/>
    <n v="144956000000"/>
    <n v="17034000000"/>
    <n v="0"/>
    <n v="16793000000"/>
    <x v="9"/>
    <s v="Integrated Oil &amp; Gas"/>
    <n v="55538000000"/>
    <n v="33827000000"/>
    <n v="21711000000"/>
  </r>
  <r>
    <x v="99"/>
    <s v="Year 4"/>
    <d v="2015-12-31T00:00:00"/>
    <n v="129925000000"/>
    <n v="92785000000"/>
    <n v="16473000000"/>
    <n v="0"/>
    <n v="21037000000"/>
    <x v="9"/>
    <s v="Integrated Oil &amp; Gas"/>
    <n v="37140000000"/>
    <n v="37510000000"/>
    <n v="-370000000"/>
  </r>
  <r>
    <x v="100"/>
    <s v="Year 1"/>
    <d v="2012-12-31T00:00:00"/>
    <n v="1819814000"/>
    <n v="343743000"/>
    <n v="133796000"/>
    <n v="0"/>
    <n v="579315000"/>
    <x v="9"/>
    <s v="Oil &amp; Gas Exploration &amp; Production"/>
    <n v="1476071000"/>
    <n v="713111000"/>
    <n v="762960000"/>
  </r>
  <r>
    <x v="100"/>
    <s v="Year 2"/>
    <d v="2013-12-31T00:00:00"/>
    <n v="2319919000"/>
    <n v="455436000"/>
    <n v="169815000"/>
    <n v="0"/>
    <n v="778655000"/>
    <x v="9"/>
    <s v="Oil &amp; Gas Exploration &amp; Production"/>
    <n v="1864483000"/>
    <n v="948470000"/>
    <n v="916013000"/>
  </r>
  <r>
    <x v="100"/>
    <s v="Year 3"/>
    <d v="2014-12-31T00:00:00"/>
    <n v="2660147000"/>
    <n v="538374000"/>
    <n v="204161000"/>
    <n v="0"/>
    <n v="986812000"/>
    <x v="9"/>
    <s v="Oil &amp; Gas Exploration &amp; Production"/>
    <n v="2121773000"/>
    <n v="1190973000"/>
    <n v="930800000"/>
  </r>
  <r>
    <x v="100"/>
    <s v="Year 4"/>
    <d v="2015-12-31T00:00:00"/>
    <n v="1803573000"/>
    <n v="541359000"/>
    <n v="230734000"/>
    <n v="0"/>
    <n v="1230853000"/>
    <x v="9"/>
    <s v="Oil &amp; Gas Exploration &amp; Production"/>
    <n v="1262214000"/>
    <n v="1461587000"/>
    <n v="-199373000"/>
  </r>
  <r>
    <x v="101"/>
    <s v="Year 1"/>
    <d v="2012-12-31T00:00:00"/>
    <n v="12835000000"/>
    <n v="8300000000"/>
    <n v="550000000"/>
    <n v="0"/>
    <n v="1127000000"/>
    <x v="5"/>
    <s v="Electric Utilities"/>
    <n v="4535000000"/>
    <n v="1677000000"/>
    <n v="2858000000"/>
  </r>
  <r>
    <x v="101"/>
    <s v="Year 2"/>
    <d v="2013-12-31T00:00:00"/>
    <n v="13120000000"/>
    <n v="8033000000"/>
    <n v="563000000"/>
    <n v="0"/>
    <n v="1208000000"/>
    <x v="5"/>
    <s v="Electric Utilities"/>
    <n v="5087000000"/>
    <n v="1771000000"/>
    <n v="3316000000"/>
  </r>
  <r>
    <x v="101"/>
    <s v="Year 3"/>
    <d v="2014-12-31T00:00:00"/>
    <n v="12436000000"/>
    <n v="7881000000"/>
    <n v="542000000"/>
    <n v="0"/>
    <n v="1292000000"/>
    <x v="5"/>
    <s v="Electric Utilities"/>
    <n v="4555000000"/>
    <n v="1834000000"/>
    <n v="2721000000"/>
  </r>
  <r>
    <x v="101"/>
    <s v="Year 4"/>
    <d v="2015-12-31T00:00:00"/>
    <n v="11683000000"/>
    <n v="6201000000"/>
    <n v="551000000"/>
    <n v="0"/>
    <n v="1395000000"/>
    <x v="5"/>
    <s v="Electric Utilities"/>
    <n v="5482000000"/>
    <n v="1946000000"/>
    <n v="3536000000"/>
  </r>
  <r>
    <x v="102"/>
    <s v="Year 1"/>
    <d v="2013-12-31T00:00:00"/>
    <n v="37773000000"/>
    <n v="20964000000"/>
    <n v="11349000000"/>
    <n v="0"/>
    <n v="1658000000"/>
    <x v="0"/>
    <s v="Airlines"/>
    <n v="16809000000"/>
    <n v="13007000000"/>
    <n v="3802000000"/>
  </r>
  <r>
    <x v="102"/>
    <s v="Year 2"/>
    <d v="2014-12-31T00:00:00"/>
    <n v="40362000000"/>
    <n v="22967000000"/>
    <n v="12702000000"/>
    <n v="0"/>
    <n v="1771000000"/>
    <x v="0"/>
    <s v="Airlines"/>
    <n v="17395000000"/>
    <n v="14473000000"/>
    <n v="2922000000"/>
  </r>
  <r>
    <x v="102"/>
    <s v="Year 3"/>
    <d v="2015-12-31T00:00:00"/>
    <n v="40704000000"/>
    <n v="17096000000"/>
    <n v="13936000000"/>
    <n v="0"/>
    <n v="1835000000"/>
    <x v="0"/>
    <s v="Airlines"/>
    <n v="23608000000"/>
    <n v="15771000000"/>
    <n v="7837000000"/>
  </r>
  <r>
    <x v="102"/>
    <s v="Year 4"/>
    <d v="2016-12-31T00:00:00"/>
    <n v="39639000000"/>
    <n v="15940000000"/>
    <n v="14845000000"/>
    <n v="0"/>
    <n v="1902000000"/>
    <x v="0"/>
    <s v="Airlines"/>
    <n v="23699000000"/>
    <n v="16747000000"/>
    <n v="6952000000"/>
  </r>
  <r>
    <x v="103"/>
    <s v="Year 1"/>
    <d v="2013-12-31T00:00:00"/>
    <n v="28998000000"/>
    <n v="17642000000"/>
    <n v="6564000000"/>
    <n v="2037000000"/>
    <n v="0"/>
    <x v="8"/>
    <s v="Diversified Chemicals"/>
    <n v="11356000000"/>
    <n v="8601000000"/>
    <n v="2755000000"/>
  </r>
  <r>
    <x v="103"/>
    <s v="Year 2"/>
    <d v="2014-12-31T00:00:00"/>
    <n v="28406000000"/>
    <n v="17023000000"/>
    <n v="5536000000"/>
    <n v="1958000000"/>
    <n v="0"/>
    <x v="8"/>
    <s v="Diversified Chemicals"/>
    <n v="11383000000"/>
    <n v="7494000000"/>
    <n v="3889000000"/>
  </r>
  <r>
    <x v="103"/>
    <s v="Year 3"/>
    <d v="2015-12-31T00:00:00"/>
    <n v="25130000000"/>
    <n v="15112000000"/>
    <n v="5074000000"/>
    <n v="1898000000"/>
    <n v="0"/>
    <x v="8"/>
    <s v="Diversified Chemicals"/>
    <n v="10018000000"/>
    <n v="6972000000"/>
    <n v="3046000000"/>
  </r>
  <r>
    <x v="103"/>
    <s v="Year 4"/>
    <d v="2016-12-31T00:00:00"/>
    <n v="24594000000"/>
    <n v="14469000000"/>
    <n v="5005000000"/>
    <n v="1641000000"/>
    <n v="0"/>
    <x v="8"/>
    <s v="Diversified Chemicals"/>
    <n v="10125000000"/>
    <n v="6646000000"/>
    <n v="3479000000"/>
  </r>
  <r>
    <x v="104"/>
    <s v="Year 1"/>
    <d v="2013-10-31T00:00:00"/>
    <n v="37795400000"/>
    <n v="25667300000"/>
    <n v="4426100000"/>
    <n v="1477300000"/>
    <n v="0"/>
    <x v="0"/>
    <s v="Construction &amp; Farm Machinery &amp; Heavy Trucks"/>
    <n v="12128100000"/>
    <n v="5903400000"/>
    <n v="6224700000"/>
  </r>
  <r>
    <x v="104"/>
    <s v="Year 2"/>
    <d v="2014-10-31T00:00:00"/>
    <n v="36066900000"/>
    <n v="24775800000"/>
    <n v="4377700000"/>
    <n v="1452000000"/>
    <n v="0"/>
    <x v="0"/>
    <s v="Construction &amp; Farm Machinery &amp; Heavy Trucks"/>
    <n v="11291100000"/>
    <n v="5829700000"/>
    <n v="5461400000"/>
  </r>
  <r>
    <x v="104"/>
    <s v="Year 3"/>
    <d v="2015-10-31T00:00:00"/>
    <n v="28862800000"/>
    <n v="20143200000"/>
    <n v="3834400000"/>
    <n v="1425100000"/>
    <n v="0"/>
    <x v="0"/>
    <s v="Construction &amp; Farm Machinery &amp; Heavy Trucks"/>
    <n v="8719600000"/>
    <n v="5259500000"/>
    <n v="3460100000"/>
  </r>
  <r>
    <x v="104"/>
    <s v="Year 4"/>
    <d v="2016-10-31T00:00:00"/>
    <n v="26644000000"/>
    <n v="18248900000"/>
    <n v="4018300000"/>
    <n v="1389100000"/>
    <n v="0"/>
    <x v="0"/>
    <s v="Construction &amp; Farm Machinery &amp; Heavy Trucks"/>
    <n v="8395100000"/>
    <n v="5407400000"/>
    <n v="2987700000"/>
  </r>
  <r>
    <x v="105"/>
    <s v="Year 1"/>
    <d v="2012-11-30T00:00:00"/>
    <n v="8984000000"/>
    <n v="845000000"/>
    <n v="3052000000"/>
    <n v="0"/>
    <n v="848000000"/>
    <x v="6"/>
    <s v="Consumer Finance"/>
    <n v="8139000000"/>
    <n v="3900000000"/>
    <n v="4239000000"/>
  </r>
  <r>
    <x v="105"/>
    <s v="Year 2"/>
    <d v="2013-12-31T00:00:00"/>
    <n v="9370000000"/>
    <n v="698000000"/>
    <n v="3194000000"/>
    <n v="0"/>
    <n v="1086000000"/>
    <x v="6"/>
    <s v="Consumer Finance"/>
    <n v="8672000000"/>
    <n v="4280000000"/>
    <n v="4392000000"/>
  </r>
  <r>
    <x v="105"/>
    <s v="Year 3"/>
    <d v="2014-12-31T00:00:00"/>
    <n v="9611000000"/>
    <n v="614000000"/>
    <n v="3340000000"/>
    <n v="0"/>
    <n v="1443000000"/>
    <x v="6"/>
    <s v="Consumer Finance"/>
    <n v="8997000000"/>
    <n v="4783000000"/>
    <n v="4214000000"/>
  </r>
  <r>
    <x v="105"/>
    <s v="Year 4"/>
    <d v="2015-12-31T00:00:00"/>
    <n v="10002000000"/>
    <n v="623000000"/>
    <n v="3615000000"/>
    <n v="0"/>
    <n v="1512000000"/>
    <x v="6"/>
    <s v="Consumer Finance"/>
    <n v="9379000000"/>
    <n v="5127000000"/>
    <n v="4252000000"/>
  </r>
  <r>
    <x v="106"/>
    <s v="Year 1"/>
    <d v="2013-02-01T00:00:00"/>
    <n v="16022128000"/>
    <n v="10936727000"/>
    <n v="3430125000"/>
    <n v="0"/>
    <n v="0"/>
    <x v="1"/>
    <s v="General Merchandise Stores"/>
    <n v="5085401000"/>
    <n v="3430125000"/>
    <n v="1655276000"/>
  </r>
  <r>
    <x v="106"/>
    <s v="Year 2"/>
    <d v="2014-01-31T00:00:00"/>
    <n v="17504167000"/>
    <n v="12068425000"/>
    <n v="3699557000"/>
    <n v="0"/>
    <n v="0"/>
    <x v="1"/>
    <s v="General Merchandise Stores"/>
    <n v="5435742000"/>
    <n v="3699557000"/>
    <n v="1736185000"/>
  </r>
  <r>
    <x v="106"/>
    <s v="Year 3"/>
    <d v="2015-01-30T00:00:00"/>
    <n v="18909588000"/>
    <n v="13107081000"/>
    <n v="4033414000"/>
    <n v="0"/>
    <n v="0"/>
    <x v="1"/>
    <s v="General Merchandise Stores"/>
    <n v="5802507000"/>
    <n v="4033414000"/>
    <n v="1769093000"/>
  </r>
  <r>
    <x v="106"/>
    <s v="Year 4"/>
    <d v="2016-01-29T00:00:00"/>
    <n v="20368562000"/>
    <n v="14062471000"/>
    <n v="4365797000"/>
    <n v="0"/>
    <n v="0"/>
    <x v="1"/>
    <s v="General Merchandise Stores"/>
    <n v="6306091000"/>
    <n v="4365797000"/>
    <n v="1940294000"/>
  </r>
  <r>
    <x v="107"/>
    <s v="Year 1"/>
    <d v="2012-12-31T00:00:00"/>
    <n v="7383000000"/>
    <n v="4365000000"/>
    <n v="1742000000"/>
    <n v="0"/>
    <n v="75000000"/>
    <x v="3"/>
    <s v="Health Care Facilities"/>
    <n v="3018000000"/>
    <n v="1817000000"/>
    <n v="1201000000"/>
  </r>
  <r>
    <x v="107"/>
    <s v="Year 2"/>
    <d v="2013-12-31T00:00:00"/>
    <n v="7146000000"/>
    <n v="4326000000"/>
    <n v="1740000000"/>
    <n v="0"/>
    <n v="79000000"/>
    <x v="3"/>
    <s v="Health Care Facilities"/>
    <n v="2820000000"/>
    <n v="1819000000"/>
    <n v="1001000000"/>
  </r>
  <r>
    <x v="107"/>
    <s v="Year 3"/>
    <d v="2014-12-31T00:00:00"/>
    <n v="7435000000"/>
    <n v="4637000000"/>
    <n v="1721000000"/>
    <n v="0"/>
    <n v="94000000"/>
    <x v="3"/>
    <s v="Health Care Facilities"/>
    <n v="2798000000"/>
    <n v="1815000000"/>
    <n v="983000000"/>
  </r>
  <r>
    <x v="107"/>
    <s v="Year 4"/>
    <d v="2015-12-31T00:00:00"/>
    <n v="7493000000"/>
    <n v="4657000000"/>
    <n v="1356000000"/>
    <n v="0"/>
    <n v="81000000"/>
    <x v="3"/>
    <s v="Health Care Facilities"/>
    <n v="2836000000"/>
    <n v="1437000000"/>
    <n v="1399000000"/>
  </r>
  <r>
    <x v="108"/>
    <s v="Year 1"/>
    <d v="2013-09-30T00:00:00"/>
    <n v="6259300000"/>
    <n v="4853500000"/>
    <n v="649900000"/>
    <n v="0"/>
    <n v="0"/>
    <x v="1"/>
    <s v="Homebuilding"/>
    <n v="1405800000"/>
    <n v="649900000"/>
    <n v="755900000"/>
  </r>
  <r>
    <x v="108"/>
    <s v="Year 2"/>
    <d v="2014-09-30T00:00:00"/>
    <n v="8024900000"/>
    <n v="6268600000"/>
    <n v="826900000"/>
    <n v="0"/>
    <n v="0"/>
    <x v="1"/>
    <s v="Homebuilding"/>
    <n v="1756300000"/>
    <n v="826900000"/>
    <n v="929400000"/>
  </r>
  <r>
    <x v="108"/>
    <s v="Year 3"/>
    <d v="2015-09-30T00:00:00"/>
    <n v="10824000000"/>
    <n v="8535700000"/>
    <n v="1003000000"/>
    <n v="0"/>
    <n v="0"/>
    <x v="1"/>
    <s v="Homebuilding"/>
    <n v="2288300000"/>
    <n v="1003000000"/>
    <n v="1285300000"/>
  </r>
  <r>
    <x v="108"/>
    <s v="Year 4"/>
    <d v="2016-09-30T00:00:00"/>
    <n v="12157400000"/>
    <n v="9502600000"/>
    <n v="1100300000"/>
    <n v="0"/>
    <n v="0"/>
    <x v="1"/>
    <s v="Homebuilding"/>
    <n v="2654800000"/>
    <n v="1100300000"/>
    <n v="1554500000"/>
  </r>
  <r>
    <x v="109"/>
    <s v="Year 1"/>
    <d v="2012-12-31T00:00:00"/>
    <n v="18260400000"/>
    <n v="8846100000"/>
    <n v="5181200000"/>
    <n v="1137900000"/>
    <n v="0"/>
    <x v="0"/>
    <s v="Industrial Conglomerates"/>
    <n v="9414300000"/>
    <n v="6319100000"/>
    <n v="3095200000"/>
  </r>
  <r>
    <x v="109"/>
    <s v="Year 2"/>
    <d v="2013-12-31T00:00:00"/>
    <n v="18283100000"/>
    <n v="8941100000"/>
    <n v="5117100000"/>
    <n v="1104400000"/>
    <n v="0"/>
    <x v="0"/>
    <s v="Industrial Conglomerates"/>
    <n v="9342000000"/>
    <n v="6221500000"/>
    <n v="3120500000"/>
  </r>
  <r>
    <x v="109"/>
    <s v="Year 3"/>
    <d v="2014-12-31T00:00:00"/>
    <n v="19154000000"/>
    <n v="9261400000"/>
    <n v="5389000000"/>
    <n v="1157000000"/>
    <n v="0"/>
    <x v="0"/>
    <s v="Industrial Conglomerates"/>
    <n v="9892600000"/>
    <n v="6546000000"/>
    <n v="3346600000"/>
  </r>
  <r>
    <x v="109"/>
    <s v="Year 4"/>
    <d v="2015-12-31T00:00:00"/>
    <n v="20563100000"/>
    <n v="9800600000"/>
    <n v="6054300000"/>
    <n v="1239100000"/>
    <n v="0"/>
    <x v="0"/>
    <s v="Industrial Conglomerates"/>
    <n v="10762500000"/>
    <n v="7293400000"/>
    <n v="3469100000"/>
  </r>
  <r>
    <x v="110"/>
    <s v="Year 1"/>
    <d v="2013-09-28T00:00:00"/>
    <n v="45041000000"/>
    <n v="25034000000"/>
    <n v="8365000000"/>
    <n v="0"/>
    <n v="2192000000"/>
    <x v="1"/>
    <s v="Broadcasting &amp; Cable TV"/>
    <n v="20007000000"/>
    <n v="10557000000"/>
    <n v="9450000000"/>
  </r>
  <r>
    <x v="110"/>
    <s v="Year 2"/>
    <d v="2014-09-27T00:00:00"/>
    <n v="48813000000"/>
    <n v="26420000000"/>
    <n v="8565000000"/>
    <n v="0"/>
    <n v="2288000000"/>
    <x v="1"/>
    <s v="Broadcasting &amp; Cable TV"/>
    <n v="22393000000"/>
    <n v="10853000000"/>
    <n v="11540000000"/>
  </r>
  <r>
    <x v="110"/>
    <s v="Year 3"/>
    <d v="2015-10-03T00:00:00"/>
    <n v="52465000000"/>
    <n v="28364000000"/>
    <n v="8523000000"/>
    <n v="0"/>
    <n v="2354000000"/>
    <x v="1"/>
    <s v="Broadcasting &amp; Cable TV"/>
    <n v="24101000000"/>
    <n v="10877000000"/>
    <n v="13224000000"/>
  </r>
  <r>
    <x v="110"/>
    <s v="Year 4"/>
    <d v="2016-10-01T00:00:00"/>
    <n v="55632000000"/>
    <n v="29993000000"/>
    <n v="8754000000"/>
    <n v="0"/>
    <n v="2527000000"/>
    <x v="1"/>
    <s v="Broadcasting &amp; Cable TV"/>
    <n v="25639000000"/>
    <n v="11281000000"/>
    <n v="14358000000"/>
  </r>
  <r>
    <x v="111"/>
    <s v="Year 1"/>
    <d v="2013-12-31T00:00:00"/>
    <n v="5535000000"/>
    <n v="1689000000"/>
    <n v="1598000000"/>
    <n v="0"/>
    <n v="276000000"/>
    <x v="1"/>
    <s v="Cable &amp; Satellite"/>
    <n v="3846000000"/>
    <n v="1874000000"/>
    <n v="1972000000"/>
  </r>
  <r>
    <x v="111"/>
    <s v="Year 2"/>
    <d v="2014-12-31T00:00:00"/>
    <n v="6265000000"/>
    <n v="2124000000"/>
    <n v="1692000000"/>
    <n v="0"/>
    <n v="329000000"/>
    <x v="1"/>
    <s v="Cable &amp; Satellite"/>
    <n v="4141000000"/>
    <n v="2021000000"/>
    <n v="2120000000"/>
  </r>
  <r>
    <x v="111"/>
    <s v="Year 3"/>
    <d v="2015-12-31T00:00:00"/>
    <n v="6394000000"/>
    <n v="2343000000"/>
    <n v="1669000000"/>
    <n v="0"/>
    <n v="330000000"/>
    <x v="1"/>
    <s v="Cable &amp; Satellite"/>
    <n v="4051000000"/>
    <n v="1999000000"/>
    <n v="2052000000"/>
  </r>
  <r>
    <x v="111"/>
    <s v="Year 4"/>
    <d v="2016-12-31T00:00:00"/>
    <n v="6497000000"/>
    <n v="2432000000"/>
    <n v="1690000000"/>
    <n v="0"/>
    <n v="322000000"/>
    <x v="1"/>
    <s v="Cable &amp; Satellite"/>
    <n v="4065000000"/>
    <n v="2012000000"/>
    <n v="2053000000"/>
  </r>
  <r>
    <x v="112"/>
    <s v="Year 1"/>
    <d v="2013-12-31T00:00:00"/>
    <n v="5535000000"/>
    <n v="1689000000"/>
    <n v="1598000000"/>
    <n v="0"/>
    <n v="276000000"/>
    <x v="1"/>
    <s v="Cable &amp; Satellite"/>
    <n v="3846000000"/>
    <n v="1874000000"/>
    <n v="1972000000"/>
  </r>
  <r>
    <x v="112"/>
    <s v="Year 2"/>
    <d v="2014-12-31T00:00:00"/>
    <n v="6265000000"/>
    <n v="2124000000"/>
    <n v="1692000000"/>
    <n v="0"/>
    <n v="329000000"/>
    <x v="1"/>
    <s v="Cable &amp; Satellite"/>
    <n v="4141000000"/>
    <n v="2021000000"/>
    <n v="2120000000"/>
  </r>
  <r>
    <x v="112"/>
    <s v="Year 3"/>
    <d v="2015-12-31T00:00:00"/>
    <n v="6394000000"/>
    <n v="2343000000"/>
    <n v="1669000000"/>
    <n v="0"/>
    <n v="330000000"/>
    <x v="1"/>
    <s v="Cable &amp; Satellite"/>
    <n v="4051000000"/>
    <n v="1999000000"/>
    <n v="2052000000"/>
  </r>
  <r>
    <x v="112"/>
    <s v="Year 4"/>
    <d v="2016-12-31T00:00:00"/>
    <n v="6497000000"/>
    <n v="2432000000"/>
    <n v="1690000000"/>
    <n v="0"/>
    <n v="322000000"/>
    <x v="1"/>
    <s v="Cable &amp; Satellite"/>
    <n v="4065000000"/>
    <n v="2012000000"/>
    <n v="2053000000"/>
  </r>
  <r>
    <x v="113"/>
    <s v="Year 1"/>
    <d v="2013-12-31T00:00:00"/>
    <n v="15051000000"/>
    <n v="12274000000"/>
    <n v="916000000"/>
    <n v="0"/>
    <n v="97000000"/>
    <x v="1"/>
    <s v="Auto Parts &amp; Equipment"/>
    <n v="2777000000"/>
    <n v="1013000000"/>
    <n v="1764000000"/>
  </r>
  <r>
    <x v="113"/>
    <s v="Year 2"/>
    <d v="2014-12-31T00:00:00"/>
    <n v="15499000000"/>
    <n v="12471000000"/>
    <n v="1036000000"/>
    <n v="0"/>
    <n v="94000000"/>
    <x v="1"/>
    <s v="Auto Parts &amp; Equipment"/>
    <n v="3028000000"/>
    <n v="1130000000"/>
    <n v="1898000000"/>
  </r>
  <r>
    <x v="113"/>
    <s v="Year 3"/>
    <d v="2015-12-31T00:00:00"/>
    <n v="15165000000"/>
    <n v="12155000000"/>
    <n v="1017000000"/>
    <n v="0"/>
    <n v="93000000"/>
    <x v="1"/>
    <s v="Auto Parts &amp; Equipment"/>
    <n v="3010000000"/>
    <n v="1110000000"/>
    <n v="1900000000"/>
  </r>
  <r>
    <x v="113"/>
    <s v="Year 4"/>
    <d v="2016-12-31T00:00:00"/>
    <n v="16661000000"/>
    <n v="13107000000"/>
    <n v="1145000000"/>
    <n v="0"/>
    <n v="134000000"/>
    <x v="1"/>
    <s v="Auto Parts &amp; Equipment"/>
    <n v="3554000000"/>
    <n v="1279000000"/>
    <n v="2275000000"/>
  </r>
  <r>
    <x v="114"/>
    <s v="Year 1"/>
    <d v="2012-12-31T00:00:00"/>
    <n v="1279067000"/>
    <n v="461898000"/>
    <n v="68538000"/>
    <n v="0"/>
    <n v="382553000"/>
    <x v="7"/>
    <s v="Specialized REITs"/>
    <n v="817169000"/>
    <n v="451091000"/>
    <n v="366078000"/>
  </r>
  <r>
    <x v="114"/>
    <s v="Year 2"/>
    <d v="2013-12-31T00:00:00"/>
    <n v="1482259000"/>
    <n v="555660000"/>
    <n v="69323000"/>
    <n v="0"/>
    <n v="475464000"/>
    <x v="7"/>
    <s v="Specialized REITs"/>
    <n v="926599000"/>
    <n v="544787000"/>
    <n v="381812000"/>
  </r>
  <r>
    <x v="114"/>
    <s v="Year 3"/>
    <d v="2014-12-31T00:00:00"/>
    <n v="1616438000"/>
    <n v="603321000"/>
    <n v="89468000"/>
    <n v="0"/>
    <n v="538513000"/>
    <x v="7"/>
    <s v="Specialized REITs"/>
    <n v="1013117000"/>
    <n v="627981000"/>
    <n v="385136000"/>
  </r>
  <r>
    <x v="114"/>
    <s v="Year 4"/>
    <d v="2015-12-31T00:00:00"/>
    <n v="1763336000"/>
    <n v="651282000"/>
    <n v="139616000"/>
    <n v="0"/>
    <n v="570527000"/>
    <x v="7"/>
    <s v="Specialized REITs"/>
    <n v="1112054000"/>
    <n v="710143000"/>
    <n v="401911000"/>
  </r>
  <r>
    <x v="115"/>
    <s v="Year 1"/>
    <d v="2013-02-02T00:00:00"/>
    <n v="7394500000"/>
    <n v="4741800000"/>
    <n v="1732600000"/>
    <n v="0"/>
    <n v="0"/>
    <x v="1"/>
    <s v="General Merchandise Stores"/>
    <n v="2652700000"/>
    <n v="1732600000"/>
    <n v="920100000"/>
  </r>
  <r>
    <x v="115"/>
    <s v="Year 2"/>
    <d v="2014-02-01T00:00:00"/>
    <n v="7840300000"/>
    <n v="5050500000"/>
    <n v="1819500000"/>
    <n v="0"/>
    <n v="0"/>
    <x v="1"/>
    <s v="General Merchandise Stores"/>
    <n v="2789800000"/>
    <n v="1819500000"/>
    <n v="970300000"/>
  </r>
  <r>
    <x v="115"/>
    <s v="Year 3"/>
    <d v="2015-01-31T00:00:00"/>
    <n v="8602200000"/>
    <n v="5568200000"/>
    <n v="1993800000"/>
    <n v="0"/>
    <n v="0"/>
    <x v="1"/>
    <s v="General Merchandise Stores"/>
    <n v="3034000000"/>
    <n v="1993800000"/>
    <n v="1040200000"/>
  </r>
  <r>
    <x v="115"/>
    <s v="Year 4"/>
    <d v="2016-01-30T00:00:00"/>
    <n v="15498400000"/>
    <n v="10841700000"/>
    <n v="3607000000"/>
    <n v="0"/>
    <n v="0"/>
    <x v="1"/>
    <s v="General Merchandise Stores"/>
    <n v="4656700000"/>
    <n v="3607000000"/>
    <n v="1049700000"/>
  </r>
  <r>
    <x v="116"/>
    <s v="Year 1"/>
    <d v="2012-12-31T00:00:00"/>
    <n v="1663000000"/>
    <m/>
    <n v="1123200000"/>
    <n v="0"/>
    <n v="78300000"/>
    <x v="0"/>
    <s v="Research &amp; Consulting Services"/>
    <n v="1663000000"/>
    <n v="1201500000"/>
    <n v="461500000"/>
  </r>
  <r>
    <x v="116"/>
    <s v="Year 2"/>
    <d v="2013-12-31T00:00:00"/>
    <n v="1558400000"/>
    <m/>
    <n v="1058000000"/>
    <n v="0"/>
    <n v="60400000"/>
    <x v="0"/>
    <s v="Research &amp; Consulting Services"/>
    <n v="1558400000"/>
    <n v="1118400000"/>
    <n v="440000000"/>
  </r>
  <r>
    <x v="116"/>
    <s v="Year 3"/>
    <d v="2014-12-31T00:00:00"/>
    <n v="1584500000"/>
    <m/>
    <n v="1105700000"/>
    <n v="0"/>
    <n v="52500000"/>
    <x v="0"/>
    <s v="Research &amp; Consulting Services"/>
    <n v="1584500000"/>
    <n v="1158200000"/>
    <n v="426300000"/>
  </r>
  <r>
    <x v="116"/>
    <s v="Year 4"/>
    <d v="2015-12-31T00:00:00"/>
    <n v="1637100000"/>
    <m/>
    <n v="1209100000"/>
    <n v="0"/>
    <n v="58700000"/>
    <x v="0"/>
    <s v="Research &amp; Consulting Services"/>
    <n v="1637100000"/>
    <n v="1267800000"/>
    <n v="369300000"/>
  </r>
  <r>
    <x v="117"/>
    <s v="Year 1"/>
    <d v="2013-12-31T00:00:00"/>
    <n v="7155096000"/>
    <n v="4376505000"/>
    <n v="1616921000"/>
    <n v="0"/>
    <n v="0"/>
    <x v="0"/>
    <s v="Industrial Machinery"/>
    <n v="2778591000"/>
    <n v="1616921000"/>
    <n v="1161670000"/>
  </r>
  <r>
    <x v="117"/>
    <s v="Year 2"/>
    <d v="2014-12-31T00:00:00"/>
    <n v="7752728000"/>
    <n v="4778479000"/>
    <n v="1758765000"/>
    <n v="0"/>
    <n v="0"/>
    <x v="0"/>
    <s v="Industrial Machinery"/>
    <n v="2974249000"/>
    <n v="1758765000"/>
    <n v="1215484000"/>
  </r>
  <r>
    <x v="117"/>
    <s v="Year 3"/>
    <d v="2015-12-31T00:00:00"/>
    <n v="6956311000"/>
    <n v="4388167000"/>
    <n v="1647382000"/>
    <n v="0"/>
    <n v="0"/>
    <x v="0"/>
    <s v="Industrial Machinery"/>
    <n v="2568144000"/>
    <n v="1647382000"/>
    <n v="920762000"/>
  </r>
  <r>
    <x v="117"/>
    <s v="Year 4"/>
    <d v="2016-12-31T00:00:00"/>
    <n v="6794342000"/>
    <n v="4322373000"/>
    <n v="1757523000"/>
    <n v="0"/>
    <n v="0"/>
    <x v="0"/>
    <s v="Industrial Machinery"/>
    <n v="2471969000"/>
    <n v="1757523000"/>
    <n v="714446000"/>
  </r>
  <r>
    <x v="118"/>
    <s v="Year 1"/>
    <d v="2013-12-31T00:00:00"/>
    <n v="5997000000"/>
    <n v="2499000000"/>
    <n v="2337000000"/>
    <n v="0"/>
    <n v="115000000"/>
    <x v="4"/>
    <s v="Soft Drinks"/>
    <n v="3498000000"/>
    <n v="2452000000"/>
    <n v="1046000000"/>
  </r>
  <r>
    <x v="118"/>
    <s v="Year 2"/>
    <d v="2014-12-31T00:00:00"/>
    <n v="6121000000"/>
    <n v="2491000000"/>
    <n v="2335000000"/>
    <n v="0"/>
    <n v="115000000"/>
    <x v="4"/>
    <s v="Soft Drinks"/>
    <n v="3630000000"/>
    <n v="2450000000"/>
    <n v="1180000000"/>
  </r>
  <r>
    <x v="118"/>
    <s v="Year 3"/>
    <d v="2015-12-31T00:00:00"/>
    <n v="6282000000"/>
    <n v="2559000000"/>
    <n v="2320000000"/>
    <n v="0"/>
    <n v="105000000"/>
    <x v="4"/>
    <s v="Soft Drinks"/>
    <n v="3723000000"/>
    <n v="2425000000"/>
    <n v="1298000000"/>
  </r>
  <r>
    <x v="118"/>
    <s v="Year 4"/>
    <d v="2016-12-31T00:00:00"/>
    <n v="6440000000"/>
    <n v="2582000000"/>
    <n v="2326000000"/>
    <n v="0"/>
    <n v="99000000"/>
    <x v="4"/>
    <s v="Soft Drinks"/>
    <n v="3858000000"/>
    <n v="2425000000"/>
    <n v="1433000000"/>
  </r>
  <r>
    <x v="119"/>
    <s v="Year 1"/>
    <d v="2013-05-26T00:00:00"/>
    <n v="5921000000"/>
    <n v="4616600000"/>
    <n v="625200000"/>
    <n v="0"/>
    <n v="278300000"/>
    <x v="1"/>
    <s v="Restaurants"/>
    <n v="1304400000"/>
    <n v="903500000"/>
    <n v="400900000"/>
  </r>
  <r>
    <x v="119"/>
    <s v="Year 2"/>
    <d v="2014-05-25T00:00:00"/>
    <n v="6285600000"/>
    <n v="4990500000"/>
    <n v="665400000"/>
    <n v="0"/>
    <n v="304400000"/>
    <x v="1"/>
    <s v="Restaurants"/>
    <n v="1295100000"/>
    <n v="969800000"/>
    <n v="325300000"/>
  </r>
  <r>
    <x v="119"/>
    <s v="Year 3"/>
    <d v="2015-05-31T00:00:00"/>
    <n v="6764000000"/>
    <n v="5341500000"/>
    <n v="673500000"/>
    <n v="0"/>
    <n v="319300000"/>
    <x v="1"/>
    <s v="Restaurants"/>
    <n v="1422500000"/>
    <n v="992800000"/>
    <n v="429700000"/>
  </r>
  <r>
    <x v="119"/>
    <s v="Year 4"/>
    <d v="2016-05-29T00:00:00"/>
    <n v="6933500000"/>
    <n v="5392400000"/>
    <n v="622900000"/>
    <n v="0"/>
    <n v="290200000"/>
    <x v="1"/>
    <s v="Restaurants"/>
    <n v="1541100000"/>
    <n v="913100000"/>
    <n v="628000000"/>
  </r>
  <r>
    <x v="120"/>
    <s v="Year 1"/>
    <d v="2012-12-31T00:00:00"/>
    <n v="17912000000"/>
    <n v="11235000000"/>
    <n v="965000000"/>
    <n v="0"/>
    <n v="2145000000"/>
    <x v="5"/>
    <s v="Electric Utilities"/>
    <n v="6677000000"/>
    <n v="3110000000"/>
    <n v="3567000000"/>
  </r>
  <r>
    <x v="120"/>
    <s v="Year 2"/>
    <d v="2013-12-31T00:00:00"/>
    <n v="22756000000"/>
    <n v="13545000000"/>
    <n v="1274000000"/>
    <n v="0"/>
    <n v="2668000000"/>
    <x v="5"/>
    <s v="Electric Utilities"/>
    <n v="9211000000"/>
    <n v="3942000000"/>
    <n v="5269000000"/>
  </r>
  <r>
    <x v="120"/>
    <s v="Year 3"/>
    <d v="2014-12-31T00:00:00"/>
    <n v="23925000000"/>
    <n v="14323000000"/>
    <n v="1213000000"/>
    <n v="0"/>
    <n v="3066000000"/>
    <x v="5"/>
    <s v="Electric Utilities"/>
    <n v="9602000000"/>
    <n v="4279000000"/>
    <n v="5323000000"/>
  </r>
  <r>
    <x v="120"/>
    <s v="Year 4"/>
    <d v="2015-12-31T00:00:00"/>
    <n v="23459000000"/>
    <n v="13728000000"/>
    <n v="1135000000"/>
    <n v="0"/>
    <n v="3144000000"/>
    <x v="5"/>
    <s v="Electric Utilities"/>
    <n v="9731000000"/>
    <n v="4279000000"/>
    <n v="5452000000"/>
  </r>
  <r>
    <x v="121"/>
    <s v="Year 1"/>
    <d v="2012-12-31T00:00:00"/>
    <n v="8186280000"/>
    <n v="5583549000"/>
    <n v="889879000"/>
    <n v="0"/>
    <n v="341969000"/>
    <x v="3"/>
    <s v="Health Care Facilities"/>
    <n v="2602731000"/>
    <n v="1231848000"/>
    <n v="1370883000"/>
  </r>
  <r>
    <x v="121"/>
    <s v="Year 2"/>
    <d v="2013-12-31T00:00:00"/>
    <n v="11764050000"/>
    <n v="8198377000"/>
    <n v="1516508000"/>
    <n v="0"/>
    <n v="528737000"/>
    <x v="3"/>
    <s v="Health Care Facilities"/>
    <n v="3565673000"/>
    <n v="2045245000"/>
    <n v="1520428000"/>
  </r>
  <r>
    <x v="121"/>
    <s v="Year 3"/>
    <d v="2014-12-31T00:00:00"/>
    <n v="12795106000"/>
    <n v="9119305000"/>
    <n v="1278506000"/>
    <n v="0"/>
    <n v="590935000"/>
    <x v="3"/>
    <s v="Health Care Facilities"/>
    <n v="3675801000"/>
    <n v="1869441000"/>
    <n v="1806360000"/>
  </r>
  <r>
    <x v="121"/>
    <s v="Year 4"/>
    <d v="2015-12-31T00:00:00"/>
    <n v="13781837000"/>
    <n v="9824834000"/>
    <n v="1947135000"/>
    <n v="0"/>
    <n v="638024000"/>
    <x v="3"/>
    <s v="Health Care Facilities"/>
    <n v="3957003000"/>
    <n v="2585159000"/>
    <n v="1371844000"/>
  </r>
  <r>
    <x v="122"/>
    <s v="Year 1"/>
    <d v="2013-12-31T00:00:00"/>
    <n v="10397000000"/>
    <n v="2268000000"/>
    <n v="2743000000"/>
    <n v="0"/>
    <n v="2780000000"/>
    <x v="9"/>
    <s v="Oil &amp; Gas Exploration &amp; Production"/>
    <n v="8129000000"/>
    <n v="5523000000"/>
    <n v="2606000000"/>
  </r>
  <r>
    <x v="122"/>
    <s v="Year 2"/>
    <d v="2014-12-31T00:00:00"/>
    <n v="20638000000"/>
    <n v="2332000000"/>
    <n v="8290000000"/>
    <n v="0"/>
    <n v="3319000000"/>
    <x v="9"/>
    <s v="Oil &amp; Gas Exploration &amp; Production"/>
    <n v="18306000000"/>
    <n v="11609000000"/>
    <n v="6697000000"/>
  </r>
  <r>
    <x v="122"/>
    <s v="Year 3"/>
    <d v="2015-12-31T00:00:00"/>
    <n v="13145000000"/>
    <n v="2104000000"/>
    <n v="7741000000"/>
    <n v="0"/>
    <n v="3129000000"/>
    <x v="9"/>
    <s v="Oil &amp; Gas Exploration &amp; Production"/>
    <n v="11041000000"/>
    <n v="10870000000"/>
    <n v="171000000"/>
  </r>
  <r>
    <x v="122"/>
    <s v="Year 4"/>
    <d v="2016-12-31T00:00:00"/>
    <n v="12197000000"/>
    <n v="1582000000"/>
    <n v="6476000000"/>
    <n v="0"/>
    <n v="1792000000"/>
    <x v="9"/>
    <s v="Oil &amp; Gas Exploration &amp; Production"/>
    <n v="10615000000"/>
    <n v="8268000000"/>
    <n v="2347000000"/>
  </r>
  <r>
    <x v="123"/>
    <s v="Year 1"/>
    <d v="2013-03-31T00:00:00"/>
    <n v="3797000000"/>
    <n v="1388000000"/>
    <n v="1078000000"/>
    <n v="1153000000"/>
    <n v="30000000"/>
    <x v="2"/>
    <s v="Home Entertainment Software"/>
    <n v="2409000000"/>
    <n v="2261000000"/>
    <n v="148000000"/>
  </r>
  <r>
    <x v="123"/>
    <s v="Year 2"/>
    <d v="2014-03-31T00:00:00"/>
    <n v="3575000000"/>
    <n v="1347000000"/>
    <n v="1055000000"/>
    <n v="1125000000"/>
    <n v="16000000"/>
    <x v="2"/>
    <s v="Home Entertainment Software"/>
    <n v="2228000000"/>
    <n v="2196000000"/>
    <n v="32000000"/>
  </r>
  <r>
    <x v="123"/>
    <s v="Year 3"/>
    <d v="2015-03-31T00:00:00"/>
    <n v="4515000000"/>
    <n v="1429000000"/>
    <n v="1030000000"/>
    <n v="1094000000"/>
    <n v="14000000"/>
    <x v="2"/>
    <s v="Home Entertainment Software"/>
    <n v="3086000000"/>
    <n v="2138000000"/>
    <n v="948000000"/>
  </r>
  <r>
    <x v="123"/>
    <s v="Year 4"/>
    <d v="2016-03-31T00:00:00"/>
    <n v="4396000000"/>
    <n v="1354000000"/>
    <n v="1028000000"/>
    <n v="1109000000"/>
    <n v="7000000"/>
    <x v="2"/>
    <s v="Home Entertainment Software"/>
    <n v="3042000000"/>
    <n v="2144000000"/>
    <n v="898000000"/>
  </r>
  <r>
    <x v="124"/>
    <s v="Year 1"/>
    <d v="2013-12-31T00:00:00"/>
    <n v="8257000000"/>
    <n v="1492000000"/>
    <n v="3260000000"/>
    <n v="915000000"/>
    <n v="136000000"/>
    <x v="2"/>
    <s v="Internet Software &amp; Services"/>
    <n v="6765000000"/>
    <n v="4311000000"/>
    <n v="2454000000"/>
  </r>
  <r>
    <x v="124"/>
    <s v="Year 2"/>
    <d v="2014-12-31T00:00:00"/>
    <n v="8790000000"/>
    <n v="1663000000"/>
    <n v="3593000000"/>
    <n v="983000000"/>
    <n v="75000000"/>
    <x v="2"/>
    <s v="Internet Software &amp; Services"/>
    <n v="7127000000"/>
    <n v="4651000000"/>
    <n v="2476000000"/>
  </r>
  <r>
    <x v="124"/>
    <s v="Year 3"/>
    <d v="2015-12-31T00:00:00"/>
    <n v="8592000000"/>
    <n v="1771000000"/>
    <n v="3660000000"/>
    <n v="923000000"/>
    <n v="41000000"/>
    <x v="2"/>
    <s v="Internet Software &amp; Services"/>
    <n v="6821000000"/>
    <n v="4624000000"/>
    <n v="2197000000"/>
  </r>
  <r>
    <x v="124"/>
    <s v="Year 4"/>
    <d v="2016-12-31T00:00:00"/>
    <n v="8979000000"/>
    <n v="2007000000"/>
    <n v="3499000000"/>
    <n v="1114000000"/>
    <n v="34000000"/>
    <x v="2"/>
    <s v="Internet Software &amp; Services"/>
    <n v="6972000000"/>
    <n v="4647000000"/>
    <n v="2325000000"/>
  </r>
  <r>
    <x v="125"/>
    <s v="Year 1"/>
    <d v="2012-12-31T00:00:00"/>
    <n v="11838700000"/>
    <n v="6385400000"/>
    <n v="4018300000"/>
    <n v="0"/>
    <n v="0"/>
    <x v="8"/>
    <s v="Specialty Chemicals"/>
    <n v="5453300000"/>
    <n v="4018300000"/>
    <n v="1435000000"/>
  </r>
  <r>
    <x v="125"/>
    <s v="Year 2"/>
    <d v="2013-12-31T00:00:00"/>
    <n v="13253400000"/>
    <n v="7161200000"/>
    <n v="4360300000"/>
    <n v="0"/>
    <n v="0"/>
    <x v="8"/>
    <s v="Specialty Chemicals"/>
    <n v="6092200000"/>
    <n v="4360300000"/>
    <n v="1731900000"/>
  </r>
  <r>
    <x v="125"/>
    <s v="Year 3"/>
    <d v="2014-12-31T00:00:00"/>
    <n v="14280500000"/>
    <n v="7679100000"/>
    <n v="4577600000"/>
    <n v="0"/>
    <n v="0"/>
    <x v="8"/>
    <s v="Specialty Chemicals"/>
    <n v="6601400000"/>
    <n v="4577600000"/>
    <n v="2023800000"/>
  </r>
  <r>
    <x v="125"/>
    <s v="Year 4"/>
    <d v="2015-12-31T00:00:00"/>
    <n v="13545100000"/>
    <n v="7223500000"/>
    <n v="4345500000"/>
    <n v="0"/>
    <n v="0"/>
    <x v="8"/>
    <s v="Specialty Chemicals"/>
    <n v="6321600000"/>
    <n v="4345500000"/>
    <n v="1976100000"/>
  </r>
  <r>
    <x v="126"/>
    <s v="Year 1"/>
    <d v="2013-12-31T00:00:00"/>
    <n v="12354000000"/>
    <n v="7191000000"/>
    <n v="1895000000"/>
    <n v="0"/>
    <n v="1024000000"/>
    <x v="5"/>
    <s v="Electric Utilities"/>
    <n v="5163000000"/>
    <n v="2919000000"/>
    <n v="2244000000"/>
  </r>
  <r>
    <x v="126"/>
    <s v="Year 2"/>
    <d v="2014-12-31T00:00:00"/>
    <n v="12919000000"/>
    <n v="7807000000"/>
    <n v="1877000000"/>
    <n v="0"/>
    <n v="1071000000"/>
    <x v="5"/>
    <s v="Electric Utilities"/>
    <n v="5112000000"/>
    <n v="2948000000"/>
    <n v="2164000000"/>
  </r>
  <r>
    <x v="126"/>
    <s v="Year 3"/>
    <d v="2015-12-31T00:00:00"/>
    <n v="12554000000"/>
    <n v="7060000000"/>
    <n v="1937000000"/>
    <n v="0"/>
    <n v="1130000000"/>
    <x v="5"/>
    <s v="Electric Utilities"/>
    <n v="5494000000"/>
    <n v="3067000000"/>
    <n v="2427000000"/>
  </r>
  <r>
    <x v="126"/>
    <s v="Year 4"/>
    <d v="2016-12-31T00:00:00"/>
    <n v="12075000000"/>
    <n v="6357000000"/>
    <n v="2031000000"/>
    <n v="0"/>
    <n v="1216000000"/>
    <x v="5"/>
    <s v="Electric Utilities"/>
    <n v="5718000000"/>
    <n v="3247000000"/>
    <n v="2471000000"/>
  </r>
  <r>
    <x v="127"/>
    <s v="Year 1"/>
    <d v="2012-12-31T00:00:00"/>
    <n v="2073000000"/>
    <n v="759500000"/>
    <n v="673500000"/>
    <n v="0"/>
    <n v="160000000"/>
    <x v="0"/>
    <s v="Research &amp; Consulting Services"/>
    <n v="1313500000"/>
    <n v="833500000"/>
    <n v="480000000"/>
  </r>
  <r>
    <x v="127"/>
    <s v="Year 2"/>
    <d v="2013-12-31T00:00:00"/>
    <n v="2303900000"/>
    <n v="787300000"/>
    <n v="715800000"/>
    <n v="0"/>
    <n v="189600000"/>
    <x v="0"/>
    <s v="Research &amp; Consulting Services"/>
    <n v="1516600000"/>
    <n v="905400000"/>
    <n v="611200000"/>
  </r>
  <r>
    <x v="127"/>
    <s v="Year 3"/>
    <d v="2014-12-31T00:00:00"/>
    <n v="2436400000"/>
    <n v="844700000"/>
    <n v="751700000"/>
    <n v="0"/>
    <n v="201800000"/>
    <x v="0"/>
    <s v="Research &amp; Consulting Services"/>
    <n v="1591700000"/>
    <n v="953500000"/>
    <n v="638200000"/>
  </r>
  <r>
    <x v="127"/>
    <s v="Year 4"/>
    <d v="2015-12-31T00:00:00"/>
    <n v="2663600000"/>
    <n v="887400000"/>
    <n v="884300000"/>
    <n v="0"/>
    <n v="198000000"/>
    <x v="0"/>
    <s v="Research &amp; Consulting Services"/>
    <n v="1776200000"/>
    <n v="1082300000"/>
    <n v="693900000"/>
  </r>
  <r>
    <x v="128"/>
    <s v="Year 1"/>
    <d v="2012-12-31T00:00:00"/>
    <n v="11862000000"/>
    <n v="7747000000"/>
    <n v="296000000"/>
    <n v="0"/>
    <n v="1562000000"/>
    <x v="5"/>
    <s v="Electric Utilities"/>
    <n v="4115000000"/>
    <n v="1858000000"/>
    <n v="2257000000"/>
  </r>
  <r>
    <x v="128"/>
    <s v="Year 2"/>
    <d v="2013-12-31T00:00:00"/>
    <n v="12581000000"/>
    <n v="8364000000"/>
    <n v="309000000"/>
    <n v="0"/>
    <n v="1622000000"/>
    <x v="5"/>
    <s v="Electric Utilities"/>
    <n v="4217000000"/>
    <n v="1931000000"/>
    <n v="2286000000"/>
  </r>
  <r>
    <x v="128"/>
    <s v="Year 3"/>
    <d v="2014-12-31T00:00:00"/>
    <n v="13413000000"/>
    <n v="8742000000"/>
    <n v="322000000"/>
    <n v="0"/>
    <n v="1720000000"/>
    <x v="5"/>
    <s v="Electric Utilities"/>
    <n v="4671000000"/>
    <n v="2042000000"/>
    <n v="2629000000"/>
  </r>
  <r>
    <x v="128"/>
    <s v="Year 4"/>
    <d v="2015-12-31T00:00:00"/>
    <n v="11524000000"/>
    <n v="7256000000"/>
    <n v="336000000"/>
    <n v="0"/>
    <n v="1919000000"/>
    <x v="5"/>
    <s v="Electric Utilities"/>
    <n v="4268000000"/>
    <n v="2255000000"/>
    <n v="2013000000"/>
  </r>
  <r>
    <x v="129"/>
    <s v="Year 1"/>
    <d v="2013-06-30T00:00:00"/>
    <n v="10181700000"/>
    <n v="2025900000"/>
    <n v="6597000000"/>
    <n v="0"/>
    <n v="0"/>
    <x v="4"/>
    <s v="Personal Products"/>
    <n v="8155800000"/>
    <n v="6597000000"/>
    <n v="1558800000"/>
  </r>
  <r>
    <x v="129"/>
    <s v="Year 2"/>
    <d v="2014-06-30T00:00:00"/>
    <n v="10968800000"/>
    <n v="2158200000"/>
    <n v="6985900000"/>
    <n v="0"/>
    <n v="0"/>
    <x v="4"/>
    <s v="Personal Products"/>
    <n v="8810600000"/>
    <n v="6985900000"/>
    <n v="1824700000"/>
  </r>
  <r>
    <x v="129"/>
    <s v="Year 3"/>
    <d v="2015-06-30T00:00:00"/>
    <n v="10780400000"/>
    <n v="2100600000"/>
    <n v="7073500000"/>
    <n v="0"/>
    <n v="0"/>
    <x v="4"/>
    <s v="Personal Products"/>
    <n v="8679800000"/>
    <n v="7073500000"/>
    <n v="1606300000"/>
  </r>
  <r>
    <x v="129"/>
    <s v="Year 4"/>
    <d v="2016-06-30T00:00:00"/>
    <n v="11262300000"/>
    <n v="2181100000"/>
    <n v="7337800000"/>
    <n v="0"/>
    <n v="0"/>
    <x v="4"/>
    <s v="Personal Products"/>
    <n v="9081200000"/>
    <n v="7337800000"/>
    <n v="1743400000"/>
  </r>
  <r>
    <x v="130"/>
    <s v="Year 1"/>
    <d v="2012-12-31T00:00:00"/>
    <n v="8102000000"/>
    <n v="6340000000"/>
    <n v="644000000"/>
    <n v="198000000"/>
    <n v="0"/>
    <x v="8"/>
    <s v="Diversified Chemicals"/>
    <n v="1762000000"/>
    <n v="842000000"/>
    <n v="920000000"/>
  </r>
  <r>
    <x v="130"/>
    <s v="Year 2"/>
    <d v="2013-12-31T00:00:00"/>
    <n v="9350000000"/>
    <n v="6574000000"/>
    <n v="645000000"/>
    <n v="193000000"/>
    <n v="0"/>
    <x v="8"/>
    <s v="Diversified Chemicals"/>
    <n v="2776000000"/>
    <n v="838000000"/>
    <n v="1938000000"/>
  </r>
  <r>
    <x v="130"/>
    <s v="Year 3"/>
    <d v="2014-12-31T00:00:00"/>
    <n v="9527000000"/>
    <n v="7306000000"/>
    <n v="755000000"/>
    <n v="227000000"/>
    <n v="0"/>
    <x v="8"/>
    <s v="Diversified Chemicals"/>
    <n v="2221000000"/>
    <n v="982000000"/>
    <n v="1239000000"/>
  </r>
  <r>
    <x v="130"/>
    <s v="Year 4"/>
    <d v="2015-12-31T00:00:00"/>
    <n v="9648000000"/>
    <n v="7068000000"/>
    <n v="762000000"/>
    <n v="251000000"/>
    <n v="0"/>
    <x v="8"/>
    <s v="Diversified Chemicals"/>
    <n v="2580000000"/>
    <n v="1013000000"/>
    <n v="1567000000"/>
  </r>
  <r>
    <x v="131"/>
    <s v="Year 1"/>
    <d v="2013-09-30T00:00:00"/>
    <n v="24669000000"/>
    <n v="14717000000"/>
    <n v="6010000000"/>
    <n v="0"/>
    <n v="0"/>
    <x v="0"/>
    <s v="Industrial Conglomerates"/>
    <n v="9952000000"/>
    <n v="6010000000"/>
    <n v="3942000000"/>
  </r>
  <r>
    <x v="131"/>
    <s v="Year 2"/>
    <d v="2014-09-30T00:00:00"/>
    <n v="17733000000"/>
    <n v="9971000000"/>
    <n v="4375000000"/>
    <n v="0"/>
    <n v="0"/>
    <x v="0"/>
    <s v="Industrial Conglomerates"/>
    <n v="7762000000"/>
    <n v="4375000000"/>
    <n v="3387000000"/>
  </r>
  <r>
    <x v="131"/>
    <s v="Year 3"/>
    <d v="2015-09-30T00:00:00"/>
    <n v="16249000000"/>
    <n v="9241000000"/>
    <n v="4065000000"/>
    <n v="0"/>
    <n v="0"/>
    <x v="0"/>
    <s v="Industrial Conglomerates"/>
    <n v="7008000000"/>
    <n v="4065000000"/>
    <n v="2943000000"/>
  </r>
  <r>
    <x v="131"/>
    <s v="Year 4"/>
    <d v="2016-09-30T00:00:00"/>
    <n v="14522000000"/>
    <n v="8260000000"/>
    <n v="3758000000"/>
    <n v="0"/>
    <n v="0"/>
    <x v="0"/>
    <s v="Industrial Conglomerates"/>
    <n v="6262000000"/>
    <n v="3758000000"/>
    <n v="2504000000"/>
  </r>
  <r>
    <x v="132"/>
    <s v="Year 1"/>
    <d v="2012-12-31T00:00:00"/>
    <n v="11682636000"/>
    <n v="1699428000"/>
    <n v="3862434000"/>
    <n v="0"/>
    <n v="3169703000"/>
    <x v="9"/>
    <s v="Oil &amp; Gas Exploration &amp; Production"/>
    <n v="9983208000"/>
    <n v="7032137000"/>
    <n v="2951071000"/>
  </r>
  <r>
    <x v="132"/>
    <s v="Year 2"/>
    <d v="2013-12-31T00:00:00"/>
    <n v="14487118000"/>
    <n v="2066893000"/>
    <n v="4621096000"/>
    <n v="0"/>
    <n v="3600976000"/>
    <x v="9"/>
    <s v="Oil &amp; Gas Exploration &amp; Production"/>
    <n v="12420225000"/>
    <n v="8222072000"/>
    <n v="4198153000"/>
  </r>
  <r>
    <x v="132"/>
    <s v="Year 3"/>
    <d v="2014-12-31T00:00:00"/>
    <n v="18035340000"/>
    <n v="2534389000"/>
    <n v="5285634000"/>
    <n v="0"/>
    <n v="3997041000"/>
    <x v="9"/>
    <s v="Oil &amp; Gas Exploration &amp; Production"/>
    <n v="15500951000"/>
    <n v="9282675000"/>
    <n v="6218276000"/>
  </r>
  <r>
    <x v="132"/>
    <s v="Year 4"/>
    <d v="2015-12-31T00:00:00"/>
    <n v="8757428000"/>
    <n v="2177757000"/>
    <n v="3174320000"/>
    <n v="0"/>
    <n v="3313644000"/>
    <x v="9"/>
    <s v="Oil &amp; Gas Exploration &amp; Production"/>
    <n v="6579671000"/>
    <n v="6487964000"/>
    <n v="91707000"/>
  </r>
  <r>
    <x v="133"/>
    <s v="Year 1"/>
    <d v="2012-12-31T00:00:00"/>
    <n v="1887376000"/>
    <n v="944617000"/>
    <n v="531180000"/>
    <n v="0"/>
    <n v="0"/>
    <x v="7"/>
    <s v="REITs"/>
    <n v="942759000"/>
    <n v="531180000"/>
    <n v="411579000"/>
  </r>
  <r>
    <x v="133"/>
    <s v="Year 2"/>
    <d v="2013-12-31T00:00:00"/>
    <n v="2152766000"/>
    <n v="1064403000"/>
    <n v="621413000"/>
    <n v="0"/>
    <n v="0"/>
    <x v="7"/>
    <s v="REITs"/>
    <n v="1088363000"/>
    <n v="621413000"/>
    <n v="466950000"/>
  </r>
  <r>
    <x v="133"/>
    <s v="Year 3"/>
    <d v="2014-12-31T00:00:00"/>
    <n v="2443776000"/>
    <n v="1197885000"/>
    <n v="734119000"/>
    <n v="0"/>
    <n v="0"/>
    <x v="7"/>
    <s v="REITs"/>
    <n v="1245891000"/>
    <n v="734119000"/>
    <n v="511772000"/>
  </r>
  <r>
    <x v="133"/>
    <s v="Year 4"/>
    <d v="2015-12-31T00:00:00"/>
    <n v="2725867000"/>
    <n v="1291506000"/>
    <n v="825296000"/>
    <n v="0"/>
    <n v="0"/>
    <x v="7"/>
    <s v="REITs"/>
    <n v="1434361000"/>
    <n v="825296000"/>
    <n v="609065000"/>
  </r>
  <r>
    <x v="134"/>
    <s v="Year 1"/>
    <d v="2012-12-31T00:00:00"/>
    <n v="1747502000"/>
    <n v="625507000"/>
    <n v="47233000"/>
    <n v="0"/>
    <n v="560669000"/>
    <x v="7"/>
    <s v="REITs"/>
    <n v="1121995000"/>
    <n v="607902000"/>
    <n v="514093000"/>
  </r>
  <r>
    <x v="134"/>
    <s v="Year 2"/>
    <d v="2013-12-31T00:00:00"/>
    <n v="2387702000"/>
    <n v="834228000"/>
    <n v="62179000"/>
    <n v="0"/>
    <n v="978973000"/>
    <x v="7"/>
    <s v="REITs"/>
    <n v="1553474000"/>
    <n v="1041152000"/>
    <n v="512322000"/>
  </r>
  <r>
    <x v="134"/>
    <s v="Year 3"/>
    <d v="2014-12-31T00:00:00"/>
    <n v="2614748000"/>
    <n v="883564000"/>
    <n v="50948000"/>
    <n v="0"/>
    <n v="758861000"/>
    <x v="7"/>
    <s v="REITs"/>
    <n v="1731184000"/>
    <n v="809809000"/>
    <n v="921375000"/>
  </r>
  <r>
    <x v="134"/>
    <s v="Year 4"/>
    <d v="2015-12-31T00:00:00"/>
    <n v="2744965000"/>
    <n v="905168000"/>
    <n v="65082000"/>
    <n v="0"/>
    <n v="765895000"/>
    <x v="7"/>
    <s v="REITs"/>
    <n v="1839797000"/>
    <n v="830977000"/>
    <n v="1008820000"/>
  </r>
  <r>
    <x v="135"/>
    <s v="Year 1"/>
    <d v="2013-12-31T00:00:00"/>
    <n v="1859177000"/>
    <n v="354561000"/>
    <n v="200849000"/>
    <n v="0"/>
    <n v="653132000"/>
    <x v="9"/>
    <s v="Oil &amp; Gas Exploration &amp; Production"/>
    <n v="1504616000"/>
    <n v="853981000"/>
    <n v="650635000"/>
  </r>
  <r>
    <x v="135"/>
    <s v="Year 2"/>
    <d v="2014-12-31T00:00:00"/>
    <n v="2388768000"/>
    <n v="443974000"/>
    <n v="238134000"/>
    <n v="0"/>
    <n v="679298000"/>
    <x v="9"/>
    <s v="Oil &amp; Gas Exploration &amp; Production"/>
    <n v="1944794000"/>
    <n v="917432000"/>
    <n v="1027362000"/>
  </r>
  <r>
    <x v="135"/>
    <s v="Year 3"/>
    <d v="2015-12-31T00:00:00"/>
    <n v="1954000000"/>
    <n v="523043000"/>
    <n v="249925000"/>
    <n v="0"/>
    <n v="819216000"/>
    <x v="9"/>
    <s v="Oil &amp; Gas Exploration &amp; Production"/>
    <n v="1430957000"/>
    <n v="1069141000"/>
    <n v="361816000"/>
  </r>
  <r>
    <x v="135"/>
    <s v="Year 4"/>
    <d v="2016-12-31T00:00:00"/>
    <n v="1857339000"/>
    <n v="613909000"/>
    <n v="272747000"/>
    <n v="0"/>
    <n v="927920000"/>
    <x v="9"/>
    <s v="Oil &amp; Gas Exploration &amp; Production"/>
    <n v="1243430000"/>
    <n v="1200667000"/>
    <n v="42763000"/>
  </r>
  <r>
    <x v="136"/>
    <s v="Year 1"/>
    <d v="2012-12-31T00:00:00"/>
    <n v="6273787000"/>
    <n v="3667434000"/>
    <n v="747356000"/>
    <n v="0"/>
    <n v="740791000"/>
    <x v="5"/>
    <s v="MultiUtilities"/>
    <n v="2606353000"/>
    <n v="1488147000"/>
    <n v="1118206000"/>
  </r>
  <r>
    <x v="136"/>
    <s v="Year 2"/>
    <d v="2013-12-31T00:00:00"/>
    <n v="7301204000"/>
    <n v="3997940000"/>
    <n v="914149000"/>
    <n v="0"/>
    <n v="859680000"/>
    <x v="5"/>
    <s v="MultiUtilities"/>
    <n v="3303264000"/>
    <n v="1773829000"/>
    <n v="1529435000"/>
  </r>
  <r>
    <x v="136"/>
    <s v="Year 3"/>
    <d v="2014-12-31T00:00:00"/>
    <n v="7741856000"/>
    <n v="4449139000"/>
    <n v="1034507000"/>
    <n v="0"/>
    <n v="625361000"/>
    <x v="5"/>
    <s v="MultiUtilities"/>
    <n v="3292717000"/>
    <n v="1659868000"/>
    <n v="1632849000"/>
  </r>
  <r>
    <x v="136"/>
    <s v="Year 4"/>
    <d v="2015-12-31T00:00:00"/>
    <n v="7954827000"/>
    <n v="4416194000"/>
    <n v="1086274000"/>
    <n v="0"/>
    <n v="688195000"/>
    <x v="5"/>
    <s v="MultiUtilities"/>
    <n v="3538633000"/>
    <n v="1774469000"/>
    <n v="1764164000"/>
  </r>
  <r>
    <x v="137"/>
    <s v="Year 1"/>
    <d v="2012-12-31T00:00:00"/>
    <n v="535153000"/>
    <n v="172167000"/>
    <n v="24573000"/>
    <n v="0"/>
    <n v="169173000"/>
    <x v="7"/>
    <s v="Residential REITs"/>
    <n v="362986000"/>
    <n v="193746000"/>
    <n v="169240000"/>
  </r>
  <r>
    <x v="137"/>
    <s v="Year 2"/>
    <d v="2013-12-31T00:00:00"/>
    <n v="610590000"/>
    <n v="197336000"/>
    <n v="26684000"/>
    <n v="0"/>
    <n v="192420000"/>
    <x v="7"/>
    <s v="Residential REITs"/>
    <n v="413254000"/>
    <n v="219104000"/>
    <n v="194150000"/>
  </r>
  <r>
    <x v="137"/>
    <s v="Year 3"/>
    <d v="2014-12-31T00:00:00"/>
    <n v="970938000"/>
    <n v="312546000"/>
    <n v="40878000"/>
    <n v="0"/>
    <n v="360592000"/>
    <x v="7"/>
    <s v="Residential REITs"/>
    <n v="658392000"/>
    <n v="401470000"/>
    <n v="256922000"/>
  </r>
  <r>
    <x v="137"/>
    <s v="Year 4"/>
    <d v="2015-12-31T00:00:00"/>
    <n v="1194407000"/>
    <n v="363508000"/>
    <n v="40090000"/>
    <n v="0"/>
    <n v="453423000"/>
    <x v="7"/>
    <s v="Residential REITs"/>
    <n v="830899000"/>
    <n v="493513000"/>
    <n v="337386000"/>
  </r>
  <r>
    <x v="138"/>
    <s v="Year 1"/>
    <d v="2012-12-31T00:00:00"/>
    <n v="1365000000"/>
    <m/>
    <n v="921000000"/>
    <n v="0"/>
    <n v="471000000"/>
    <x v="6"/>
    <s v="Investment Banking &amp; Brokerage"/>
    <n v="1365000000"/>
    <n v="1392000000"/>
    <n v="-27000000"/>
  </r>
  <r>
    <x v="138"/>
    <s v="Year 2"/>
    <d v="2013-12-31T00:00:00"/>
    <n v="1466000000"/>
    <m/>
    <n v="888000000"/>
    <n v="0"/>
    <n v="256000000"/>
    <x v="6"/>
    <s v="Investment Banking &amp; Brokerage"/>
    <n v="1466000000"/>
    <n v="1144000000"/>
    <n v="322000000"/>
  </r>
  <r>
    <x v="138"/>
    <s v="Year 3"/>
    <d v="2014-12-31T00:00:00"/>
    <n v="1665000000"/>
    <m/>
    <n v="958000000"/>
    <n v="0"/>
    <n v="136000000"/>
    <x v="6"/>
    <s v="Investment Banking &amp; Brokerage"/>
    <n v="1665000000"/>
    <n v="1094000000"/>
    <n v="571000000"/>
  </r>
  <r>
    <x v="138"/>
    <s v="Year 4"/>
    <d v="2015-12-31T00:00:00"/>
    <n v="1403000000"/>
    <m/>
    <n v="1048000000"/>
    <n v="0"/>
    <n v="61000000"/>
    <x v="6"/>
    <s v="Investment Banking &amp; Brokerage"/>
    <n v="1403000000"/>
    <n v="1109000000"/>
    <n v="294000000"/>
  </r>
  <r>
    <x v="139"/>
    <s v="Year 1"/>
    <d v="2012-12-31T00:00:00"/>
    <n v="16311000000"/>
    <n v="11448000000"/>
    <n v="2894000000"/>
    <n v="439000000"/>
    <n v="0"/>
    <x v="0"/>
    <s v="Industrial Conglomerates"/>
    <n v="4863000000"/>
    <n v="3333000000"/>
    <n v="1530000000"/>
  </r>
  <r>
    <x v="139"/>
    <s v="Year 2"/>
    <d v="2013-12-31T00:00:00"/>
    <n v="22046000000"/>
    <n v="15369000000"/>
    <n v="3886000000"/>
    <n v="644000000"/>
    <n v="0"/>
    <x v="0"/>
    <s v="Industrial Conglomerates"/>
    <n v="6677000000"/>
    <n v="4530000000"/>
    <n v="2147000000"/>
  </r>
  <r>
    <x v="139"/>
    <s v="Year 3"/>
    <d v="2014-12-31T00:00:00"/>
    <n v="22552000000"/>
    <n v="15646000000"/>
    <n v="3810000000"/>
    <n v="647000000"/>
    <n v="0"/>
    <x v="0"/>
    <s v="Industrial Conglomerates"/>
    <n v="6906000000"/>
    <n v="4457000000"/>
    <n v="2449000000"/>
  </r>
  <r>
    <x v="139"/>
    <s v="Year 4"/>
    <d v="2015-12-31T00:00:00"/>
    <n v="20855000000"/>
    <n v="14292000000"/>
    <n v="3596000000"/>
    <n v="625000000"/>
    <n v="0"/>
    <x v="0"/>
    <s v="Industrial Conglomerates"/>
    <n v="6563000000"/>
    <n v="4221000000"/>
    <n v="2342000000"/>
  </r>
  <r>
    <x v="140"/>
    <s v="Year 1"/>
    <d v="2012-12-31T00:00:00"/>
    <n v="10302079000"/>
    <n v="6583627000"/>
    <n v="917162000"/>
    <n v="0"/>
    <n v="1144585000"/>
    <x v="5"/>
    <s v="Electric Utilities"/>
    <n v="3718452000"/>
    <n v="2061747000"/>
    <n v="1656705000"/>
  </r>
  <r>
    <x v="140"/>
    <s v="Year 2"/>
    <d v="2013-12-31T00:00:00"/>
    <n v="11390947000"/>
    <n v="7588885000"/>
    <n v="888051000"/>
    <n v="0"/>
    <n v="1261044000"/>
    <x v="5"/>
    <s v="Electric Utilities"/>
    <n v="3802062000"/>
    <n v="2149095000"/>
    <n v="1652967000"/>
  </r>
  <r>
    <x v="140"/>
    <s v="Year 3"/>
    <d v="2014-12-31T00:00:00"/>
    <n v="12494921000"/>
    <n v="8126187000"/>
    <n v="863455000"/>
    <n v="0"/>
    <n v="1318638000"/>
    <x v="5"/>
    <s v="Electric Utilities"/>
    <n v="4368734000"/>
    <n v="2182093000"/>
    <n v="2186641000"/>
  </r>
  <r>
    <x v="140"/>
    <s v="Year 4"/>
    <d v="2015-12-31T00:00:00"/>
    <n v="11513251000"/>
    <n v="7449273000"/>
    <n v="1074998000"/>
    <n v="0"/>
    <n v="1337276000"/>
    <x v="5"/>
    <s v="Electric Utilities"/>
    <n v="4063978000"/>
    <n v="2412274000"/>
    <n v="1651704000"/>
  </r>
  <r>
    <x v="141"/>
    <s v="Year 1"/>
    <d v="2012-12-31T00:00:00"/>
    <n v="1899600000"/>
    <n v="491000000"/>
    <n v="697400000"/>
    <n v="291300000"/>
    <n v="0"/>
    <x v="3"/>
    <s v="Health Care Equipment"/>
    <n v="1408600000"/>
    <n v="988700000"/>
    <n v="419900000"/>
  </r>
  <r>
    <x v="141"/>
    <s v="Year 2"/>
    <d v="2013-12-31T00:00:00"/>
    <n v="2045500000"/>
    <n v="516600000"/>
    <n v="749700000"/>
    <n v="323000000"/>
    <n v="0"/>
    <x v="3"/>
    <s v="Health Care Equipment"/>
    <n v="1528900000"/>
    <n v="1072700000"/>
    <n v="456200000"/>
  </r>
  <r>
    <x v="141"/>
    <s v="Year 3"/>
    <d v="2014-12-31T00:00:00"/>
    <n v="2322900000"/>
    <n v="625600000"/>
    <n v="928700000"/>
    <n v="346500000"/>
    <n v="0"/>
    <x v="3"/>
    <s v="Health Care Equipment"/>
    <n v="1697300000"/>
    <n v="1275200000"/>
    <n v="422100000"/>
  </r>
  <r>
    <x v="141"/>
    <s v="Year 4"/>
    <d v="2015-12-31T00:00:00"/>
    <n v="2493700000"/>
    <n v="617200000"/>
    <n v="850700000"/>
    <n v="383100000"/>
    <n v="0"/>
    <x v="3"/>
    <s v="Health Care Equipment"/>
    <n v="1876500000"/>
    <n v="1233800000"/>
    <n v="642700000"/>
  </r>
  <r>
    <x v="142"/>
    <s v="Year 1"/>
    <d v="2013-12-31T00:00:00"/>
    <n v="24888000000"/>
    <n v="17994000000"/>
    <n v="1095000000"/>
    <n v="0"/>
    <n v="2153000000"/>
    <x v="5"/>
    <s v="MultiUtilities"/>
    <n v="6894000000"/>
    <n v="3248000000"/>
    <n v="3646000000"/>
  </r>
  <r>
    <x v="142"/>
    <s v="Year 2"/>
    <d v="2014-12-31T00:00:00"/>
    <n v="27429000000"/>
    <n v="21571000000"/>
    <n v="1154000000"/>
    <n v="0"/>
    <n v="2314000000"/>
    <x v="5"/>
    <s v="MultiUtilities"/>
    <n v="5858000000"/>
    <n v="3468000000"/>
    <n v="2390000000"/>
  </r>
  <r>
    <x v="142"/>
    <s v="Year 3"/>
    <d v="2015-12-31T00:00:00"/>
    <n v="29447000000"/>
    <n v="21406000000"/>
    <n v="1200000000"/>
    <n v="0"/>
    <n v="2450000000"/>
    <x v="5"/>
    <s v="MultiUtilities"/>
    <n v="8041000000"/>
    <n v="3650000000"/>
    <n v="4391000000"/>
  </r>
  <r>
    <x v="142"/>
    <s v="Year 4"/>
    <d v="2016-12-31T00:00:00"/>
    <n v="31360000000"/>
    <n v="22688000000"/>
    <n v="1576000000"/>
    <n v="0"/>
    <n v="3936000000"/>
    <x v="5"/>
    <s v="MultiUtilities"/>
    <n v="8672000000"/>
    <n v="5512000000"/>
    <n v="3160000000"/>
  </r>
  <r>
    <x v="143"/>
    <s v="Year 1"/>
    <d v="2012-12-31T00:00:00"/>
    <n v="5992215000"/>
    <n v="4156845000"/>
    <n v="1264632000"/>
    <n v="0"/>
    <n v="39940000"/>
    <x v="0"/>
    <s v="Air Freight &amp; Logistics"/>
    <n v="1835370000"/>
    <n v="1304572000"/>
    <n v="530798000"/>
  </r>
  <r>
    <x v="143"/>
    <s v="Year 2"/>
    <d v="2013-12-31T00:00:00"/>
    <n v="6080257000"/>
    <n v="4197404000"/>
    <n v="1282709000"/>
    <n v="0"/>
    <n v="48071000"/>
    <x v="0"/>
    <s v="Air Freight &amp; Logistics"/>
    <n v="1882853000"/>
    <n v="1330780000"/>
    <n v="552073000"/>
  </r>
  <r>
    <x v="143"/>
    <s v="Year 3"/>
    <d v="2014-12-31T00:00:00"/>
    <n v="6564721000"/>
    <n v="4583294000"/>
    <n v="1337487000"/>
    <n v="0"/>
    <n v="49292000"/>
    <x v="0"/>
    <s v="Air Freight &amp; Logistics"/>
    <n v="1981427000"/>
    <n v="1386779000"/>
    <n v="594648000"/>
  </r>
  <r>
    <x v="143"/>
    <s v="Year 4"/>
    <d v="2015-12-31T00:00:00"/>
    <n v="6616632000"/>
    <n v="4428855000"/>
    <n v="1420281000"/>
    <n v="0"/>
    <n v="46012000"/>
    <x v="0"/>
    <s v="Air Freight &amp; Logistics"/>
    <n v="2187777000"/>
    <n v="1466293000"/>
    <n v="721484000"/>
  </r>
  <r>
    <x v="144"/>
    <s v="Year 1"/>
    <d v="2013-12-31T00:00:00"/>
    <n v="4771259000"/>
    <n v="1038034000"/>
    <n v="3151043000"/>
    <n v="0"/>
    <n v="71731000"/>
    <x v="1"/>
    <s v="Internet &amp; Direct Marketing Retail"/>
    <n v="3733225000"/>
    <n v="3222774000"/>
    <n v="510451000"/>
  </r>
  <r>
    <x v="144"/>
    <s v="Year 2"/>
    <d v="2014-12-31T00:00:00"/>
    <n v="5763485000"/>
    <n v="1179081000"/>
    <n v="3919856000"/>
    <n v="0"/>
    <n v="76773000"/>
    <x v="1"/>
    <s v="Internet &amp; Direct Marketing Retail"/>
    <n v="4584404000"/>
    <n v="3996629000"/>
    <n v="587775000"/>
  </r>
  <r>
    <x v="144"/>
    <s v="Year 3"/>
    <d v="2015-12-31T00:00:00"/>
    <n v="6672317000"/>
    <n v="1309559000"/>
    <n v="4785243000"/>
    <n v="0"/>
    <n v="156458000"/>
    <x v="1"/>
    <s v="Internet &amp; Direct Marketing Retail"/>
    <n v="5362758000"/>
    <n v="4941701000"/>
    <n v="421057000"/>
  </r>
  <r>
    <x v="144"/>
    <s v="Year 4"/>
    <d v="2016-12-31T00:00:00"/>
    <n v="8773564000"/>
    <n v="1596698000"/>
    <n v="6280728000"/>
    <n v="0"/>
    <n v="317141000"/>
    <x v="1"/>
    <s v="Internet &amp; Direct Marketing Retail"/>
    <n v="7176866000"/>
    <n v="6597869000"/>
    <n v="578997000"/>
  </r>
  <r>
    <x v="145"/>
    <s v="Year 1"/>
    <d v="2012-12-31T00:00:00"/>
    <n v="409396000"/>
    <n v="114028000"/>
    <n v="58323000"/>
    <n v="0"/>
    <n v="74453000"/>
    <x v="7"/>
    <s v="Specialized REITs"/>
    <n v="295368000"/>
    <n v="132776000"/>
    <n v="162592000"/>
  </r>
  <r>
    <x v="145"/>
    <s v="Year 2"/>
    <d v="2013-12-31T00:00:00"/>
    <n v="520613000"/>
    <n v="140012000"/>
    <n v="63268000"/>
    <n v="0"/>
    <n v="95232000"/>
    <x v="7"/>
    <s v="Specialized REITs"/>
    <n v="380601000"/>
    <n v="158500000"/>
    <n v="222101000"/>
  </r>
  <r>
    <x v="145"/>
    <s v="Year 3"/>
    <d v="2014-12-31T00:00:00"/>
    <n v="647155000"/>
    <n v="172416000"/>
    <n v="71369000"/>
    <n v="0"/>
    <n v="115076000"/>
    <x v="7"/>
    <s v="Specialized REITs"/>
    <n v="474739000"/>
    <n v="186445000"/>
    <n v="288294000"/>
  </r>
  <r>
    <x v="145"/>
    <s v="Year 4"/>
    <d v="2015-12-31T00:00:00"/>
    <n v="782270000"/>
    <n v="203965000"/>
    <n v="80791000"/>
    <n v="0"/>
    <n v="133457000"/>
    <x v="7"/>
    <s v="Specialized REITs"/>
    <n v="578305000"/>
    <n v="214248000"/>
    <n v="364057000"/>
  </r>
  <r>
    <x v="146"/>
    <s v="Year 1"/>
    <d v="2013-12-31T00:00:00"/>
    <n v="146917000000"/>
    <n v="123050000000"/>
    <n v="10850000000"/>
    <n v="0"/>
    <n v="0"/>
    <x v="1"/>
    <s v="Automobile Manufacturers"/>
    <n v="23867000000"/>
    <n v="10850000000"/>
    <n v="13017000000"/>
  </r>
  <r>
    <x v="146"/>
    <s v="Year 2"/>
    <d v="2014-12-31T00:00:00"/>
    <n v="144077000000"/>
    <n v="131903000000"/>
    <n v="11842000000"/>
    <n v="0"/>
    <n v="0"/>
    <x v="1"/>
    <s v="Automobile Manufacturers"/>
    <n v="12174000000"/>
    <n v="11842000000"/>
    <n v="332000000"/>
  </r>
  <r>
    <x v="146"/>
    <s v="Year 3"/>
    <d v="2015-12-31T00:00:00"/>
    <n v="149558000000"/>
    <n v="131409000000"/>
    <n v="10502000000"/>
    <n v="0"/>
    <n v="0"/>
    <x v="1"/>
    <s v="Automobile Manufacturers"/>
    <n v="18149000000"/>
    <n v="10502000000"/>
    <n v="7647000000"/>
  </r>
  <r>
    <x v="146"/>
    <s v="Year 4"/>
    <d v="2016-12-31T00:00:00"/>
    <n v="151800000000"/>
    <n v="135488000000"/>
    <n v="12196000000"/>
    <n v="0"/>
    <n v="0"/>
    <x v="1"/>
    <s v="Automobile Manufacturers"/>
    <n v="16312000000"/>
    <n v="12196000000"/>
    <n v="4116000000"/>
  </r>
  <r>
    <x v="147"/>
    <s v="Year 1"/>
    <d v="2013-12-31T00:00:00"/>
    <n v="3326106000"/>
    <n v="1606661000"/>
    <n v="1007431000"/>
    <n v="0"/>
    <n v="0"/>
    <x v="0"/>
    <s v="Building Products"/>
    <n v="1719445000"/>
    <n v="1007431000"/>
    <n v="712014000"/>
  </r>
  <r>
    <x v="147"/>
    <s v="Year 2"/>
    <d v="2014-12-31T00:00:00"/>
    <n v="3733507000"/>
    <n v="1836105000"/>
    <n v="1110776000"/>
    <n v="0"/>
    <n v="0"/>
    <x v="0"/>
    <s v="Building Products"/>
    <n v="1897402000"/>
    <n v="1110776000"/>
    <n v="786626000"/>
  </r>
  <r>
    <x v="147"/>
    <s v="Year 3"/>
    <d v="2015-12-31T00:00:00"/>
    <n v="3869187000"/>
    <n v="1920253000"/>
    <n v="1121590000"/>
    <n v="0"/>
    <n v="0"/>
    <x v="0"/>
    <s v="Building Products"/>
    <n v="1948934000"/>
    <n v="1121590000"/>
    <n v="827344000"/>
  </r>
  <r>
    <x v="147"/>
    <s v="Year 4"/>
    <d v="2016-12-31T00:00:00"/>
    <n v="3962036000"/>
    <n v="1997259000"/>
    <n v="1169470000"/>
    <n v="0"/>
    <n v="0"/>
    <x v="0"/>
    <s v="Building Products"/>
    <n v="1964777000"/>
    <n v="1169470000"/>
    <n v="795307000"/>
  </r>
  <r>
    <x v="148"/>
    <s v="Year 1"/>
    <d v="2013-12-31T00:00:00"/>
    <n v="7872000000"/>
    <n v="1875000000"/>
    <n v="1778000000"/>
    <n v="1415000000"/>
    <n v="0"/>
    <x v="2"/>
    <s v="Internet Software &amp; Services"/>
    <n v="5997000000"/>
    <n v="3193000000"/>
    <n v="2804000000"/>
  </r>
  <r>
    <x v="148"/>
    <s v="Year 2"/>
    <d v="2014-12-31T00:00:00"/>
    <n v="12466000000"/>
    <n v="2153000000"/>
    <n v="2653000000"/>
    <n v="2666000000"/>
    <n v="0"/>
    <x v="2"/>
    <s v="Internet Software &amp; Services"/>
    <n v="10313000000"/>
    <n v="5319000000"/>
    <n v="4994000000"/>
  </r>
  <r>
    <x v="148"/>
    <s v="Year 3"/>
    <d v="2015-12-31T00:00:00"/>
    <n v="17928000000"/>
    <n v="2867000000"/>
    <n v="4020000000"/>
    <n v="4816000000"/>
    <n v="0"/>
    <x v="2"/>
    <s v="Internet Software &amp; Services"/>
    <n v="15061000000"/>
    <n v="8836000000"/>
    <n v="6225000000"/>
  </r>
  <r>
    <x v="148"/>
    <s v="Year 4"/>
    <d v="2016-12-31T00:00:00"/>
    <n v="27638000000"/>
    <n v="3789000000"/>
    <n v="5503000000"/>
    <n v="5919000000"/>
    <n v="0"/>
    <x v="2"/>
    <s v="Internet Software &amp; Services"/>
    <n v="23849000000"/>
    <n v="11422000000"/>
    <n v="12427000000"/>
  </r>
  <r>
    <x v="149"/>
    <s v="Year 1"/>
    <d v="2012-12-31T00:00:00"/>
    <n v="3134800000"/>
    <n v="2093200000"/>
    <n v="873100000"/>
    <n v="0"/>
    <n v="7400000"/>
    <x v="0"/>
    <s v="Building Products"/>
    <n v="1041600000"/>
    <n v="880500000"/>
    <n v="161100000"/>
  </r>
  <r>
    <x v="149"/>
    <s v="Year 2"/>
    <d v="2013-12-31T00:00:00"/>
    <n v="3703600000"/>
    <n v="2408500000"/>
    <n v="938700000"/>
    <n v="0"/>
    <n v="9400000"/>
    <x v="0"/>
    <s v="Building Products"/>
    <n v="1295100000"/>
    <n v="948100000"/>
    <n v="347000000"/>
  </r>
  <r>
    <x v="149"/>
    <s v="Year 3"/>
    <d v="2014-12-31T00:00:00"/>
    <n v="4013600000"/>
    <n v="2646700000"/>
    <n v="943300000"/>
    <n v="0"/>
    <n v="13100000"/>
    <x v="0"/>
    <s v="Building Products"/>
    <n v="1366900000"/>
    <n v="956400000"/>
    <n v="410500000"/>
  </r>
  <r>
    <x v="149"/>
    <s v="Year 4"/>
    <d v="2015-12-31T00:00:00"/>
    <n v="4579400000"/>
    <n v="2997500000"/>
    <n v="1047600000"/>
    <n v="0"/>
    <n v="21600000"/>
    <x v="0"/>
    <s v="Building Products"/>
    <n v="1581900000"/>
    <n v="1069200000"/>
    <n v="512700000"/>
  </r>
  <r>
    <x v="150"/>
    <s v="Year 1"/>
    <d v="2012-12-31T00:00:00"/>
    <n v="18010000000"/>
    <n v="11561000000"/>
    <n v="431000000"/>
    <n v="285000000"/>
    <n v="0"/>
    <x v="8"/>
    <s v="Copper"/>
    <n v="6449000000"/>
    <n v="716000000"/>
    <n v="5733000000"/>
  </r>
  <r>
    <x v="150"/>
    <s v="Year 2"/>
    <d v="2013-12-31T00:00:00"/>
    <n v="20921000000"/>
    <n v="14637000000"/>
    <n v="657000000"/>
    <n v="210000000"/>
    <n v="0"/>
    <x v="8"/>
    <s v="Copper"/>
    <n v="6284000000"/>
    <n v="867000000"/>
    <n v="5417000000"/>
  </r>
  <r>
    <x v="150"/>
    <s v="Year 3"/>
    <d v="2014-12-31T00:00:00"/>
    <n v="21438000000"/>
    <n v="19504000000"/>
    <n v="592000000"/>
    <n v="126000000"/>
    <n v="0"/>
    <x v="8"/>
    <s v="Copper"/>
    <n v="1934000000"/>
    <n v="718000000"/>
    <n v="1216000000"/>
  </r>
  <r>
    <x v="150"/>
    <s v="Year 4"/>
    <d v="2015-12-31T00:00:00"/>
    <n v="15877000000"/>
    <n v="28524000000"/>
    <n v="569000000"/>
    <n v="127000000"/>
    <n v="0"/>
    <x v="8"/>
    <s v="Copper"/>
    <n v="-12647000000"/>
    <n v="696000000"/>
    <n v="-13343000000"/>
  </r>
  <r>
    <x v="151"/>
    <s v="Year 1"/>
    <d v="2013-05-31T00:00:00"/>
    <n v="44287000000"/>
    <n v="16448000000"/>
    <n v="20359000000"/>
    <n v="0"/>
    <n v="2386000000"/>
    <x v="0"/>
    <s v="Air Freight &amp; Logistics"/>
    <n v="27839000000"/>
    <n v="22745000000"/>
    <n v="5094000000"/>
  </r>
  <r>
    <x v="151"/>
    <s v="Year 2"/>
    <d v="2014-05-31T00:00:00"/>
    <n v="45567000000"/>
    <n v="17052000000"/>
    <n v="22113000000"/>
    <n v="0"/>
    <n v="2587000000"/>
    <x v="0"/>
    <s v="Air Freight &amp; Logistics"/>
    <n v="28515000000"/>
    <n v="24700000000"/>
    <n v="3815000000"/>
  </r>
  <r>
    <x v="151"/>
    <s v="Year 3"/>
    <d v="2015-05-31T00:00:00"/>
    <n v="47453000000"/>
    <n v="16984000000"/>
    <n v="25715000000"/>
    <n v="0"/>
    <n v="2611000000"/>
    <x v="0"/>
    <s v="Air Freight &amp; Logistics"/>
    <n v="30469000000"/>
    <n v="28326000000"/>
    <n v="2143000000"/>
  </r>
  <r>
    <x v="151"/>
    <s v="Year 4"/>
    <d v="2016-05-31T00:00:00"/>
    <n v="50365000000"/>
    <n v="17327000000"/>
    <n v="27330000000"/>
    <n v="0"/>
    <n v="2631000000"/>
    <x v="0"/>
    <s v="Air Freight &amp; Logistics"/>
    <n v="33038000000"/>
    <n v="29961000000"/>
    <n v="3077000000"/>
  </r>
  <r>
    <x v="152"/>
    <s v="Year 1"/>
    <d v="2012-12-31T00:00:00"/>
    <n v="15255000000"/>
    <n v="6717000000"/>
    <n v="5353000000"/>
    <n v="0"/>
    <n v="1051000000"/>
    <x v="5"/>
    <s v="Electric Utilities"/>
    <n v="8538000000"/>
    <n v="6404000000"/>
    <n v="2134000000"/>
  </r>
  <r>
    <x v="152"/>
    <s v="Year 2"/>
    <d v="2013-12-31T00:00:00"/>
    <n v="14892000000"/>
    <n v="6459000000"/>
    <n v="4315000000"/>
    <n v="0"/>
    <n v="1741000000"/>
    <x v="5"/>
    <s v="Electric Utilities"/>
    <n v="8433000000"/>
    <n v="6056000000"/>
    <n v="2377000000"/>
  </r>
  <r>
    <x v="152"/>
    <s v="Year 3"/>
    <d v="2014-12-31T00:00:00"/>
    <n v="15049000000"/>
    <n v="6996000000"/>
    <n v="5759000000"/>
    <n v="0"/>
    <n v="1232000000"/>
    <x v="5"/>
    <s v="Electric Utilities"/>
    <n v="8053000000"/>
    <n v="6991000000"/>
    <n v="1062000000"/>
  </r>
  <r>
    <x v="152"/>
    <s v="Year 4"/>
    <d v="2015-12-31T00:00:00"/>
    <n v="15026000000"/>
    <n v="6173000000"/>
    <n v="4969000000"/>
    <n v="0"/>
    <n v="1550000000"/>
    <x v="5"/>
    <s v="Electric Utilities"/>
    <n v="8853000000"/>
    <n v="6519000000"/>
    <n v="2334000000"/>
  </r>
  <r>
    <x v="153"/>
    <s v="Year 1"/>
    <d v="2013-09-30T00:00:00"/>
    <n v="1481314000"/>
    <n v="253047000"/>
    <n v="587835000"/>
    <n v="209614000"/>
    <n v="0"/>
    <x v="2"/>
    <s v="Networking Equipment"/>
    <n v="1228267000"/>
    <n v="797449000"/>
    <n v="430818000"/>
  </r>
  <r>
    <x v="153"/>
    <s v="Year 2"/>
    <d v="2014-09-30T00:00:00"/>
    <n v="1732046000"/>
    <n v="309959000"/>
    <n v="664738000"/>
    <n v="263792000"/>
    <n v="0"/>
    <x v="2"/>
    <s v="Networking Equipment"/>
    <n v="1422087000"/>
    <n v="928530000"/>
    <n v="493557000"/>
  </r>
  <r>
    <x v="153"/>
    <s v="Year 3"/>
    <d v="2015-09-30T00:00:00"/>
    <n v="1919823000"/>
    <n v="332261000"/>
    <n v="738080000"/>
    <n v="296583000"/>
    <n v="0"/>
    <x v="2"/>
    <s v="Networking Equipment"/>
    <n v="1587562000"/>
    <n v="1034663000"/>
    <n v="552899000"/>
  </r>
  <r>
    <x v="153"/>
    <s v="Year 4"/>
    <d v="2016-09-30T00:00:00"/>
    <n v="1995034000"/>
    <n v="337205000"/>
    <n v="767174000"/>
    <n v="334227000"/>
    <n v="0"/>
    <x v="2"/>
    <s v="Networking Equipment"/>
    <n v="1657829000"/>
    <n v="1101401000"/>
    <n v="556428000"/>
  </r>
  <r>
    <x v="154"/>
    <s v="Year 1"/>
    <d v="2012-12-31T00:00:00"/>
    <n v="5795800000"/>
    <n v="3956200000"/>
    <n v="763300000"/>
    <n v="0"/>
    <n v="0"/>
    <x v="2"/>
    <s v="Internet Software &amp; Services"/>
    <n v="1839600000"/>
    <n v="763300000"/>
    <n v="1076300000"/>
  </r>
  <r>
    <x v="154"/>
    <s v="Year 2"/>
    <d v="2013-12-31T00:00:00"/>
    <n v="6063400000"/>
    <n v="4092700000"/>
    <n v="907800000"/>
    <n v="0"/>
    <n v="0"/>
    <x v="2"/>
    <s v="Internet Software &amp; Services"/>
    <n v="1970700000"/>
    <n v="907800000"/>
    <n v="1062900000"/>
  </r>
  <r>
    <x v="154"/>
    <s v="Year 3"/>
    <d v="2014-12-31T00:00:00"/>
    <n v="6413800000"/>
    <n v="4328300000"/>
    <n v="814900000"/>
    <n v="0"/>
    <n v="0"/>
    <x v="2"/>
    <s v="Internet Software &amp; Services"/>
    <n v="2085500000"/>
    <n v="814900000"/>
    <n v="1270600000"/>
  </r>
  <r>
    <x v="154"/>
    <s v="Year 4"/>
    <d v="2015-12-31T00:00:00"/>
    <n v="6595200000"/>
    <n v="4393200000"/>
    <n v="1102800000"/>
    <n v="0"/>
    <n v="0"/>
    <x v="2"/>
    <s v="Internet Software &amp; Services"/>
    <n v="2202000000"/>
    <n v="1102800000"/>
    <n v="1099200000"/>
  </r>
  <r>
    <x v="155"/>
    <s v="Year 1"/>
    <d v="2012-12-31T00:00:00"/>
    <n v="4436000000"/>
    <n v="2564000000"/>
    <n v="824000000"/>
    <n v="0"/>
    <n v="0"/>
    <x v="2"/>
    <s v="Internet Software &amp; Services"/>
    <n v="1872000000"/>
    <n v="824000000"/>
    <n v="1048000000"/>
  </r>
  <r>
    <x v="155"/>
    <s v="Year 2"/>
    <d v="2013-12-31T00:00:00"/>
    <n v="4814000000"/>
    <n v="2776000000"/>
    <n v="977000000"/>
    <n v="0"/>
    <n v="0"/>
    <x v="2"/>
    <s v="Internet Software &amp; Services"/>
    <n v="2038000000"/>
    <n v="977000000"/>
    <n v="1061000000"/>
  </r>
  <r>
    <x v="155"/>
    <s v="Year 3"/>
    <d v="2014-12-31T00:00:00"/>
    <n v="5066000000"/>
    <n v="2881000000"/>
    <n v="975000000"/>
    <n v="0"/>
    <n v="0"/>
    <x v="2"/>
    <s v="Internet Software &amp; Services"/>
    <n v="2185000000"/>
    <n v="975000000"/>
    <n v="1210000000"/>
  </r>
  <r>
    <x v="155"/>
    <s v="Year 4"/>
    <d v="2015-12-31T00:00:00"/>
    <n v="5254000000"/>
    <n v="2909000000"/>
    <n v="1034000000"/>
    <n v="0"/>
    <n v="0"/>
    <x v="2"/>
    <s v="Internet Software &amp; Services"/>
    <n v="2345000000"/>
    <n v="1034000000"/>
    <n v="1311000000"/>
  </r>
  <r>
    <x v="156"/>
    <s v="Year 1"/>
    <d v="2013-02-02T00:00:00"/>
    <n v="6182000000"/>
    <n v="4148000000"/>
    <n v="1294000000"/>
    <n v="0"/>
    <n v="118000000"/>
    <x v="1"/>
    <s v="Apparel Retail"/>
    <n v="2034000000"/>
    <n v="1412000000"/>
    <n v="622000000"/>
  </r>
  <r>
    <x v="156"/>
    <s v="Year 2"/>
    <d v="2014-02-01T00:00:00"/>
    <n v="6505000000"/>
    <n v="4372000000"/>
    <n v="1334000000"/>
    <n v="0"/>
    <n v="133000000"/>
    <x v="1"/>
    <s v="Apparel Retail"/>
    <n v="2133000000"/>
    <n v="1467000000"/>
    <n v="666000000"/>
  </r>
  <r>
    <x v="156"/>
    <s v="Year 3"/>
    <d v="2015-01-31T00:00:00"/>
    <n v="7151000000"/>
    <n v="4777000000"/>
    <n v="1426000000"/>
    <n v="0"/>
    <n v="139000000"/>
    <x v="1"/>
    <s v="Apparel Retail"/>
    <n v="2374000000"/>
    <n v="1565000000"/>
    <n v="809000000"/>
  </r>
  <r>
    <x v="156"/>
    <s v="Year 4"/>
    <d v="2016-01-30T00:00:00"/>
    <n v="7412000000"/>
    <n v="4907000000"/>
    <n v="1415000000"/>
    <n v="0"/>
    <n v="148000000"/>
    <x v="1"/>
    <s v="Apparel Retail"/>
    <n v="2505000000"/>
    <n v="1563000000"/>
    <n v="942000000"/>
  </r>
  <r>
    <x v="157"/>
    <s v="Year 1"/>
    <d v="2012-12-31T00:00:00"/>
    <n v="1405358000"/>
    <n v="670174000"/>
    <n v="292500000"/>
    <n v="137354000"/>
    <n v="0"/>
    <x v="2"/>
    <s v="Electronic Equipment &amp; Instruments"/>
    <n v="735184000"/>
    <n v="429854000"/>
    <n v="305330000"/>
  </r>
  <r>
    <x v="157"/>
    <s v="Year 2"/>
    <d v="2013-12-31T00:00:00"/>
    <n v="1496372000"/>
    <n v="759362000"/>
    <n v="322739000"/>
    <n v="147696000"/>
    <n v="0"/>
    <x v="2"/>
    <s v="Electronic Equipment &amp; Instruments"/>
    <n v="737010000"/>
    <n v="470435000"/>
    <n v="266575000"/>
  </r>
  <r>
    <x v="157"/>
    <s v="Year 3"/>
    <d v="2014-12-31T00:00:00"/>
    <n v="1530654000"/>
    <n v="780281000"/>
    <n v="331995000"/>
    <n v="142751000"/>
    <n v="0"/>
    <x v="2"/>
    <s v="Electronic Equipment &amp; Instruments"/>
    <n v="750373000"/>
    <n v="474746000"/>
    <n v="275627000"/>
  </r>
  <r>
    <x v="157"/>
    <s v="Year 4"/>
    <d v="2015-12-31T00:00:00"/>
    <n v="1557067000"/>
    <n v="803506000"/>
    <n v="313544000"/>
    <n v="132892000"/>
    <n v="0"/>
    <x v="2"/>
    <s v="Electronic Equipment &amp; Instruments"/>
    <n v="753561000"/>
    <n v="446436000"/>
    <n v="307125000"/>
  </r>
  <r>
    <x v="158"/>
    <s v="Year 1"/>
    <d v="2013-12-31T00:00:00"/>
    <n v="27351573000"/>
    <n v="25986382000"/>
    <n v="175148000"/>
    <n v="0"/>
    <n v="0"/>
    <x v="0"/>
    <s v="Diversified Commercial Services"/>
    <n v="1365191000"/>
    <n v="175148000"/>
    <n v="1190043000"/>
  </r>
  <r>
    <x v="158"/>
    <s v="Year 2"/>
    <d v="2014-12-31T00:00:00"/>
    <n v="21531577000"/>
    <n v="20132544000"/>
    <n v="182711000"/>
    <n v="0"/>
    <n v="0"/>
    <x v="0"/>
    <s v="Diversified Commercial Services"/>
    <n v="1399033000"/>
    <n v="182711000"/>
    <n v="1216322000"/>
  </r>
  <r>
    <x v="158"/>
    <s v="Year 3"/>
    <d v="2015-12-31T00:00:00"/>
    <n v="18114048000"/>
    <n v="17019352000"/>
    <n v="408225000"/>
    <n v="0"/>
    <n v="0"/>
    <x v="0"/>
    <s v="Diversified Commercial Services"/>
    <n v="1094696000"/>
    <n v="408225000"/>
    <n v="686471000"/>
  </r>
  <r>
    <x v="158"/>
    <s v="Year 4"/>
    <d v="2016-12-31T00:00:00"/>
    <n v="19036525000"/>
    <n v="18246209000"/>
    <n v="191073000"/>
    <n v="0"/>
    <n v="0"/>
    <x v="0"/>
    <s v="Diversified Commercial Services"/>
    <n v="790316000"/>
    <n v="191073000"/>
    <n v="599243000"/>
  </r>
  <r>
    <x v="159"/>
    <s v="Year 1"/>
    <d v="2013-12-31T00:00:00"/>
    <n v="4954619000"/>
    <n v="3266524000"/>
    <n v="966829000"/>
    <n v="0"/>
    <n v="0"/>
    <x v="0"/>
    <s v="Industrial Machinery"/>
    <n v="1688095000"/>
    <n v="966829000"/>
    <n v="721266000"/>
  </r>
  <r>
    <x v="159"/>
    <s v="Year 2"/>
    <d v="2014-12-31T00:00:00"/>
    <n v="4877885000"/>
    <n v="3163268000"/>
    <n v="936900000"/>
    <n v="0"/>
    <n v="0"/>
    <x v="0"/>
    <s v="Industrial Machinery"/>
    <n v="1714617000"/>
    <n v="936900000"/>
    <n v="777717000"/>
  </r>
  <r>
    <x v="159"/>
    <s v="Year 3"/>
    <d v="2015-12-31T00:00:00"/>
    <n v="4561030000"/>
    <n v="3073712000"/>
    <n v="971611000"/>
    <n v="0"/>
    <n v="0"/>
    <x v="0"/>
    <s v="Industrial Machinery"/>
    <n v="1487318000"/>
    <n v="971611000"/>
    <n v="515707000"/>
  </r>
  <r>
    <x v="159"/>
    <s v="Year 4"/>
    <d v="2016-12-31T00:00:00"/>
    <n v="3991462000"/>
    <n v="2759908000"/>
    <n v="965322000"/>
    <n v="0"/>
    <n v="0"/>
    <x v="0"/>
    <s v="Industrial Machinery"/>
    <n v="1231554000"/>
    <n v="965322000"/>
    <n v="266232000"/>
  </r>
  <r>
    <x v="160"/>
    <s v="Year 1"/>
    <d v="2012-12-31T00:00:00"/>
    <n v="3409900000"/>
    <n v="2141600000"/>
    <n v="489700000"/>
    <n v="112000000"/>
    <n v="0"/>
    <x v="8"/>
    <s v="Diversified Chemicals"/>
    <n v="1268300000"/>
    <n v="601700000"/>
    <n v="666600000"/>
  </r>
  <r>
    <x v="160"/>
    <s v="Year 2"/>
    <d v="2013-12-31T00:00:00"/>
    <n v="3130700000"/>
    <n v="1929800000"/>
    <n v="496100000"/>
    <n v="115600000"/>
    <n v="0"/>
    <x v="8"/>
    <s v="Diversified Chemicals"/>
    <n v="1200900000"/>
    <n v="611700000"/>
    <n v="589200000"/>
  </r>
  <r>
    <x v="160"/>
    <s v="Year 3"/>
    <d v="2014-12-31T00:00:00"/>
    <n v="3258700000"/>
    <n v="2047800000"/>
    <n v="589800000"/>
    <n v="126300000"/>
    <n v="0"/>
    <x v="8"/>
    <s v="Diversified Chemicals"/>
    <n v="1210900000"/>
    <n v="716100000"/>
    <n v="494800000"/>
  </r>
  <r>
    <x v="160"/>
    <s v="Year 4"/>
    <d v="2015-12-31T00:00:00"/>
    <n v="3276500000"/>
    <n v="2201100000"/>
    <n v="737900000"/>
    <n v="143700000"/>
    <n v="0"/>
    <x v="8"/>
    <s v="Diversified Chemicals"/>
    <n v="1075400000"/>
    <n v="881600000"/>
    <n v="193800000"/>
  </r>
  <r>
    <x v="161"/>
    <s v="Year 1"/>
    <d v="2013-12-31T00:00:00"/>
    <n v="637413000"/>
    <n v="190454000"/>
    <n v="31970000"/>
    <n v="0"/>
    <n v="160828000"/>
    <x v="7"/>
    <s v="Retail REITs"/>
    <n v="446959000"/>
    <n v="192798000"/>
    <n v="254161000"/>
  </r>
  <r>
    <x v="161"/>
    <s v="Year 2"/>
    <d v="2014-12-31T00:00:00"/>
    <n v="686090000"/>
    <n v="211923000"/>
    <n v="32316000"/>
    <n v="0"/>
    <n v="170814000"/>
    <x v="7"/>
    <s v="Retail REITs"/>
    <n v="474167000"/>
    <n v="203130000"/>
    <n v="271037000"/>
  </r>
  <r>
    <x v="161"/>
    <s v="Year 3"/>
    <d v="2015-12-31T00:00:00"/>
    <n v="744012000"/>
    <n v="233417000"/>
    <n v="35645000"/>
    <n v="0"/>
    <n v="174796000"/>
    <x v="7"/>
    <s v="Retail REITs"/>
    <n v="510595000"/>
    <n v="210441000"/>
    <n v="300154000"/>
  </r>
  <r>
    <x v="161"/>
    <s v="Year 4"/>
    <d v="2016-12-31T00:00:00"/>
    <n v="801591000"/>
    <n v="253612000"/>
    <n v="33399000"/>
    <n v="0"/>
    <n v="193585000"/>
    <x v="7"/>
    <s v="Retail REITs"/>
    <n v="547979000"/>
    <n v="226984000"/>
    <n v="320995000"/>
  </r>
  <r>
    <x v="162"/>
    <s v="Year 1"/>
    <d v="2012-12-31T00:00:00"/>
    <n v="3368545000"/>
    <n v="2515796000"/>
    <n v="280928000"/>
    <n v="132460000"/>
    <n v="0"/>
    <x v="2"/>
    <s v="Semiconductors"/>
    <n v="852749000"/>
    <n v="413388000"/>
    <n v="439361000"/>
  </r>
  <r>
    <x v="162"/>
    <s v="Year 2"/>
    <d v="2013-12-31T00:00:00"/>
    <n v="3309616000"/>
    <n v="2444984000"/>
    <n v="270261000"/>
    <n v="134300000"/>
    <n v="0"/>
    <x v="2"/>
    <s v="Semiconductors"/>
    <n v="864632000"/>
    <n v="404561000"/>
    <n v="460071000"/>
  </r>
  <r>
    <x v="162"/>
    <s v="Year 3"/>
    <d v="2014-12-31T00:00:00"/>
    <n v="3391187000"/>
    <n v="2566246000"/>
    <n v="253827000"/>
    <n v="143969000"/>
    <n v="0"/>
    <x v="2"/>
    <s v="Semiconductors"/>
    <n v="824941000"/>
    <n v="397796000"/>
    <n v="427145000"/>
  </r>
  <r>
    <x v="162"/>
    <s v="Year 4"/>
    <d v="2015-12-31T00:00:00"/>
    <n v="3578995000"/>
    <n v="2659728000"/>
    <n v="255192000"/>
    <n v="130593000"/>
    <n v="0"/>
    <x v="2"/>
    <s v="Semiconductors"/>
    <n v="919267000"/>
    <n v="385785000"/>
    <n v="533482000"/>
  </r>
  <r>
    <x v="163"/>
    <s v="Year 1"/>
    <d v="2012-12-31T00:00:00"/>
    <n v="5011853000"/>
    <m/>
    <n v="2676141000"/>
    <n v="0"/>
    <n v="1266807000"/>
    <x v="10"/>
    <s v="Integrated Telecommunications Services"/>
    <n v="5011853000"/>
    <n v="3942948000"/>
    <n v="1068905000"/>
  </r>
  <r>
    <x v="163"/>
    <s v="Year 2"/>
    <d v="2013-12-31T00:00:00"/>
    <n v="4762000000"/>
    <m/>
    <n v="2616000000"/>
    <n v="0"/>
    <n v="1170000000"/>
    <x v="10"/>
    <s v="Integrated Telecommunications Services"/>
    <n v="4762000000"/>
    <n v="3786000000"/>
    <n v="976000000"/>
  </r>
  <r>
    <x v="163"/>
    <s v="Year 3"/>
    <d v="2014-12-31T00:00:00"/>
    <n v="4772000000"/>
    <m/>
    <n v="2671000000"/>
    <n v="0"/>
    <n v="1139000000"/>
    <x v="10"/>
    <s v="Integrated Telecommunications Services"/>
    <n v="4772000000"/>
    <n v="3810000000"/>
    <n v="962000000"/>
  </r>
  <r>
    <x v="163"/>
    <s v="Year 4"/>
    <d v="2015-12-31T00:00:00"/>
    <n v="5576000000"/>
    <m/>
    <n v="3275000000"/>
    <n v="0"/>
    <n v="1320000000"/>
    <x v="10"/>
    <s v="Integrated Telecommunications Services"/>
    <n v="5576000000"/>
    <n v="4595000000"/>
    <n v="981000000"/>
  </r>
  <r>
    <x v="164"/>
    <s v="Year 1"/>
    <d v="2013-12-31T00:00:00"/>
    <n v="30930000000"/>
    <n v="25202000000"/>
    <n v="2039000000"/>
    <n v="0"/>
    <n v="0"/>
    <x v="0"/>
    <s v="Aerospace &amp; Defense"/>
    <n v="5728000000"/>
    <n v="2039000000"/>
    <n v="3689000000"/>
  </r>
  <r>
    <x v="164"/>
    <s v="Year 2"/>
    <d v="2014-12-31T00:00:00"/>
    <n v="30852000000"/>
    <n v="24979000000"/>
    <n v="1984000000"/>
    <n v="0"/>
    <n v="0"/>
    <x v="0"/>
    <s v="Aerospace &amp; Defense"/>
    <n v="5873000000"/>
    <n v="1984000000"/>
    <n v="3889000000"/>
  </r>
  <r>
    <x v="164"/>
    <s v="Year 3"/>
    <d v="2015-12-31T00:00:00"/>
    <n v="31469000000"/>
    <n v="25339000000"/>
    <n v="1952000000"/>
    <n v="0"/>
    <n v="0"/>
    <x v="0"/>
    <s v="Aerospace &amp; Defense"/>
    <n v="6130000000"/>
    <n v="1952000000"/>
    <n v="4178000000"/>
  </r>
  <r>
    <x v="164"/>
    <s v="Year 4"/>
    <d v="2016-12-31T00:00:00"/>
    <n v="31353000000"/>
    <n v="25104000000"/>
    <n v="1940000000"/>
    <n v="0"/>
    <n v="0"/>
    <x v="0"/>
    <s v="Aerospace &amp; Defense"/>
    <n v="6249000000"/>
    <n v="1940000000"/>
    <n v="4309000000"/>
  </r>
  <r>
    <x v="165"/>
    <s v="Year 1"/>
    <d v="2012-12-31T00:00:00"/>
    <n v="2426301000"/>
    <n v="800336000"/>
    <n v="72163000"/>
    <n v="0"/>
    <n v="768820000"/>
    <x v="7"/>
    <s v="Retail REITs"/>
    <n v="1625965000"/>
    <n v="840983000"/>
    <n v="784982000"/>
  </r>
  <r>
    <x v="165"/>
    <s v="Year 2"/>
    <d v="2013-12-31T00:00:00"/>
    <n v="2486017000"/>
    <n v="815095000"/>
    <n v="76864000"/>
    <n v="0"/>
    <n v="749722000"/>
    <x v="7"/>
    <s v="Retail REITs"/>
    <n v="1670922000"/>
    <n v="826586000"/>
    <n v="844336000"/>
  </r>
  <r>
    <x v="165"/>
    <s v="Year 3"/>
    <d v="2014-12-31T00:00:00"/>
    <n v="2535559000"/>
    <n v="783602000"/>
    <n v="88705000"/>
    <n v="0"/>
    <n v="708406000"/>
    <x v="7"/>
    <s v="Retail REITs"/>
    <n v="1751957000"/>
    <n v="797111000"/>
    <n v="954846000"/>
  </r>
  <r>
    <x v="165"/>
    <s v="Year 4"/>
    <d v="2015-12-31T00:00:00"/>
    <n v="2403906000"/>
    <n v="747276000"/>
    <n v="72363000"/>
    <n v="0"/>
    <n v="643689000"/>
    <x v="7"/>
    <s v="Retail REITs"/>
    <n v="1656630000"/>
    <n v="716052000"/>
    <n v="940578000"/>
  </r>
  <r>
    <x v="166"/>
    <s v="Year 1"/>
    <d v="2012-12-31T00:00:00"/>
    <n v="9702000000"/>
    <n v="2471000000"/>
    <n v="1461000000"/>
    <n v="1760000000"/>
    <n v="0"/>
    <x v="3"/>
    <s v="Biotechnology"/>
    <n v="7231000000"/>
    <n v="3221000000"/>
    <n v="4010000000"/>
  </r>
  <r>
    <x v="166"/>
    <s v="Year 2"/>
    <d v="2013-12-31T00:00:00"/>
    <n v="11202000000"/>
    <n v="2859000000"/>
    <n v="1699000000"/>
    <n v="2120000000"/>
    <n v="0"/>
    <x v="3"/>
    <s v="Biotechnology"/>
    <n v="8343000000"/>
    <n v="3819000000"/>
    <n v="4524000000"/>
  </r>
  <r>
    <x v="166"/>
    <s v="Year 3"/>
    <d v="2014-12-31T00:00:00"/>
    <n v="24890000000"/>
    <n v="3788000000"/>
    <n v="2983000000"/>
    <n v="2854000000"/>
    <n v="0"/>
    <x v="3"/>
    <s v="Biotechnology"/>
    <n v="21102000000"/>
    <n v="5837000000"/>
    <n v="15265000000"/>
  </r>
  <r>
    <x v="166"/>
    <s v="Year 4"/>
    <d v="2015-12-31T00:00:00"/>
    <n v="32639000000"/>
    <n v="4006000000"/>
    <n v="3426000000"/>
    <n v="3014000000"/>
    <n v="0"/>
    <x v="3"/>
    <s v="Biotechnology"/>
    <n v="28633000000"/>
    <n v="6440000000"/>
    <n v="22193000000"/>
  </r>
  <r>
    <x v="167"/>
    <s v="Year 1"/>
    <d v="2013-05-26T00:00:00"/>
    <n v="17774100000"/>
    <n v="11350200000"/>
    <n v="3552300000"/>
    <n v="0"/>
    <n v="0"/>
    <x v="4"/>
    <s v="Packaged Foods &amp; Meats"/>
    <n v="6423900000"/>
    <n v="3552300000"/>
    <n v="2871600000"/>
  </r>
  <r>
    <x v="167"/>
    <s v="Year 2"/>
    <d v="2014-05-25T00:00:00"/>
    <n v="17909600000"/>
    <n v="11539800000"/>
    <n v="3474300000"/>
    <n v="0"/>
    <n v="0"/>
    <x v="4"/>
    <s v="Packaged Foods &amp; Meats"/>
    <n v="6369800000"/>
    <n v="3474300000"/>
    <n v="2895500000"/>
  </r>
  <r>
    <x v="167"/>
    <s v="Year 3"/>
    <d v="2015-05-31T00:00:00"/>
    <n v="17630300000"/>
    <n v="11681100000"/>
    <n v="3328000000"/>
    <n v="0"/>
    <n v="0"/>
    <x v="4"/>
    <s v="Packaged Foods &amp; Meats"/>
    <n v="5949200000"/>
    <n v="3328000000"/>
    <n v="2621200000"/>
  </r>
  <r>
    <x v="167"/>
    <s v="Year 4"/>
    <d v="2016-05-29T00:00:00"/>
    <n v="16563100000"/>
    <n v="10733600000"/>
    <n v="3118900000"/>
    <n v="0"/>
    <n v="0"/>
    <x v="4"/>
    <s v="Packaged Foods &amp; Meats"/>
    <n v="5829500000"/>
    <n v="3118900000"/>
    <n v="2710600000"/>
  </r>
  <r>
    <x v="168"/>
    <s v="Year 1"/>
    <d v="2013-12-31T00:00:00"/>
    <n v="7819000000"/>
    <n v="4495000000"/>
    <n v="1126000000"/>
    <n v="710000000"/>
    <n v="31000000"/>
    <x v="2"/>
    <s v="Electronic Components"/>
    <n v="3324000000"/>
    <n v="1867000000"/>
    <n v="1457000000"/>
  </r>
  <r>
    <x v="168"/>
    <s v="Year 2"/>
    <d v="2014-12-31T00:00:00"/>
    <n v="9715000000"/>
    <n v="5663000000"/>
    <n v="1202000000"/>
    <n v="815000000"/>
    <n v="33000000"/>
    <x v="2"/>
    <s v="Electronic Components"/>
    <n v="4052000000"/>
    <n v="2050000000"/>
    <n v="2002000000"/>
  </r>
  <r>
    <x v="168"/>
    <s v="Year 3"/>
    <d v="2015-12-31T00:00:00"/>
    <n v="9111000000"/>
    <n v="5458000000"/>
    <n v="1508000000"/>
    <n v="769000000"/>
    <n v="54000000"/>
    <x v="2"/>
    <s v="Electronic Components"/>
    <n v="3653000000"/>
    <n v="2331000000"/>
    <n v="1322000000"/>
  </r>
  <r>
    <x v="168"/>
    <s v="Year 4"/>
    <d v="2016-12-31T00:00:00"/>
    <n v="9390000000"/>
    <n v="5644000000"/>
    <n v="1472000000"/>
    <n v="742000000"/>
    <n v="64000000"/>
    <x v="2"/>
    <s v="Electronic Components"/>
    <n v="3746000000"/>
    <n v="2278000000"/>
    <n v="1468000000"/>
  </r>
  <r>
    <x v="169"/>
    <s v="Year 1"/>
    <d v="2013-12-31T00:00:00"/>
    <n v="155427000000"/>
    <n v="137373000000"/>
    <n v="12382000000"/>
    <n v="0"/>
    <n v="0"/>
    <x v="1"/>
    <s v="Automobile Manufacturers"/>
    <n v="18054000000"/>
    <n v="12382000000"/>
    <n v="5672000000"/>
  </r>
  <r>
    <x v="169"/>
    <s v="Year 2"/>
    <d v="2014-12-31T00:00:00"/>
    <n v="155929000000"/>
    <n v="142121000000"/>
    <n v="12158000000"/>
    <n v="0"/>
    <n v="0"/>
    <x v="1"/>
    <s v="Automobile Manufacturers"/>
    <n v="13808000000"/>
    <n v="12158000000"/>
    <n v="1650000000"/>
  </r>
  <r>
    <x v="169"/>
    <s v="Year 3"/>
    <d v="2015-12-31T00:00:00"/>
    <n v="152356000000"/>
    <n v="134054000000"/>
    <n v="13405000000"/>
    <n v="0"/>
    <n v="0"/>
    <x v="1"/>
    <s v="Automobile Manufacturers"/>
    <n v="18302000000"/>
    <n v="13405000000"/>
    <n v="4897000000"/>
  </r>
  <r>
    <x v="169"/>
    <s v="Year 4"/>
    <d v="2016-12-31T00:00:00"/>
    <n v="166380000000"/>
    <n v="145125000000"/>
    <n v="11710000000"/>
    <n v="0"/>
    <n v="0"/>
    <x v="1"/>
    <s v="Automobile Manufacturers"/>
    <n v="21255000000"/>
    <n v="11710000000"/>
    <n v="9545000000"/>
  </r>
  <r>
    <x v="170"/>
    <s v="Year 1"/>
    <d v="2012-12-31T00:00:00"/>
    <n v="13013868000"/>
    <n v="9235777000"/>
    <n v="2656530000"/>
    <n v="0"/>
    <n v="98383000"/>
    <x v="1"/>
    <s v="Specialty Stores"/>
    <n v="3778091000"/>
    <n v="2754913000"/>
    <n v="1023178000"/>
  </r>
  <r>
    <x v="170"/>
    <s v="Year 2"/>
    <d v="2013-12-31T00:00:00"/>
    <n v="14077843000"/>
    <n v="9857923000"/>
    <n v="3028028000"/>
    <n v="0"/>
    <n v="133957000"/>
    <x v="1"/>
    <s v="Specialty Stores"/>
    <n v="4219920000"/>
    <n v="3161985000"/>
    <n v="1057935000"/>
  </r>
  <r>
    <x v="170"/>
    <s v="Year 3"/>
    <d v="2014-12-31T00:00:00"/>
    <n v="15341647000"/>
    <n v="10747886000"/>
    <n v="3314030000"/>
    <n v="0"/>
    <n v="148313000"/>
    <x v="1"/>
    <s v="Specialty Stores"/>
    <n v="4593761000"/>
    <n v="3462343000"/>
    <n v="1131418000"/>
  </r>
  <r>
    <x v="170"/>
    <s v="Year 4"/>
    <d v="2015-12-31T00:00:00"/>
    <n v="15280044000"/>
    <n v="10724192000"/>
    <n v="3277390000"/>
    <n v="0"/>
    <n v="141675000"/>
    <x v="1"/>
    <s v="Specialty Stores"/>
    <n v="4555852000"/>
    <n v="3419065000"/>
    <n v="1136787000"/>
  </r>
  <r>
    <x v="171"/>
    <s v="Year 1"/>
    <d v="2013-05-31T00:00:00"/>
    <n v="2375923000"/>
    <n v="862075000"/>
    <n v="1156635000"/>
    <n v="0"/>
    <n v="0"/>
    <x v="2"/>
    <s v="Data Processing &amp; Outsourced Services"/>
    <n v="1513848000"/>
    <n v="1156635000"/>
    <n v="357213000"/>
  </r>
  <r>
    <x v="171"/>
    <s v="Year 2"/>
    <d v="2014-05-31T00:00:00"/>
    <n v="2554236000"/>
    <n v="952225000"/>
    <n v="1196512000"/>
    <n v="0"/>
    <n v="0"/>
    <x v="2"/>
    <s v="Data Processing &amp; Outsourced Services"/>
    <n v="1602011000"/>
    <n v="1196512000"/>
    <n v="405499000"/>
  </r>
  <r>
    <x v="171"/>
    <s v="Year 3"/>
    <d v="2015-05-31T00:00:00"/>
    <n v="2773718000"/>
    <n v="1022107000"/>
    <n v="1295014000"/>
    <n v="0"/>
    <n v="0"/>
    <x v="2"/>
    <s v="Data Processing &amp; Outsourced Services"/>
    <n v="1751611000"/>
    <n v="1295014000"/>
    <n v="456597000"/>
  </r>
  <r>
    <x v="171"/>
    <s v="Year 4"/>
    <d v="2016-05-31T00:00:00"/>
    <n v="2898150000"/>
    <n v="1147639000"/>
    <n v="1325567000"/>
    <n v="0"/>
    <n v="0"/>
    <x v="2"/>
    <s v="Data Processing &amp; Outsourced Services"/>
    <n v="1750511000"/>
    <n v="1325567000"/>
    <n v="424944000"/>
  </r>
  <r>
    <x v="172"/>
    <s v="Year 1"/>
    <d v="2013-02-02T00:00:00"/>
    <n v="15651000000"/>
    <n v="9480000000"/>
    <n v="0"/>
    <n v="0"/>
    <n v="0"/>
    <x v="1"/>
    <s v="Apparel Retail"/>
    <n v="6171000000"/>
    <n v="0"/>
    <n v="6171000000"/>
  </r>
  <r>
    <x v="172"/>
    <s v="Year 2"/>
    <d v="2014-02-01T00:00:00"/>
    <n v="16148000000"/>
    <n v="9855000000"/>
    <n v="0"/>
    <n v="0"/>
    <n v="0"/>
    <x v="1"/>
    <s v="Apparel Retail"/>
    <n v="6293000000"/>
    <n v="0"/>
    <n v="6293000000"/>
  </r>
  <r>
    <x v="172"/>
    <s v="Year 3"/>
    <d v="2015-01-31T00:00:00"/>
    <n v="16435000000"/>
    <n v="10146000000"/>
    <n v="0"/>
    <n v="0"/>
    <n v="0"/>
    <x v="1"/>
    <s v="Apparel Retail"/>
    <n v="6289000000"/>
    <n v="0"/>
    <n v="6289000000"/>
  </r>
  <r>
    <x v="172"/>
    <s v="Year 4"/>
    <d v="2016-01-30T00:00:00"/>
    <n v="15797000000"/>
    <n v="10077000000"/>
    <n v="0"/>
    <n v="0"/>
    <n v="0"/>
    <x v="1"/>
    <s v="Apparel Retail"/>
    <n v="5720000000"/>
    <n v="0"/>
    <n v="5720000000"/>
  </r>
  <r>
    <x v="173"/>
    <s v="Year 1"/>
    <d v="2012-12-29T00:00:00"/>
    <n v="2715675000"/>
    <n v="1277195000"/>
    <n v="508547000"/>
    <n v="325773000"/>
    <n v="0"/>
    <x v="1"/>
    <s v="Consumer Electronics"/>
    <n v="1438480000"/>
    <n v="834320000"/>
    <n v="604160000"/>
  </r>
  <r>
    <x v="173"/>
    <s v="Year 2"/>
    <d v="2013-12-28T00:00:00"/>
    <n v="2631851000"/>
    <n v="1224551000"/>
    <n v="468345000"/>
    <n v="364923000"/>
    <n v="0"/>
    <x v="1"/>
    <s v="Consumer Electronics"/>
    <n v="1407300000"/>
    <n v="833268000"/>
    <n v="574032000"/>
  </r>
  <r>
    <x v="173"/>
    <s v="Year 3"/>
    <d v="2014-12-27T00:00:00"/>
    <n v="2870658000"/>
    <n v="1266246000"/>
    <n v="518665000"/>
    <n v="395121000"/>
    <n v="0"/>
    <x v="1"/>
    <s v="Consumer Electronics"/>
    <n v="1604412000"/>
    <n v="913786000"/>
    <n v="690626000"/>
  </r>
  <r>
    <x v="173"/>
    <s v="Year 4"/>
    <d v="2015-12-26T00:00:00"/>
    <n v="2820270000"/>
    <n v="1281566000"/>
    <n v="562080000"/>
    <n v="427043000"/>
    <n v="0"/>
    <x v="1"/>
    <s v="Consumer Electronics"/>
    <n v="1538704000"/>
    <n v="989123000"/>
    <n v="549581000"/>
  </r>
  <r>
    <x v="174"/>
    <s v="Year 1"/>
    <d v="2013-12-31T00:00:00"/>
    <n v="19540000000"/>
    <n v="15422000000"/>
    <n v="2816000000"/>
    <n v="0"/>
    <n v="0"/>
    <x v="1"/>
    <s v="Tires &amp; Rubber"/>
    <n v="4118000000"/>
    <n v="2816000000"/>
    <n v="1302000000"/>
  </r>
  <r>
    <x v="174"/>
    <s v="Year 2"/>
    <d v="2014-12-31T00:00:00"/>
    <n v="18138000000"/>
    <n v="13906000000"/>
    <n v="2815000000"/>
    <n v="0"/>
    <n v="0"/>
    <x v="1"/>
    <s v="Tires &amp; Rubber"/>
    <n v="4232000000"/>
    <n v="2815000000"/>
    <n v="1417000000"/>
  </r>
  <r>
    <x v="174"/>
    <s v="Year 3"/>
    <d v="2015-12-31T00:00:00"/>
    <n v="16443000000"/>
    <n v="12164000000"/>
    <n v="2728000000"/>
    <n v="0"/>
    <n v="0"/>
    <x v="1"/>
    <s v="Tires &amp; Rubber"/>
    <n v="4279000000"/>
    <n v="2728000000"/>
    <n v="1551000000"/>
  </r>
  <r>
    <x v="174"/>
    <s v="Year 4"/>
    <d v="2016-12-31T00:00:00"/>
    <n v="15158000000"/>
    <n v="10972000000"/>
    <n v="2617000000"/>
    <n v="0"/>
    <n v="0"/>
    <x v="1"/>
    <s v="Tires &amp; Rubber"/>
    <n v="4186000000"/>
    <n v="2617000000"/>
    <n v="1569000000"/>
  </r>
  <r>
    <x v="175"/>
    <s v="Year 1"/>
    <d v="2012-12-31T00:00:00"/>
    <n v="8950045000"/>
    <n v="5033885000"/>
    <n v="2785035000"/>
    <n v="0"/>
    <n v="0"/>
    <x v="0"/>
    <s v="Industrial Materials"/>
    <n v="3916160000"/>
    <n v="2785035000"/>
    <n v="1131125000"/>
  </r>
  <r>
    <x v="175"/>
    <s v="Year 2"/>
    <d v="2013-12-31T00:00:00"/>
    <n v="9437758000"/>
    <n v="5301275000"/>
    <n v="2839629000"/>
    <n v="0"/>
    <n v="0"/>
    <x v="0"/>
    <s v="Industrial Materials"/>
    <n v="4136483000"/>
    <n v="2839629000"/>
    <n v="1296854000"/>
  </r>
  <r>
    <x v="175"/>
    <s v="Year 3"/>
    <d v="2014-12-31T00:00:00"/>
    <n v="9964953000"/>
    <n v="5650711000"/>
    <n v="2967125000"/>
    <n v="0"/>
    <n v="0"/>
    <x v="0"/>
    <s v="Industrial Materials"/>
    <n v="4314242000"/>
    <n v="2967125000"/>
    <n v="1347117000"/>
  </r>
  <r>
    <x v="175"/>
    <s v="Year 4"/>
    <d v="2015-12-31T00:00:00"/>
    <n v="9973384000"/>
    <n v="5741956000"/>
    <n v="2931108000"/>
    <n v="0"/>
    <n v="0"/>
    <x v="0"/>
    <s v="Industrial Materials"/>
    <n v="4231428000"/>
    <n v="2931108000"/>
    <n v="1300320000"/>
  </r>
  <r>
    <x v="176"/>
    <s v="Year 1"/>
    <d v="2013-12-31T00:00:00"/>
    <n v="29402000000"/>
    <n v="24931000000"/>
    <n v="1333000000"/>
    <n v="0"/>
    <n v="0"/>
    <x v="9"/>
    <s v="Oil &amp; Gas Equipment &amp; Services"/>
    <n v="4471000000"/>
    <n v="1333000000"/>
    <n v="3138000000"/>
  </r>
  <r>
    <x v="176"/>
    <s v="Year 2"/>
    <d v="2014-12-31T00:00:00"/>
    <n v="32870000000"/>
    <n v="27334000000"/>
    <n v="293000000"/>
    <n v="0"/>
    <n v="0"/>
    <x v="9"/>
    <s v="Oil &amp; Gas Equipment &amp; Services"/>
    <n v="5536000000"/>
    <n v="293000000"/>
    <n v="5243000000"/>
  </r>
  <r>
    <x v="176"/>
    <s v="Year 3"/>
    <d v="2015-12-31T00:00:00"/>
    <n v="23633000000"/>
    <n v="21113000000"/>
    <n v="200000000"/>
    <n v="0"/>
    <n v="0"/>
    <x v="9"/>
    <s v="Oil &amp; Gas Equipment &amp; Services"/>
    <n v="2520000000"/>
    <n v="200000000"/>
    <n v="2320000000"/>
  </r>
  <r>
    <x v="176"/>
    <s v="Year 4"/>
    <d v="2016-12-31T00:00:00"/>
    <n v="15887000000"/>
    <n v="15023000000"/>
    <n v="228000000"/>
    <n v="0"/>
    <n v="0"/>
    <x v="9"/>
    <s v="Oil &amp; Gas Equipment &amp; Services"/>
    <n v="864000000"/>
    <n v="228000000"/>
    <n v="636000000"/>
  </r>
  <r>
    <x v="177"/>
    <s v="Year 1"/>
    <d v="2013-06-30T00:00:00"/>
    <n v="4297842000"/>
    <n v="3193722000"/>
    <n v="902869000"/>
    <n v="0"/>
    <n v="0"/>
    <x v="1"/>
    <s v="Consumer Electronics"/>
    <n v="1104120000"/>
    <n v="902869000"/>
    <n v="201251000"/>
  </r>
  <r>
    <x v="177"/>
    <s v="Year 2"/>
    <d v="2014-06-30T00:00:00"/>
    <n v="5348483000"/>
    <n v="3891816000"/>
    <n v="1126940000"/>
    <n v="0"/>
    <n v="0"/>
    <x v="1"/>
    <s v="Consumer Electronics"/>
    <n v="1456667000"/>
    <n v="1126940000"/>
    <n v="329727000"/>
  </r>
  <r>
    <x v="177"/>
    <s v="Year 3"/>
    <d v="2015-06-30T00:00:00"/>
    <n v="6155297000"/>
    <n v="4338193000"/>
    <n v="1347510000"/>
    <n v="0"/>
    <n v="0"/>
    <x v="1"/>
    <s v="Consumer Electronics"/>
    <n v="1817104000"/>
    <n v="1347510000"/>
    <n v="469594000"/>
  </r>
  <r>
    <x v="177"/>
    <s v="Year 4"/>
    <d v="2016-06-30T00:00:00"/>
    <n v="6911676000"/>
    <n v="4818585000"/>
    <n v="1513064000"/>
    <n v="0"/>
    <n v="0"/>
    <x v="1"/>
    <s v="Consumer Electronics"/>
    <n v="2093091000"/>
    <n v="1513064000"/>
    <n v="580027000"/>
  </r>
  <r>
    <x v="178"/>
    <s v="Year 1"/>
    <d v="2012-12-31T00:00:00"/>
    <n v="4088983000"/>
    <n v="1671980000"/>
    <n v="1269586000"/>
    <n v="201197000"/>
    <n v="92369000"/>
    <x v="1"/>
    <s v="Leisure Products"/>
    <n v="2417003000"/>
    <n v="1563152000"/>
    <n v="853851000"/>
  </r>
  <r>
    <x v="178"/>
    <s v="Year 2"/>
    <d v="2013-12-29T00:00:00"/>
    <n v="4082157000"/>
    <n v="1672901000"/>
    <n v="1269777000"/>
    <n v="207591000"/>
    <n v="125876000"/>
    <x v="1"/>
    <s v="Leisure Products"/>
    <n v="2409256000"/>
    <n v="1603244000"/>
    <n v="806012000"/>
  </r>
  <r>
    <x v="178"/>
    <s v="Year 3"/>
    <d v="2014-12-28T00:00:00"/>
    <n v="4277207000"/>
    <n v="1698372000"/>
    <n v="1315793000"/>
    <n v="222556000"/>
    <n v="99794000"/>
    <x v="1"/>
    <s v="Leisure Products"/>
    <n v="2578835000"/>
    <n v="1638143000"/>
    <n v="940692000"/>
  </r>
  <r>
    <x v="178"/>
    <s v="Year 4"/>
    <d v="2015-12-27T00:00:00"/>
    <n v="4447509000"/>
    <n v="1677033000"/>
    <n v="1370183000"/>
    <n v="242944000"/>
    <n v="86171000"/>
    <x v="1"/>
    <s v="Leisure Products"/>
    <n v="2770476000"/>
    <n v="1699298000"/>
    <n v="1071178000"/>
  </r>
  <r>
    <x v="179"/>
    <s v="Year 1"/>
    <d v="2012-12-31T00:00:00"/>
    <n v="3036584000"/>
    <n v="162167000"/>
    <n v="1789327000"/>
    <n v="0"/>
    <n v="193937000"/>
    <x v="6"/>
    <s v="Banks"/>
    <n v="2874417000"/>
    <n v="1983264000"/>
    <n v="891153000"/>
  </r>
  <r>
    <x v="179"/>
    <s v="Year 2"/>
    <d v="2013-12-31T00:00:00"/>
    <n v="2872833000"/>
    <n v="116241000"/>
    <n v="1716639000"/>
    <n v="0"/>
    <n v="131409000"/>
    <x v="6"/>
    <s v="Banks"/>
    <n v="2756592000"/>
    <n v="1848048000"/>
    <n v="908544000"/>
  </r>
  <r>
    <x v="179"/>
    <s v="Year 3"/>
    <d v="2014-12-31T00:00:00"/>
    <n v="2955641000"/>
    <n v="86453000"/>
    <n v="1843069000"/>
    <n v="0"/>
    <n v="120266000"/>
    <x v="6"/>
    <s v="Banks"/>
    <n v="2869188000"/>
    <n v="1963335000"/>
    <n v="905853000"/>
  </r>
  <r>
    <x v="179"/>
    <s v="Year 4"/>
    <d v="2015-12-31T00:00:00"/>
    <n v="3153251000"/>
    <n v="82175000"/>
    <n v="1948041000"/>
    <n v="0"/>
    <n v="127821000"/>
    <x v="6"/>
    <s v="Banks"/>
    <n v="3071076000"/>
    <n v="2075862000"/>
    <n v="995214000"/>
  </r>
  <r>
    <x v="180"/>
    <s v="Year 1"/>
    <d v="2013-12-28T00:00:00"/>
    <n v="4627802000"/>
    <n v="3016109000"/>
    <n v="1096507000"/>
    <n v="0"/>
    <n v="0"/>
    <x v="1"/>
    <s v="Apparel, Accessories &amp; Luxury Goods"/>
    <n v="1611693000"/>
    <n v="1096507000"/>
    <n v="515186000"/>
  </r>
  <r>
    <x v="180"/>
    <s v="Year 2"/>
    <d v="2015-01-03T00:00:00"/>
    <n v="5324746000"/>
    <n v="3420339000"/>
    <n v="1340453000"/>
    <n v="0"/>
    <n v="0"/>
    <x v="1"/>
    <s v="Apparel, Accessories &amp; Luxury Goods"/>
    <n v="1904407000"/>
    <n v="1340453000"/>
    <n v="563954000"/>
  </r>
  <r>
    <x v="180"/>
    <s v="Year 3"/>
    <d v="2016-01-02T00:00:00"/>
    <n v="5731549000"/>
    <n v="3595217000"/>
    <n v="1541214000"/>
    <n v="0"/>
    <n v="0"/>
    <x v="1"/>
    <s v="Apparel, Accessories &amp; Luxury Goods"/>
    <n v="2136332000"/>
    <n v="1541214000"/>
    <n v="595118000"/>
  </r>
  <r>
    <x v="180"/>
    <s v="Year 4"/>
    <d v="2016-12-31T00:00:00"/>
    <n v="6028199000"/>
    <n v="3752151000"/>
    <n v="1500399000"/>
    <n v="0"/>
    <n v="0"/>
    <x v="1"/>
    <s v="Apparel, Accessories &amp; Luxury Goods"/>
    <n v="2276048000"/>
    <n v="1500399000"/>
    <n v="775649000"/>
  </r>
  <r>
    <x v="181"/>
    <s v="Year 1"/>
    <d v="2012-12-31T00:00:00"/>
    <n v="33013000000"/>
    <n v="5717000000"/>
    <n v="20801000000"/>
    <n v="0"/>
    <n v="1679000000"/>
    <x v="3"/>
    <s v="Health Care Facilities"/>
    <n v="27296000000"/>
    <n v="22480000000"/>
    <n v="4816000000"/>
  </r>
  <r>
    <x v="181"/>
    <s v="Year 2"/>
    <d v="2013-12-31T00:00:00"/>
    <n v="34182000000"/>
    <n v="5970000000"/>
    <n v="21667000000"/>
    <n v="0"/>
    <n v="1753000000"/>
    <x v="3"/>
    <s v="Health Care Facilities"/>
    <n v="28212000000"/>
    <n v="23420000000"/>
    <n v="4792000000"/>
  </r>
  <r>
    <x v="181"/>
    <s v="Year 3"/>
    <d v="2014-12-31T00:00:00"/>
    <n v="36918000000"/>
    <n v="6262000000"/>
    <n v="23271000000"/>
    <n v="0"/>
    <n v="1820000000"/>
    <x v="3"/>
    <s v="Health Care Facilities"/>
    <n v="30656000000"/>
    <n v="25091000000"/>
    <n v="5565000000"/>
  </r>
  <r>
    <x v="181"/>
    <s v="Year 4"/>
    <d v="2015-12-31T00:00:00"/>
    <n v="39678000000"/>
    <n v="6638000000"/>
    <n v="25171000000"/>
    <n v="0"/>
    <n v="1904000000"/>
    <x v="3"/>
    <s v="Health Care Facilities"/>
    <n v="33040000000"/>
    <n v="27075000000"/>
    <n v="5965000000"/>
  </r>
  <r>
    <x v="182"/>
    <s v="Year 1"/>
    <d v="2012-12-31T00:00:00"/>
    <n v="1765979000"/>
    <n v="567989000"/>
    <n v="158950000"/>
    <n v="0"/>
    <n v="506220000"/>
    <x v="7"/>
    <s v="REITs"/>
    <n v="1197990000"/>
    <n v="665170000"/>
    <n v="532820000"/>
  </r>
  <r>
    <x v="182"/>
    <s v="Year 2"/>
    <d v="2013-12-31T00:00:00"/>
    <n v="2847945000"/>
    <n v="1206813000"/>
    <n v="241719000"/>
    <n v="0"/>
    <n v="865800000"/>
    <x v="7"/>
    <s v="REITs"/>
    <n v="1641132000"/>
    <n v="1107519000"/>
    <n v="533613000"/>
  </r>
  <r>
    <x v="182"/>
    <s v="Year 3"/>
    <d v="2014-12-31T00:00:00"/>
    <n v="3305879000"/>
    <n v="1403358000"/>
    <n v="212481000"/>
    <n v="0"/>
    <n v="844130000"/>
    <x v="7"/>
    <s v="REITs"/>
    <n v="1902521000"/>
    <n v="1056611000"/>
    <n v="845910000"/>
  </r>
  <r>
    <x v="182"/>
    <s v="Year 4"/>
    <d v="2015-12-31T00:00:00"/>
    <n v="3775685000"/>
    <n v="1622257000"/>
    <n v="258342000"/>
    <n v="0"/>
    <n v="826240000"/>
    <x v="7"/>
    <s v="REITs"/>
    <n v="2153428000"/>
    <n v="1084582000"/>
    <n v="1068846000"/>
  </r>
  <r>
    <x v="183"/>
    <s v="Year 1"/>
    <d v="2013-12-31T00:00:00"/>
    <n v="2013719000"/>
    <m/>
    <n v="401324000"/>
    <n v="0"/>
    <n v="423312000"/>
    <x v="7"/>
    <s v="REITs"/>
    <n v="2013719000"/>
    <n v="824636000"/>
    <n v="1189083000"/>
  </r>
  <r>
    <x v="183"/>
    <s v="Year 2"/>
    <d v="2014-12-31T00:00:00"/>
    <n v="1563210000"/>
    <m/>
    <n v="463059000"/>
    <n v="0"/>
    <n v="455016000"/>
    <x v="7"/>
    <s v="REITs"/>
    <n v="1563210000"/>
    <n v="918075000"/>
    <n v="645135000"/>
  </r>
  <r>
    <x v="183"/>
    <s v="Year 3"/>
    <d v="2015-12-31T00:00:00"/>
    <n v="1828305000"/>
    <m/>
    <n v="706644000"/>
    <n v="0"/>
    <n v="504905000"/>
    <x v="7"/>
    <s v="REITs"/>
    <n v="1828305000"/>
    <n v="1211549000"/>
    <n v="616756000"/>
  </r>
  <r>
    <x v="183"/>
    <s v="Year 4"/>
    <d v="2016-12-31T00:00:00"/>
    <n v="2040486000"/>
    <m/>
    <n v="842010000"/>
    <n v="0"/>
    <n v="568108000"/>
    <x v="7"/>
    <s v="REITs"/>
    <n v="2040486000"/>
    <n v="1410118000"/>
    <n v="630368000"/>
  </r>
  <r>
    <x v="184"/>
    <s v="Year 1"/>
    <d v="2013-02-03T00:00:00"/>
    <n v="74754000000"/>
    <n v="48912000000"/>
    <n v="16508000000"/>
    <n v="0"/>
    <n v="1568000000"/>
    <x v="1"/>
    <s v="Home Improvement Retail"/>
    <n v="25842000000"/>
    <n v="18076000000"/>
    <n v="7766000000"/>
  </r>
  <r>
    <x v="184"/>
    <s v="Year 2"/>
    <d v="2014-02-02T00:00:00"/>
    <n v="78812000000"/>
    <n v="51897000000"/>
    <n v="16122000000"/>
    <n v="0"/>
    <n v="1627000000"/>
    <x v="1"/>
    <s v="Home Improvement Retail"/>
    <n v="26915000000"/>
    <n v="17749000000"/>
    <n v="9166000000"/>
  </r>
  <r>
    <x v="184"/>
    <s v="Year 3"/>
    <d v="2015-02-01T00:00:00"/>
    <n v="83176000000"/>
    <n v="54787000000"/>
    <n v="16280000000"/>
    <n v="0"/>
    <n v="1640000000"/>
    <x v="1"/>
    <s v="Home Improvement Retail"/>
    <n v="28389000000"/>
    <n v="17920000000"/>
    <n v="10469000000"/>
  </r>
  <r>
    <x v="184"/>
    <s v="Year 4"/>
    <d v="2016-01-31T00:00:00"/>
    <n v="88519000000"/>
    <n v="58254000000"/>
    <n v="16801000000"/>
    <n v="0"/>
    <n v="1690000000"/>
    <x v="1"/>
    <s v="Home Improvement Retail"/>
    <n v="30265000000"/>
    <n v="18491000000"/>
    <n v="11774000000"/>
  </r>
  <r>
    <x v="185"/>
    <s v="Year 1"/>
    <d v="2012-12-31T00:00:00"/>
    <n v="12245000000"/>
    <n v="3535000000"/>
    <n v="1126000000"/>
    <n v="0"/>
    <n v="2866000000"/>
    <x v="9"/>
    <s v="Integrated Oil &amp; Gas"/>
    <n v="8710000000"/>
    <n v="3992000000"/>
    <n v="4718000000"/>
  </r>
  <r>
    <x v="185"/>
    <s v="Year 2"/>
    <d v="2013-12-31T00:00:00"/>
    <n v="11905000000"/>
    <n v="3969000000"/>
    <n v="1045000000"/>
    <n v="0"/>
    <n v="2687000000"/>
    <x v="9"/>
    <s v="Integrated Oil &amp; Gas"/>
    <n v="7936000000"/>
    <n v="3732000000"/>
    <n v="4204000000"/>
  </r>
  <r>
    <x v="185"/>
    <s v="Year 3"/>
    <d v="2014-12-31T00:00:00"/>
    <n v="10737000000"/>
    <n v="3753000000"/>
    <n v="863000000"/>
    <n v="0"/>
    <n v="3224000000"/>
    <x v="9"/>
    <s v="Integrated Oil &amp; Gas"/>
    <n v="6984000000"/>
    <n v="4087000000"/>
    <n v="2897000000"/>
  </r>
  <r>
    <x v="185"/>
    <s v="Year 4"/>
    <d v="2015-12-31T00:00:00"/>
    <n v="6636000000"/>
    <n v="3323000000"/>
    <n v="703000000"/>
    <n v="0"/>
    <n v="3955000000"/>
    <x v="9"/>
    <s v="Integrated Oil &amp; Gas"/>
    <n v="3313000000"/>
    <n v="4658000000"/>
    <n v="-1345000000"/>
  </r>
  <r>
    <x v="186"/>
    <s v="Year 1"/>
    <d v="2012-12-31T00:00:00"/>
    <n v="22086000000"/>
    <n v="13195000000"/>
    <n v="0"/>
    <n v="0"/>
    <n v="7080000000"/>
    <x v="6"/>
    <s v="Property &amp; Casualty Insurance"/>
    <n v="8891000000"/>
    <n v="7080000000"/>
    <n v="1811000000"/>
  </r>
  <r>
    <x v="186"/>
    <s v="Year 2"/>
    <d v="2013-12-31T00:00:00"/>
    <n v="20673000000"/>
    <n v="11048000000"/>
    <n v="0"/>
    <n v="0"/>
    <n v="5970000000"/>
    <x v="6"/>
    <s v="Property &amp; Casualty Insurance"/>
    <n v="9625000000"/>
    <n v="5970000000"/>
    <n v="3655000000"/>
  </r>
  <r>
    <x v="186"/>
    <s v="Year 3"/>
    <d v="2014-12-31T00:00:00"/>
    <n v="18614000000"/>
    <n v="10805000000"/>
    <n v="0"/>
    <n v="0"/>
    <n v="5757000000"/>
    <x v="6"/>
    <s v="Property &amp; Casualty Insurance"/>
    <n v="7809000000"/>
    <n v="5757000000"/>
    <n v="2052000000"/>
  </r>
  <r>
    <x v="186"/>
    <s v="Year 4"/>
    <d v="2015-12-31T00:00:00"/>
    <n v="18377000000"/>
    <n v="10775000000"/>
    <n v="0"/>
    <n v="0"/>
    <n v="5274000000"/>
    <x v="6"/>
    <s v="Property &amp; Casualty Insurance"/>
    <n v="7602000000"/>
    <n v="5274000000"/>
    <n v="2328000000"/>
  </r>
  <r>
    <x v="187"/>
    <s v="Year 1"/>
    <d v="2012-12-31T00:00:00"/>
    <n v="5580506000"/>
    <n v="3440623000"/>
    <n v="1111232000"/>
    <n v="0"/>
    <n v="0"/>
    <x v="1"/>
    <s v="Motorcycle Manufacturers"/>
    <n v="2139883000"/>
    <n v="1111232000"/>
    <n v="1028651000"/>
  </r>
  <r>
    <x v="187"/>
    <s v="Year 2"/>
    <d v="2013-12-31T00:00:00"/>
    <n v="5899872000"/>
    <n v="3621417000"/>
    <n v="1124753000"/>
    <n v="0"/>
    <n v="0"/>
    <x v="1"/>
    <s v="Motorcycle Manufacturers"/>
    <n v="2278455000"/>
    <n v="1124753000"/>
    <n v="1153702000"/>
  </r>
  <r>
    <x v="187"/>
    <s v="Year 3"/>
    <d v="2014-12-31T00:00:00"/>
    <n v="6228508000"/>
    <n v="3788023000"/>
    <n v="1159502000"/>
    <n v="0"/>
    <n v="0"/>
    <x v="1"/>
    <s v="Motorcycle Manufacturers"/>
    <n v="2440485000"/>
    <n v="1159502000"/>
    <n v="1280983000"/>
  </r>
  <r>
    <x v="187"/>
    <s v="Year 4"/>
    <d v="2015-12-31T00:00:00"/>
    <n v="5995402000"/>
    <n v="3619612000"/>
    <n v="1220095000"/>
    <n v="0"/>
    <n v="0"/>
    <x v="1"/>
    <s v="Motorcycle Manufacturers"/>
    <n v="2375790000"/>
    <n v="1220095000"/>
    <n v="1155695000"/>
  </r>
  <r>
    <x v="188"/>
    <s v="Year 1"/>
    <d v="2013-09-28T00:00:00"/>
    <n v="2492300000"/>
    <n v="1330900000"/>
    <n v="661100000"/>
    <n v="197600000"/>
    <n v="112600000"/>
    <x v="3"/>
    <s v="Health Care Equipment"/>
    <n v="1161400000"/>
    <n v="971300000"/>
    <n v="190100000"/>
  </r>
  <r>
    <x v="188"/>
    <s v="Year 2"/>
    <d v="2014-09-27T00:00:00"/>
    <n v="2530700000"/>
    <n v="1285200000"/>
    <n v="591500000"/>
    <n v="203200000"/>
    <n v="113800000"/>
    <x v="3"/>
    <s v="Health Care Equipment"/>
    <n v="1245500000"/>
    <n v="908500000"/>
    <n v="337000000"/>
  </r>
  <r>
    <x v="188"/>
    <s v="Year 3"/>
    <d v="2015-09-26T00:00:00"/>
    <n v="2705000000"/>
    <n v="1272300000"/>
    <n v="624000000"/>
    <n v="214900000"/>
    <n v="110200000"/>
    <x v="3"/>
    <s v="Health Care Equipment"/>
    <n v="1432700000"/>
    <n v="949100000"/>
    <n v="483600000"/>
  </r>
  <r>
    <x v="188"/>
    <s v="Year 4"/>
    <d v="2016-09-24T00:00:00"/>
    <n v="2832700000"/>
    <n v="1269400000"/>
    <n v="682400000"/>
    <n v="232100000"/>
    <n v="89700000"/>
    <x v="3"/>
    <s v="Health Care Equipment"/>
    <n v="1563300000"/>
    <n v="1004200000"/>
    <n v="559100000"/>
  </r>
  <r>
    <x v="189"/>
    <s v="Year 1"/>
    <d v="2013-12-31T00:00:00"/>
    <n v="39055000000"/>
    <n v="28364000000"/>
    <n v="5190000000"/>
    <n v="0"/>
    <n v="0"/>
    <x v="0"/>
    <s v="Industrial Conglomerates"/>
    <n v="10691000000"/>
    <n v="5190000000"/>
    <n v="5501000000"/>
  </r>
  <r>
    <x v="189"/>
    <s v="Year 2"/>
    <d v="2014-12-31T00:00:00"/>
    <n v="40306000000"/>
    <n v="28957000000"/>
    <n v="5518000000"/>
    <n v="0"/>
    <n v="0"/>
    <x v="0"/>
    <s v="Industrial Conglomerates"/>
    <n v="11349000000"/>
    <n v="5518000000"/>
    <n v="5831000000"/>
  </r>
  <r>
    <x v="189"/>
    <s v="Year 3"/>
    <d v="2015-12-31T00:00:00"/>
    <n v="38581000000"/>
    <n v="26747000000"/>
    <n v="5006000000"/>
    <n v="0"/>
    <n v="0"/>
    <x v="0"/>
    <s v="Industrial Conglomerates"/>
    <n v="11834000000"/>
    <n v="5006000000"/>
    <n v="6828000000"/>
  </r>
  <r>
    <x v="189"/>
    <s v="Year 4"/>
    <d v="2016-12-31T00:00:00"/>
    <n v="39302000000"/>
    <n v="27150000000"/>
    <n v="5469000000"/>
    <n v="0"/>
    <n v="0"/>
    <x v="0"/>
    <s v="Industrial Conglomerates"/>
    <n v="12152000000"/>
    <n v="5469000000"/>
    <n v="6683000000"/>
  </r>
  <r>
    <x v="190"/>
    <s v="Year 1"/>
    <d v="2013-09-30T00:00:00"/>
    <n v="3387614000"/>
    <n v="1852768000"/>
    <n v="126250000"/>
    <n v="15235000"/>
    <n v="455623000"/>
    <x v="9"/>
    <s v="Oil &amp; Gas Drilling"/>
    <n v="1534846000"/>
    <n v="597108000"/>
    <n v="937738000"/>
  </r>
  <r>
    <x v="190"/>
    <s v="Year 2"/>
    <d v="2014-09-30T00:00:00"/>
    <n v="3715968000"/>
    <n v="2006715000"/>
    <n v="116190000"/>
    <n v="15905000"/>
    <n v="523984000"/>
    <x v="9"/>
    <s v="Oil &amp; Gas Drilling"/>
    <n v="1709253000"/>
    <n v="656079000"/>
    <n v="1053174000"/>
  </r>
  <r>
    <x v="190"/>
    <s v="Year 3"/>
    <d v="2015-09-30T00:00:00"/>
    <n v="3161702000"/>
    <n v="1703476000"/>
    <n v="122878000"/>
    <n v="16104000"/>
    <n v="608039000"/>
    <x v="9"/>
    <s v="Oil &amp; Gas Drilling"/>
    <n v="1458226000"/>
    <n v="747021000"/>
    <n v="711205000"/>
  </r>
  <r>
    <x v="190"/>
    <s v="Year 4"/>
    <d v="2016-09-30T00:00:00"/>
    <n v="1624232000"/>
    <n v="898805000"/>
    <n v="136287000"/>
    <n v="10269000"/>
    <n v="598587000"/>
    <x v="9"/>
    <s v="Oil &amp; Gas Drilling"/>
    <n v="725427000"/>
    <n v="745143000"/>
    <n v="-19716000"/>
  </r>
  <r>
    <x v="191"/>
    <s v="Year 1"/>
    <d v="2014-10-31T00:00:00"/>
    <n v="55123000000"/>
    <n v="39486000000"/>
    <n v="8717000000"/>
    <n v="2197000000"/>
    <n v="906000000"/>
    <x v="2"/>
    <s v="Technology Hardware, Storage &amp; Peripherals"/>
    <n v="15637000000"/>
    <n v="11820000000"/>
    <n v="3817000000"/>
  </r>
  <r>
    <x v="191"/>
    <s v="Year 2"/>
    <d v="2015-10-31T00:00:00"/>
    <n v="52107000000"/>
    <n v="37168000000"/>
    <n v="9047000000"/>
    <n v="2338000000"/>
    <n v="852000000"/>
    <x v="2"/>
    <s v="Technology Hardware, Storage &amp; Peripherals"/>
    <n v="14939000000"/>
    <n v="12237000000"/>
    <n v="2702000000"/>
  </r>
  <r>
    <x v="191"/>
    <s v="Year 3"/>
    <d v="2016-10-31T00:00:00"/>
    <n v="50123000000"/>
    <n v="35507000000"/>
    <n v="8419000000"/>
    <n v="2298000000"/>
    <n v="755000000"/>
    <x v="2"/>
    <s v="Technology Hardware, Storage &amp; Peripherals"/>
    <n v="14616000000"/>
    <n v="11472000000"/>
    <n v="3144000000"/>
  </r>
  <r>
    <x v="192"/>
    <s v="Year 1"/>
    <d v="2013-10-31T00:00:00"/>
    <n v="112298000000"/>
    <n v="86380000000"/>
    <n v="13267000000"/>
    <n v="3135000000"/>
    <n v="1373000000"/>
    <x v="2"/>
    <s v="Computer Hardware"/>
    <n v="25918000000"/>
    <n v="17775000000"/>
    <n v="8143000000"/>
  </r>
  <r>
    <x v="192"/>
    <s v="Year 2"/>
    <d v="2014-10-31T00:00:00"/>
    <n v="56651000000"/>
    <n v="45431000000"/>
    <n v="5361000000"/>
    <n v="1298000000"/>
    <n v="129000000"/>
    <x v="2"/>
    <s v="Computer Hardware"/>
    <n v="11220000000"/>
    <n v="6788000000"/>
    <n v="4432000000"/>
  </r>
  <r>
    <x v="192"/>
    <s v="Year 3"/>
    <d v="2015-10-31T00:00:00"/>
    <n v="51463000000"/>
    <n v="41524000000"/>
    <n v="4663000000"/>
    <n v="1191000000"/>
    <n v="102000000"/>
    <x v="2"/>
    <s v="Computer Hardware"/>
    <n v="9939000000"/>
    <n v="5956000000"/>
    <n v="3983000000"/>
  </r>
  <r>
    <x v="192"/>
    <s v="Year 4"/>
    <d v="2016-10-31T00:00:00"/>
    <n v="48238000000"/>
    <n v="39240000000"/>
    <n v="4019000000"/>
    <n v="1209000000"/>
    <n v="16000000"/>
    <x v="2"/>
    <s v="Computer Hardware"/>
    <n v="8998000000"/>
    <n v="5244000000"/>
    <n v="3754000000"/>
  </r>
  <r>
    <x v="193"/>
    <s v="Year 1"/>
    <d v="2013-04-30T00:00:00"/>
    <n v="2807114000"/>
    <n v="1123773000"/>
    <n v="828095000"/>
    <n v="0"/>
    <n v="92407000"/>
    <x v="6"/>
    <s v="Consumer Finance"/>
    <n v="1683341000"/>
    <n v="920502000"/>
    <n v="762839000"/>
  </r>
  <r>
    <x v="193"/>
    <s v="Year 2"/>
    <d v="2014-04-30T00:00:00"/>
    <n v="3024295000"/>
    <n v="1179405000"/>
    <n v="830789000"/>
    <n v="0"/>
    <n v="115604000"/>
    <x v="6"/>
    <s v="Consumer Finance"/>
    <n v="1844890000"/>
    <n v="946393000"/>
    <n v="898497000"/>
  </r>
  <r>
    <x v="193"/>
    <s v="Year 3"/>
    <d v="2015-04-30T00:00:00"/>
    <n v="3078658000"/>
    <n v="1231104000"/>
    <n v="818091000"/>
    <n v="0"/>
    <n v="159804000"/>
    <x v="6"/>
    <s v="Consumer Finance"/>
    <n v="1847554000"/>
    <n v="977895000"/>
    <n v="869659000"/>
  </r>
  <r>
    <x v="193"/>
    <s v="Year 4"/>
    <d v="2016-04-30T00:00:00"/>
    <n v="3038153000"/>
    <n v="1250320000"/>
    <n v="905648000"/>
    <n v="0"/>
    <n v="173598000"/>
    <x v="6"/>
    <s v="Consumer Finance"/>
    <n v="1787833000"/>
    <n v="1079246000"/>
    <n v="708587000"/>
  </r>
  <r>
    <x v="194"/>
    <s v="Year 1"/>
    <d v="2013-10-27T00:00:00"/>
    <n v="8751654000"/>
    <n v="7338838000"/>
    <n v="627340000"/>
    <n v="0"/>
    <n v="0"/>
    <x v="4"/>
    <s v="Packaged Foods &amp; Meats"/>
    <n v="1412816000"/>
    <n v="627340000"/>
    <n v="785476000"/>
  </r>
  <r>
    <x v="194"/>
    <s v="Year 2"/>
    <d v="2014-10-26T00:00:00"/>
    <n v="9316256000"/>
    <n v="7751273000"/>
    <n v="650948000"/>
    <n v="0"/>
    <n v="0"/>
    <x v="4"/>
    <s v="Packaged Foods &amp; Meats"/>
    <n v="1564983000"/>
    <n v="650948000"/>
    <n v="914035000"/>
  </r>
  <r>
    <x v="194"/>
    <s v="Year 3"/>
    <d v="2015-10-31T00:00:00"/>
    <n v="9263863000"/>
    <n v="7455282000"/>
    <n v="743611000"/>
    <n v="0"/>
    <n v="0"/>
    <x v="4"/>
    <s v="Packaged Foods &amp; Meats"/>
    <n v="1808581000"/>
    <n v="743611000"/>
    <n v="1064970000"/>
  </r>
  <r>
    <x v="194"/>
    <s v="Year 4"/>
    <d v="2016-10-30T00:00:00"/>
    <n v="9523224000"/>
    <n v="7365049000"/>
    <n v="871974000"/>
    <n v="0"/>
    <n v="0"/>
    <x v="4"/>
    <s v="Packaged Foods &amp; Meats"/>
    <n v="2158175000"/>
    <n v="871974000"/>
    <n v="1286201000"/>
  </r>
  <r>
    <x v="195"/>
    <s v="Year 1"/>
    <d v="2013-06-28T00:00:00"/>
    <n v="5112000000"/>
    <n v="3385000000"/>
    <n v="914000000"/>
    <n v="0"/>
    <n v="0"/>
    <x v="2"/>
    <s v="Telecommunications Equipment"/>
    <n v="1727000000"/>
    <n v="914000000"/>
    <n v="813000000"/>
  </r>
  <r>
    <x v="195"/>
    <s v="Year 2"/>
    <d v="2014-06-27T00:00:00"/>
    <n v="5012000000"/>
    <n v="3310000000"/>
    <n v="820000000"/>
    <n v="0"/>
    <n v="0"/>
    <x v="2"/>
    <s v="Telecommunications Equipment"/>
    <n v="1702000000"/>
    <n v="820000000"/>
    <n v="882000000"/>
  </r>
  <r>
    <x v="195"/>
    <s v="Year 3"/>
    <d v="2015-07-03T00:00:00"/>
    <n v="5083000000"/>
    <n v="3348000000"/>
    <n v="976000000"/>
    <n v="0"/>
    <n v="0"/>
    <x v="2"/>
    <s v="Telecommunications Equipment"/>
    <n v="1735000000"/>
    <n v="976000000"/>
    <n v="759000000"/>
  </r>
  <r>
    <x v="195"/>
    <s v="Year 4"/>
    <d v="2016-07-01T00:00:00"/>
    <n v="7467000000"/>
    <n v="5132000000"/>
    <n v="1186000000"/>
    <n v="0"/>
    <n v="0"/>
    <x v="2"/>
    <s v="Telecommunications Equipment"/>
    <n v="2335000000"/>
    <n v="1186000000"/>
    <n v="1149000000"/>
  </r>
  <r>
    <x v="196"/>
    <s v="Year 1"/>
    <d v="2012-12-29T00:00:00"/>
    <n v="8939967000"/>
    <n v="6432454000"/>
    <n v="1873360000"/>
    <n v="0"/>
    <n v="0"/>
    <x v="3"/>
    <s v="Health Care Distributors"/>
    <n v="2507513000"/>
    <n v="1873360000"/>
    <n v="634153000"/>
  </r>
  <r>
    <x v="196"/>
    <s v="Year 2"/>
    <d v="2013-12-28T00:00:00"/>
    <n v="9560647000"/>
    <n v="6904633000"/>
    <n v="1978960000"/>
    <n v="0"/>
    <n v="0"/>
    <x v="3"/>
    <s v="Health Care Distributors"/>
    <n v="2656014000"/>
    <n v="1978960000"/>
    <n v="677054000"/>
  </r>
  <r>
    <x v="196"/>
    <s v="Year 3"/>
    <d v="2014-12-27T00:00:00"/>
    <n v="10371390000"/>
    <n v="7460075000"/>
    <n v="2196173000"/>
    <n v="0"/>
    <n v="0"/>
    <x v="3"/>
    <s v="Health Care Distributors"/>
    <n v="2911315000"/>
    <n v="2196173000"/>
    <n v="715142000"/>
  </r>
  <r>
    <x v="196"/>
    <s v="Year 4"/>
    <d v="2015-12-26T00:00:00"/>
    <n v="10629719000"/>
    <n v="7617460000"/>
    <n v="2243356000"/>
    <n v="0"/>
    <n v="0"/>
    <x v="3"/>
    <s v="Health Care Distributors"/>
    <n v="3012259000"/>
    <n v="2243356000"/>
    <n v="768903000"/>
  </r>
  <r>
    <x v="197"/>
    <s v="Year 1"/>
    <d v="2012-12-31T00:00:00"/>
    <n v="5059000000"/>
    <n v="1885000000"/>
    <n v="2101000000"/>
    <n v="0"/>
    <n v="722000000"/>
    <x v="7"/>
    <s v="REITs"/>
    <n v="3174000000"/>
    <n v="2823000000"/>
    <n v="351000000"/>
  </r>
  <r>
    <x v="197"/>
    <s v="Year 2"/>
    <d v="2013-12-31T00:00:00"/>
    <n v="5166000000"/>
    <n v="1989000000"/>
    <n v="1968000000"/>
    <n v="0"/>
    <n v="697000000"/>
    <x v="7"/>
    <s v="REITs"/>
    <n v="3177000000"/>
    <n v="2665000000"/>
    <n v="512000000"/>
  </r>
  <r>
    <x v="197"/>
    <s v="Year 3"/>
    <d v="2014-12-31T00:00:00"/>
    <n v="5354000000"/>
    <n v="2033000000"/>
    <n v="1920000000"/>
    <n v="0"/>
    <n v="701000000"/>
    <x v="7"/>
    <s v="REITs"/>
    <n v="3321000000"/>
    <n v="2621000000"/>
    <n v="700000000"/>
  </r>
  <r>
    <x v="197"/>
    <s v="Year 4"/>
    <d v="2015-12-31T00:00:00"/>
    <n v="5387000000"/>
    <n v="2012000000"/>
    <n v="2011000000"/>
    <n v="0"/>
    <n v="716000000"/>
    <x v="7"/>
    <s v="REITs"/>
    <n v="3375000000"/>
    <n v="2727000000"/>
    <n v="648000000"/>
  </r>
  <r>
    <x v="198"/>
    <s v="Year 1"/>
    <d v="2012-12-31T00:00:00"/>
    <n v="6644252000"/>
    <n v="3784370000"/>
    <n v="1703796000"/>
    <n v="0"/>
    <n v="0"/>
    <x v="4"/>
    <s v="Packaged Foods &amp; Meats"/>
    <n v="2859882000"/>
    <n v="1703796000"/>
    <n v="1156086000"/>
  </r>
  <r>
    <x v="198"/>
    <s v="Year 2"/>
    <d v="2013-12-31T00:00:00"/>
    <n v="7146079000"/>
    <n v="3865231000"/>
    <n v="1924132000"/>
    <n v="0"/>
    <n v="0"/>
    <x v="4"/>
    <s v="Packaged Foods &amp; Meats"/>
    <n v="3280848000"/>
    <n v="1924132000"/>
    <n v="1356716000"/>
  </r>
  <r>
    <x v="198"/>
    <s v="Year 3"/>
    <d v="2014-12-31T00:00:00"/>
    <n v="7421768000"/>
    <n v="4085602000"/>
    <n v="1898284000"/>
    <n v="0"/>
    <n v="0"/>
    <x v="4"/>
    <s v="Packaged Foods &amp; Meats"/>
    <n v="3336166000"/>
    <n v="1898284000"/>
    <n v="1437882000"/>
  </r>
  <r>
    <x v="198"/>
    <s v="Year 4"/>
    <d v="2015-12-31T00:00:00"/>
    <n v="7386626000"/>
    <n v="4003951000"/>
    <n v="1969308000"/>
    <n v="0"/>
    <n v="0"/>
    <x v="4"/>
    <s v="Packaged Foods &amp; Meats"/>
    <n v="3382675000"/>
    <n v="1969308000"/>
    <n v="1413367000"/>
  </r>
  <r>
    <x v="199"/>
    <s v="Year 1"/>
    <d v="2013-12-31T00:00:00"/>
    <n v="41313000000"/>
    <n v="32564000000"/>
    <n v="0"/>
    <n v="0"/>
    <n v="6688000000"/>
    <x v="3"/>
    <s v="Managed Health Care"/>
    <n v="8749000000"/>
    <n v="6688000000"/>
    <n v="2061000000"/>
  </r>
  <r>
    <x v="199"/>
    <s v="Year 2"/>
    <d v="2014-12-31T00:00:00"/>
    <n v="48500000000"/>
    <n v="38166000000"/>
    <n v="0"/>
    <n v="0"/>
    <n v="7972000000"/>
    <x v="3"/>
    <s v="Managed Health Care"/>
    <n v="10334000000"/>
    <n v="7972000000"/>
    <n v="2362000000"/>
  </r>
  <r>
    <x v="199"/>
    <s v="Year 3"/>
    <d v="2015-12-31T00:00:00"/>
    <n v="54289000000"/>
    <n v="44269000000"/>
    <n v="0"/>
    <n v="0"/>
    <n v="7673000000"/>
    <x v="3"/>
    <s v="Managed Health Care"/>
    <n v="10020000000"/>
    <n v="7673000000"/>
    <n v="2347000000"/>
  </r>
  <r>
    <x v="199"/>
    <s v="Year 4"/>
    <d v="2016-12-31T00:00:00"/>
    <n v="54379000000"/>
    <n v="45007000000"/>
    <n v="0"/>
    <n v="0"/>
    <n v="7631000000"/>
    <x v="3"/>
    <s v="Managed Health Care"/>
    <n v="9372000000"/>
    <n v="7631000000"/>
    <n v="1741000000"/>
  </r>
  <r>
    <x v="200"/>
    <s v="Year 1"/>
    <d v="2012-12-31T00:00:00"/>
    <n v="102874000000"/>
    <n v="52513000000"/>
    <n v="22389000000"/>
    <n v="5816000000"/>
    <n v="0"/>
    <x v="2"/>
    <s v="IT Consulting &amp; Other Services"/>
    <n v="50361000000"/>
    <n v="28205000000"/>
    <n v="22156000000"/>
  </r>
  <r>
    <x v="200"/>
    <s v="Year 2"/>
    <d v="2013-12-31T00:00:00"/>
    <n v="98367000000"/>
    <n v="49683000000"/>
    <n v="22629000000"/>
    <n v="5743000000"/>
    <n v="0"/>
    <x v="2"/>
    <s v="IT Consulting &amp; Other Services"/>
    <n v="48684000000"/>
    <n v="28372000000"/>
    <n v="20312000000"/>
  </r>
  <r>
    <x v="200"/>
    <s v="Year 3"/>
    <d v="2014-12-31T00:00:00"/>
    <n v="92793000000"/>
    <n v="46386000000"/>
    <n v="22438000000"/>
    <n v="5437000000"/>
    <n v="0"/>
    <x v="2"/>
    <s v="IT Consulting &amp; Other Services"/>
    <n v="46407000000"/>
    <n v="27875000000"/>
    <n v="18532000000"/>
  </r>
  <r>
    <x v="200"/>
    <s v="Year 4"/>
    <d v="2015-12-31T00:00:00"/>
    <n v="81741000000"/>
    <n v="41057000000"/>
    <n v="19748000000"/>
    <n v="5247000000"/>
    <n v="0"/>
    <x v="2"/>
    <s v="IT Consulting &amp; Other Services"/>
    <n v="40684000000"/>
    <n v="24995000000"/>
    <n v="15689000000"/>
  </r>
  <r>
    <x v="201"/>
    <s v="Year 1"/>
    <d v="2012-12-31T00:00:00"/>
    <n v="1293338000"/>
    <n v="594190000"/>
    <n v="354571000"/>
    <n v="82014000"/>
    <n v="0"/>
    <x v="3"/>
    <s v="Health Care Equipment"/>
    <n v="699148000"/>
    <n v="436585000"/>
    <n v="262563000"/>
  </r>
  <r>
    <x v="201"/>
    <s v="Year 2"/>
    <d v="2013-12-31T00:00:00"/>
    <n v="1377058000"/>
    <n v="620940000"/>
    <n v="401353000"/>
    <n v="88003000"/>
    <n v="0"/>
    <x v="3"/>
    <s v="Health Care Equipment"/>
    <n v="756118000"/>
    <n v="489356000"/>
    <n v="266762000"/>
  </r>
  <r>
    <x v="201"/>
    <s v="Year 3"/>
    <d v="2014-12-31T00:00:00"/>
    <n v="1485807000"/>
    <n v="669691000"/>
    <n v="457598000"/>
    <n v="98263000"/>
    <n v="0"/>
    <x v="3"/>
    <s v="Health Care Equipment"/>
    <n v="816116000"/>
    <n v="555861000"/>
    <n v="260255000"/>
  </r>
  <r>
    <x v="201"/>
    <s v="Year 4"/>
    <d v="2015-12-31T00:00:00"/>
    <n v="1601892000"/>
    <n v="711622000"/>
    <n v="482465000"/>
    <n v="99681000"/>
    <n v="0"/>
    <x v="3"/>
    <s v="Health Care Equipment"/>
    <n v="890270000"/>
    <n v="582146000"/>
    <n v="308124000"/>
  </r>
  <r>
    <x v="202"/>
    <s v="Year 1"/>
    <d v="2012-12-31T00:00:00"/>
    <n v="2821446000"/>
    <n v="1645912000"/>
    <n v="453535000"/>
    <n v="233713000"/>
    <n v="0"/>
    <x v="8"/>
    <s v="Specialty Chemicals"/>
    <n v="1175534000"/>
    <n v="687248000"/>
    <n v="488286000"/>
  </r>
  <r>
    <x v="202"/>
    <s v="Year 2"/>
    <d v="2013-12-31T00:00:00"/>
    <n v="2952896000"/>
    <n v="1668691000"/>
    <n v="505877000"/>
    <n v="259838000"/>
    <n v="0"/>
    <x v="8"/>
    <s v="Specialty Chemicals"/>
    <n v="1284205000"/>
    <n v="765715000"/>
    <n v="518490000"/>
  </r>
  <r>
    <x v="202"/>
    <s v="Year 3"/>
    <d v="2014-12-31T00:00:00"/>
    <n v="3088533000"/>
    <n v="1726383000"/>
    <n v="514891000"/>
    <n v="253640000"/>
    <n v="0"/>
    <x v="8"/>
    <s v="Specialty Chemicals"/>
    <n v="1362150000"/>
    <n v="768531000"/>
    <n v="593619000"/>
  </r>
  <r>
    <x v="202"/>
    <s v="Year 4"/>
    <d v="2015-12-31T00:00:00"/>
    <n v="3023189000"/>
    <n v="1671590000"/>
    <n v="509557000"/>
    <n v="246101000"/>
    <n v="0"/>
    <x v="8"/>
    <s v="Specialty Chemicals"/>
    <n v="1351599000"/>
    <n v="755658000"/>
    <n v="595941000"/>
  </r>
  <r>
    <x v="203"/>
    <s v="Year 1"/>
    <d v="2013-12-29T00:00:00"/>
    <n v="1421178000"/>
    <n v="509291000"/>
    <n v="397285000"/>
    <n v="276743000"/>
    <n v="0"/>
    <x v="3"/>
    <s v="Life Sciences Tools &amp; Services"/>
    <n v="911887000"/>
    <n v="674028000"/>
    <n v="237859000"/>
  </r>
  <r>
    <x v="203"/>
    <s v="Year 2"/>
    <d v="2014-12-28T00:00:00"/>
    <n v="1861358000"/>
    <n v="563648000"/>
    <n v="471921000"/>
    <n v="388055000"/>
    <n v="0"/>
    <x v="3"/>
    <s v="Life Sciences Tools &amp; Services"/>
    <n v="1297710000"/>
    <n v="859976000"/>
    <n v="437734000"/>
  </r>
  <r>
    <x v="203"/>
    <s v="Year 3"/>
    <d v="2016-01-03T00:00:00"/>
    <n v="2219762000"/>
    <n v="670472000"/>
    <n v="522046000"/>
    <n v="401527000"/>
    <n v="0"/>
    <x v="3"/>
    <s v="Life Sciences Tools &amp; Services"/>
    <n v="1549290000"/>
    <n v="923573000"/>
    <n v="625717000"/>
  </r>
  <r>
    <x v="203"/>
    <s v="Year 4"/>
    <d v="2017-01-01T00:00:00"/>
    <n v="2398373000"/>
    <n v="731925000"/>
    <n v="584491000"/>
    <n v="504415000"/>
    <n v="0"/>
    <x v="3"/>
    <s v="Life Sciences Tools &amp; Services"/>
    <n v="1666448000"/>
    <n v="1088906000"/>
    <n v="577542000"/>
  </r>
  <r>
    <x v="204"/>
    <s v="Year 1"/>
    <d v="2013-12-28T00:00:00"/>
    <n v="52708000000"/>
    <n v="21187000000"/>
    <n v="8088000000"/>
    <n v="10611000000"/>
    <n v="291000000"/>
    <x v="2"/>
    <s v="Semiconductors"/>
    <n v="31521000000"/>
    <n v="18990000000"/>
    <n v="12531000000"/>
  </r>
  <r>
    <x v="204"/>
    <s v="Year 2"/>
    <d v="2014-12-27T00:00:00"/>
    <n v="55870000000"/>
    <n v="20261000000"/>
    <n v="8136000000"/>
    <n v="11537000000"/>
    <n v="294000000"/>
    <x v="2"/>
    <s v="Semiconductors"/>
    <n v="35609000000"/>
    <n v="19967000000"/>
    <n v="15642000000"/>
  </r>
  <r>
    <x v="204"/>
    <s v="Year 3"/>
    <d v="2015-12-26T00:00:00"/>
    <n v="55355000000"/>
    <n v="20676000000"/>
    <n v="7930000000"/>
    <n v="12128000000"/>
    <n v="265000000"/>
    <x v="2"/>
    <s v="Semiconductors"/>
    <n v="34679000000"/>
    <n v="20323000000"/>
    <n v="14356000000"/>
  </r>
  <r>
    <x v="204"/>
    <s v="Year 4"/>
    <d v="2016-12-31T00:00:00"/>
    <n v="59387000000"/>
    <n v="23196000000"/>
    <n v="8397000000"/>
    <n v="12740000000"/>
    <n v="294000000"/>
    <x v="2"/>
    <s v="Semiconductors"/>
    <n v="36191000000"/>
    <n v="21431000000"/>
    <n v="14760000000"/>
  </r>
  <r>
    <x v="205"/>
    <s v="Year 1"/>
    <d v="2013-07-31T00:00:00"/>
    <n v="3946000000"/>
    <n v="527000000"/>
    <n v="1534000000"/>
    <n v="647000000"/>
    <n v="30000000"/>
    <x v="2"/>
    <s v="Internet Software &amp; Services"/>
    <n v="3419000000"/>
    <n v="2211000000"/>
    <n v="1208000000"/>
  </r>
  <r>
    <x v="205"/>
    <s v="Year 2"/>
    <d v="2014-07-31T00:00:00"/>
    <n v="4243000000"/>
    <n v="603000000"/>
    <n v="1601000000"/>
    <n v="714000000"/>
    <n v="25000000"/>
    <x v="2"/>
    <s v="Internet Software &amp; Services"/>
    <n v="3640000000"/>
    <n v="2340000000"/>
    <n v="1300000000"/>
  </r>
  <r>
    <x v="205"/>
    <s v="Year 3"/>
    <d v="2015-07-31T00:00:00"/>
    <n v="4192000000"/>
    <n v="695000000"/>
    <n v="1771000000"/>
    <n v="798000000"/>
    <n v="42000000"/>
    <x v="2"/>
    <s v="Internet Software &amp; Services"/>
    <n v="3497000000"/>
    <n v="2611000000"/>
    <n v="886000000"/>
  </r>
  <r>
    <x v="205"/>
    <s v="Year 4"/>
    <d v="2016-07-31T00:00:00"/>
    <n v="4694000000"/>
    <n v="730000000"/>
    <n v="1807000000"/>
    <n v="881000000"/>
    <n v="34000000"/>
    <x v="2"/>
    <s v="Internet Software &amp; Services"/>
    <n v="3964000000"/>
    <n v="2722000000"/>
    <n v="1242000000"/>
  </r>
  <r>
    <x v="206"/>
    <s v="Year 1"/>
    <d v="2012-12-31T00:00:00"/>
    <n v="21852000000"/>
    <n v="15287000000"/>
    <n v="3303000000"/>
    <n v="0"/>
    <n v="1473000000"/>
    <x v="8"/>
    <s v="Paper Packaging"/>
    <n v="6565000000"/>
    <n v="4776000000"/>
    <n v="1789000000"/>
  </r>
  <r>
    <x v="206"/>
    <s v="Year 2"/>
    <d v="2013-12-31T00:00:00"/>
    <n v="23483000000"/>
    <n v="16282000000"/>
    <n v="3557000000"/>
    <n v="0"/>
    <n v="1531000000"/>
    <x v="8"/>
    <s v="Paper Packaging"/>
    <n v="7201000000"/>
    <n v="5088000000"/>
    <n v="2113000000"/>
  </r>
  <r>
    <x v="206"/>
    <s v="Year 3"/>
    <d v="2014-12-31T00:00:00"/>
    <n v="23617000000"/>
    <n v="16254000000"/>
    <n v="3494000000"/>
    <n v="0"/>
    <n v="1406000000"/>
    <x v="8"/>
    <s v="Paper Packaging"/>
    <n v="7363000000"/>
    <n v="4900000000"/>
    <n v="2463000000"/>
  </r>
  <r>
    <x v="206"/>
    <s v="Year 4"/>
    <d v="2015-12-31T00:00:00"/>
    <n v="22365000000"/>
    <n v="15468000000"/>
    <n v="3219000000"/>
    <n v="0"/>
    <n v="1294000000"/>
    <x v="8"/>
    <s v="Paper Packaging"/>
    <n v="6897000000"/>
    <n v="4513000000"/>
    <n v="2384000000"/>
  </r>
  <r>
    <x v="207"/>
    <s v="Year 1"/>
    <d v="2012-12-31T00:00:00"/>
    <n v="6956200000"/>
    <m/>
    <n v="6279100000"/>
    <n v="0"/>
    <n v="0"/>
    <x v="1"/>
    <s v="Advertising"/>
    <n v="6956200000"/>
    <n v="6279100000"/>
    <n v="677100000"/>
  </r>
  <r>
    <x v="207"/>
    <s v="Year 2"/>
    <d v="2013-12-31T00:00:00"/>
    <n v="7122300000"/>
    <m/>
    <n v="6463400000"/>
    <n v="0"/>
    <n v="0"/>
    <x v="1"/>
    <s v="Advertising"/>
    <n v="7122300000"/>
    <n v="6463400000"/>
    <n v="658900000"/>
  </r>
  <r>
    <x v="207"/>
    <s v="Year 3"/>
    <d v="2014-12-31T00:00:00"/>
    <n v="7537100000"/>
    <m/>
    <n v="6748500000"/>
    <n v="0"/>
    <n v="0"/>
    <x v="1"/>
    <s v="Advertising"/>
    <n v="7537100000"/>
    <n v="6748500000"/>
    <n v="788600000"/>
  </r>
  <r>
    <x v="207"/>
    <s v="Year 4"/>
    <d v="2015-12-31T00:00:00"/>
    <n v="7613800000"/>
    <m/>
    <n v="6742700000"/>
    <n v="0"/>
    <n v="0"/>
    <x v="1"/>
    <s v="Advertising"/>
    <n v="7613800000"/>
    <n v="6742700000"/>
    <n v="871100000"/>
  </r>
  <r>
    <x v="208"/>
    <s v="Year 1"/>
    <d v="2012-12-31T00:00:00"/>
    <n v="3003955000"/>
    <n v="1277113000"/>
    <n v="850371000"/>
    <n v="0"/>
    <n v="316344000"/>
    <x v="7"/>
    <s v="REITs"/>
    <n v="1726842000"/>
    <n v="1166715000"/>
    <n v="560127000"/>
  </r>
  <r>
    <x v="208"/>
    <s v="Year 2"/>
    <d v="2013-12-31T00:00:00"/>
    <n v="3024623000"/>
    <n v="1288878000"/>
    <n v="924031000"/>
    <n v="0"/>
    <n v="322037000"/>
    <x v="7"/>
    <s v="REITs"/>
    <n v="1735745000"/>
    <n v="1246068000"/>
    <n v="489677000"/>
  </r>
  <r>
    <x v="208"/>
    <s v="Year 3"/>
    <d v="2014-12-31T00:00:00"/>
    <n v="3117693000"/>
    <n v="1344636000"/>
    <n v="869572000"/>
    <n v="0"/>
    <n v="353143000"/>
    <x v="7"/>
    <s v="REITs"/>
    <n v="1773057000"/>
    <n v="1222715000"/>
    <n v="550342000"/>
  </r>
  <r>
    <x v="208"/>
    <s v="Year 4"/>
    <d v="2015-12-31T00:00:00"/>
    <n v="3007976000"/>
    <n v="1290025000"/>
    <n v="844960000"/>
    <n v="0"/>
    <n v="345464000"/>
    <x v="7"/>
    <s v="REITs"/>
    <n v="1717951000"/>
    <n v="1190424000"/>
    <n v="527527000"/>
  </r>
  <r>
    <x v="209"/>
    <s v="Year 1"/>
    <d v="2013-12-31T00:00:00"/>
    <n v="2265100000"/>
    <n v="670900000"/>
    <n v="574000000"/>
    <n v="167700000"/>
    <n v="0"/>
    <x v="3"/>
    <s v="Health Care Equipment"/>
    <n v="1594200000"/>
    <n v="741700000"/>
    <n v="852500000"/>
  </r>
  <r>
    <x v="209"/>
    <s v="Year 2"/>
    <d v="2014-12-31T00:00:00"/>
    <n v="2131700000"/>
    <n v="717900000"/>
    <n v="691000000"/>
    <n v="178000000"/>
    <n v="0"/>
    <x v="3"/>
    <s v="Health Care Equipment"/>
    <n v="1413800000"/>
    <n v="869000000"/>
    <n v="544800000"/>
  </r>
  <r>
    <x v="209"/>
    <s v="Year 3"/>
    <d v="2015-12-31T00:00:00"/>
    <n v="2384400000"/>
    <n v="806500000"/>
    <n v="640500000"/>
    <n v="197400000"/>
    <n v="0"/>
    <x v="3"/>
    <s v="Health Care Equipment"/>
    <n v="1577900000"/>
    <n v="837900000"/>
    <n v="740000000"/>
  </r>
  <r>
    <x v="209"/>
    <s v="Year 4"/>
    <d v="2016-12-31T00:00:00"/>
    <n v="2704400000"/>
    <n v="814300000"/>
    <n v="705300000"/>
    <n v="239600000"/>
    <n v="0"/>
    <x v="3"/>
    <s v="Health Care Equipment"/>
    <n v="1890100000"/>
    <n v="944900000"/>
    <n v="945200000"/>
  </r>
  <r>
    <x v="210"/>
    <s v="Year 1"/>
    <d v="2013-12-31T00:00:00"/>
    <n v="14135000000"/>
    <n v="8554000000"/>
    <n v="2815000000"/>
    <n v="0"/>
    <n v="250000000"/>
    <x v="0"/>
    <s v="Industrial Machinery"/>
    <n v="5581000000"/>
    <n v="3065000000"/>
    <n v="2516000000"/>
  </r>
  <r>
    <x v="210"/>
    <s v="Year 2"/>
    <d v="2014-12-31T00:00:00"/>
    <n v="14484000000"/>
    <n v="8673000000"/>
    <n v="2678000000"/>
    <n v="0"/>
    <n v="245000000"/>
    <x v="0"/>
    <s v="Industrial Machinery"/>
    <n v="5811000000"/>
    <n v="2923000000"/>
    <n v="2888000000"/>
  </r>
  <r>
    <x v="210"/>
    <s v="Year 3"/>
    <d v="2015-12-31T00:00:00"/>
    <n v="13405000000"/>
    <n v="7888000000"/>
    <n v="2417000000"/>
    <n v="0"/>
    <n v="233000000"/>
    <x v="0"/>
    <s v="Industrial Machinery"/>
    <n v="5517000000"/>
    <n v="2650000000"/>
    <n v="2867000000"/>
  </r>
  <r>
    <x v="210"/>
    <s v="Year 4"/>
    <d v="2016-12-31T00:00:00"/>
    <n v="13599000000"/>
    <n v="7896000000"/>
    <n v="2415000000"/>
    <n v="0"/>
    <n v="224000000"/>
    <x v="0"/>
    <s v="Industrial Machinery"/>
    <n v="5703000000"/>
    <n v="2639000000"/>
    <n v="3064000000"/>
  </r>
  <r>
    <x v="211"/>
    <s v="Year 1"/>
    <d v="2012-12-31T00:00:00"/>
    <n v="4050400000"/>
    <m/>
    <n v="3207800000"/>
    <n v="0"/>
    <n v="0"/>
    <x v="6"/>
    <s v="Asset Management &amp; Custody Banks"/>
    <n v="4050400000"/>
    <n v="3207800000"/>
    <n v="842600000"/>
  </r>
  <r>
    <x v="211"/>
    <s v="Year 2"/>
    <d v="2013-12-31T00:00:00"/>
    <n v="4644600000"/>
    <m/>
    <n v="3524400000"/>
    <n v="0"/>
    <n v="0"/>
    <x v="6"/>
    <s v="Asset Management &amp; Custody Banks"/>
    <n v="4644600000"/>
    <n v="3524400000"/>
    <n v="1120200000"/>
  </r>
  <r>
    <x v="211"/>
    <s v="Year 3"/>
    <d v="2014-12-31T00:00:00"/>
    <n v="5147100000"/>
    <m/>
    <n v="3870200000"/>
    <n v="0"/>
    <n v="0"/>
    <x v="6"/>
    <s v="Asset Management &amp; Custody Banks"/>
    <n v="5147100000"/>
    <n v="3870200000"/>
    <n v="1276900000"/>
  </r>
  <r>
    <x v="211"/>
    <s v="Year 4"/>
    <d v="2015-12-31T00:00:00"/>
    <n v="5122900000"/>
    <m/>
    <n v="3764500000"/>
    <n v="0"/>
    <n v="0"/>
    <x v="6"/>
    <s v="Asset Management &amp; Custody Banks"/>
    <n v="5122900000"/>
    <n v="3764500000"/>
    <n v="1358400000"/>
  </r>
  <r>
    <x v="212"/>
    <s v="Year 1"/>
    <d v="2012-12-31T00:00:00"/>
    <n v="5054980000"/>
    <n v="3230857000"/>
    <n v="1064757000"/>
    <n v="0"/>
    <n v="229166000"/>
    <x v="0"/>
    <s v="Trucking"/>
    <n v="1824123000"/>
    <n v="1293923000"/>
    <n v="530200000"/>
  </r>
  <r>
    <x v="212"/>
    <s v="Year 2"/>
    <d v="2013-12-31T00:00:00"/>
    <n v="5584571000"/>
    <n v="3570801000"/>
    <n v="1183682000"/>
    <n v="0"/>
    <n v="253380000"/>
    <x v="0"/>
    <s v="Trucking"/>
    <n v="2013770000"/>
    <n v="1437062000"/>
    <n v="576708000"/>
  </r>
  <r>
    <x v="212"/>
    <s v="Year 3"/>
    <d v="2014-12-31T00:00:00"/>
    <n v="6165441000"/>
    <n v="3898403000"/>
    <n v="1341000000"/>
    <n v="0"/>
    <n v="294496000"/>
    <x v="0"/>
    <s v="Trucking"/>
    <n v="2267038000"/>
    <n v="1635496000"/>
    <n v="631542000"/>
  </r>
  <r>
    <x v="212"/>
    <s v="Year 4"/>
    <d v="2015-12-31T00:00:00"/>
    <n v="6187646000"/>
    <n v="3665578000"/>
    <n v="1466761000"/>
    <n v="0"/>
    <n v="339613000"/>
    <x v="0"/>
    <s v="Trucking"/>
    <n v="2522068000"/>
    <n v="1806374000"/>
    <n v="715694000"/>
  </r>
  <r>
    <x v="213"/>
    <s v="Year 1"/>
    <d v="2013-09-27T00:00:00"/>
    <n v="11818376000"/>
    <n v="9976057000"/>
    <n v="1173340000"/>
    <n v="0"/>
    <n v="0"/>
    <x v="0"/>
    <s v="Industrial Conglomerates"/>
    <n v="1842319000"/>
    <n v="1173340000"/>
    <n v="668979000"/>
  </r>
  <r>
    <x v="213"/>
    <s v="Year 2"/>
    <d v="2014-09-26T00:00:00"/>
    <n v="12695157000"/>
    <n v="10621373000"/>
    <n v="1545716000"/>
    <n v="0"/>
    <n v="0"/>
    <x v="0"/>
    <s v="Industrial Conglomerates"/>
    <n v="2073784000"/>
    <n v="1545716000"/>
    <n v="528068000"/>
  </r>
  <r>
    <x v="213"/>
    <s v="Year 3"/>
    <d v="2015-10-02T00:00:00"/>
    <n v="12114832000"/>
    <n v="10146494000"/>
    <n v="1522811000"/>
    <n v="0"/>
    <n v="0"/>
    <x v="0"/>
    <s v="Industrial Conglomerates"/>
    <n v="1968338000"/>
    <n v="1522811000"/>
    <n v="445527000"/>
  </r>
  <r>
    <x v="213"/>
    <s v="Year 4"/>
    <d v="2016-09-30T00:00:00"/>
    <n v="10964157000"/>
    <n v="9196326000"/>
    <n v="1429233000"/>
    <n v="0"/>
    <n v="0"/>
    <x v="0"/>
    <s v="Industrial Conglomerates"/>
    <n v="1767831000"/>
    <n v="1429233000"/>
    <n v="338598000"/>
  </r>
  <r>
    <x v="214"/>
    <s v="Year 1"/>
    <d v="2012-12-31T00:00:00"/>
    <n v="4365400000"/>
    <n v="1656600000"/>
    <n v="1252300000"/>
    <n v="1101600000"/>
    <n v="0"/>
    <x v="2"/>
    <s v="Networking Equipment"/>
    <n v="2708800000"/>
    <n v="2353900000"/>
    <n v="354900000"/>
  </r>
  <r>
    <x v="214"/>
    <s v="Year 2"/>
    <d v="2013-12-31T00:00:00"/>
    <n v="4669100000"/>
    <n v="1727700000"/>
    <n v="1293200000"/>
    <n v="1043200000"/>
    <n v="0"/>
    <x v="2"/>
    <s v="Networking Equipment"/>
    <n v="2941400000"/>
    <n v="2336400000"/>
    <n v="605000000"/>
  </r>
  <r>
    <x v="214"/>
    <s v="Year 3"/>
    <d v="2014-12-31T00:00:00"/>
    <n v="4627100000"/>
    <n v="1768900000"/>
    <n v="1254700000"/>
    <n v="1006200000"/>
    <n v="0"/>
    <x v="2"/>
    <s v="Networking Equipment"/>
    <n v="2858200000"/>
    <n v="2260900000"/>
    <n v="597300000"/>
  </r>
  <r>
    <x v="214"/>
    <s v="Year 4"/>
    <d v="2015-12-31T00:00:00"/>
    <n v="4857800000"/>
    <n v="1779200000"/>
    <n v="1172700000"/>
    <n v="994500000"/>
    <n v="0"/>
    <x v="2"/>
    <s v="Networking Equipment"/>
    <n v="3078600000"/>
    <n v="2167200000"/>
    <n v="911400000"/>
  </r>
  <r>
    <x v="215"/>
    <s v="Year 1"/>
    <d v="2012-12-31T00:00:00"/>
    <n v="93646000000"/>
    <m/>
    <n v="64729000000"/>
    <n v="0"/>
    <n v="3385000000"/>
    <x v="6"/>
    <s v="Banks"/>
    <n v="93646000000"/>
    <n v="68114000000"/>
    <n v="25532000000"/>
  </r>
  <r>
    <x v="215"/>
    <s v="Year 2"/>
    <d v="2013-12-31T00:00:00"/>
    <n v="97142000000"/>
    <m/>
    <n v="70467000000"/>
    <n v="0"/>
    <n v="225000000"/>
    <x v="6"/>
    <s v="Banks"/>
    <n v="97142000000"/>
    <n v="70692000000"/>
    <n v="26450000000"/>
  </r>
  <r>
    <x v="215"/>
    <s v="Year 3"/>
    <d v="2014-12-31T00:00:00"/>
    <n v="91973000000"/>
    <m/>
    <n v="61274000000"/>
    <n v="0"/>
    <n v="3139000000"/>
    <x v="6"/>
    <s v="Banks"/>
    <n v="91973000000"/>
    <n v="64413000000"/>
    <n v="27560000000"/>
  </r>
  <r>
    <x v="215"/>
    <s v="Year 4"/>
    <d v="2015-12-31T00:00:00"/>
    <n v="89716000000"/>
    <m/>
    <n v="59014000000"/>
    <n v="0"/>
    <n v="3827000000"/>
    <x v="6"/>
    <s v="Banks"/>
    <n v="89716000000"/>
    <n v="62841000000"/>
    <n v="26875000000"/>
  </r>
  <r>
    <x v="216"/>
    <s v="Year 1"/>
    <d v="2013-02-02T00:00:00"/>
    <n v="12134000000"/>
    <n v="7432000000"/>
    <n v="3357000000"/>
    <n v="0"/>
    <n v="0"/>
    <x v="1"/>
    <s v="Department Stores"/>
    <n v="4702000000"/>
    <n v="3357000000"/>
    <n v="1345000000"/>
  </r>
  <r>
    <x v="216"/>
    <s v="Year 2"/>
    <d v="2014-02-01T00:00:00"/>
    <n v="12540000000"/>
    <n v="7737000000"/>
    <n v="3453000000"/>
    <n v="0"/>
    <n v="0"/>
    <x v="1"/>
    <s v="Department Stores"/>
    <n v="4803000000"/>
    <n v="3453000000"/>
    <n v="1350000000"/>
  </r>
  <r>
    <x v="216"/>
    <s v="Year 3"/>
    <d v="2015-01-31T00:00:00"/>
    <n v="13506000000"/>
    <n v="8406000000"/>
    <n v="3777000000"/>
    <n v="0"/>
    <n v="0"/>
    <x v="1"/>
    <s v="Department Stores"/>
    <n v="5100000000"/>
    <n v="3777000000"/>
    <n v="1323000000"/>
  </r>
  <r>
    <x v="216"/>
    <s v="Year 4"/>
    <d v="2016-01-30T00:00:00"/>
    <n v="14437000000"/>
    <n v="9168000000"/>
    <n v="4168000000"/>
    <n v="0"/>
    <n v="0"/>
    <x v="1"/>
    <s v="Department Stores"/>
    <n v="5269000000"/>
    <n v="4168000000"/>
    <n v="1101000000"/>
  </r>
  <r>
    <x v="217"/>
    <s v="Year 1"/>
    <d v="2012-12-29T00:00:00"/>
    <n v="14197000000"/>
    <n v="8763000000"/>
    <n v="3872000000"/>
    <n v="0"/>
    <n v="0"/>
    <x v="4"/>
    <s v="Packaged Foods &amp; Meats"/>
    <n v="5434000000"/>
    <n v="3872000000"/>
    <n v="1562000000"/>
  </r>
  <r>
    <x v="217"/>
    <s v="Year 2"/>
    <d v="2013-12-28T00:00:00"/>
    <n v="14792000000"/>
    <n v="8689000000"/>
    <n v="3266000000"/>
    <n v="0"/>
    <n v="0"/>
    <x v="4"/>
    <s v="Packaged Foods &amp; Meats"/>
    <n v="6103000000"/>
    <n v="3266000000"/>
    <n v="2837000000"/>
  </r>
  <r>
    <x v="217"/>
    <s v="Year 3"/>
    <d v="2015-01-03T00:00:00"/>
    <n v="14580000000"/>
    <n v="9517000000"/>
    <n v="4039000000"/>
    <n v="0"/>
    <n v="0"/>
    <x v="4"/>
    <s v="Packaged Foods &amp; Meats"/>
    <n v="5063000000"/>
    <n v="4039000000"/>
    <n v="1024000000"/>
  </r>
  <r>
    <x v="217"/>
    <s v="Year 4"/>
    <d v="2016-01-02T00:00:00"/>
    <n v="13525000000"/>
    <n v="8844000000"/>
    <n v="3590000000"/>
    <n v="0"/>
    <n v="0"/>
    <x v="4"/>
    <s v="Packaged Foods &amp; Meats"/>
    <n v="4681000000"/>
    <n v="3590000000"/>
    <n v="1091000000"/>
  </r>
  <r>
    <x v="218"/>
    <s v="Year 1"/>
    <d v="2013-09-30T00:00:00"/>
    <n v="1287577000"/>
    <n v="1073447000"/>
    <n v="174085000"/>
    <n v="0"/>
    <n v="12784000"/>
    <x v="6"/>
    <s v="Banks"/>
    <n v="214130000"/>
    <n v="186869000"/>
    <n v="27261000"/>
  </r>
  <r>
    <x v="218"/>
    <s v="Year 2"/>
    <d v="2014-09-30T00:00:00"/>
    <n v="1463767000"/>
    <n v="1200308000"/>
    <n v="194491000"/>
    <n v="0"/>
    <n v="13279000"/>
    <x v="6"/>
    <s v="Banks"/>
    <n v="263459000"/>
    <n v="207770000"/>
    <n v="55689000"/>
  </r>
  <r>
    <x v="218"/>
    <s v="Year 3"/>
    <d v="2015-09-30T00:00:00"/>
    <n v="1627413000"/>
    <n v="1354969000"/>
    <n v="207519000"/>
    <n v="0"/>
    <n v="13338000"/>
    <x v="6"/>
    <s v="Banks"/>
    <n v="272444000"/>
    <n v="220857000"/>
    <n v="51587000"/>
  </r>
  <r>
    <x v="218"/>
    <s v="Year 4"/>
    <d v="2016-09-30T00:00:00"/>
    <n v="1822114000"/>
    <n v="1524907000"/>
    <n v="224088000"/>
    <n v="0"/>
    <n v="13794000"/>
    <x v="6"/>
    <s v="Banks"/>
    <n v="297207000"/>
    <n v="237882000"/>
    <n v="59325000"/>
  </r>
  <r>
    <x v="219"/>
    <s v="Year 1"/>
    <d v="2012-12-31T00:00:00"/>
    <n v="793373000"/>
    <n v="206974000"/>
    <n v="123524000"/>
    <n v="0"/>
    <n v="214827000"/>
    <x v="7"/>
    <s v="REITs"/>
    <n v="586399000"/>
    <n v="338351000"/>
    <n v="248048000"/>
  </r>
  <r>
    <x v="219"/>
    <s v="Year 2"/>
    <d v="2013-12-31T00:00:00"/>
    <n v="861527000"/>
    <n v="221498000"/>
    <n v="127470000"/>
    <n v="0"/>
    <n v="224713000"/>
    <x v="7"/>
    <s v="REITs"/>
    <n v="640029000"/>
    <n v="352183000"/>
    <n v="287846000"/>
  </r>
  <r>
    <x v="219"/>
    <s v="Year 3"/>
    <d v="2014-12-31T00:00:00"/>
    <n v="993897000"/>
    <n v="258617000"/>
    <n v="122201000"/>
    <n v="0"/>
    <n v="258074000"/>
    <x v="7"/>
    <s v="REITs"/>
    <n v="735280000"/>
    <n v="380275000"/>
    <n v="355005000"/>
  </r>
  <r>
    <x v="219"/>
    <s v="Year 4"/>
    <d v="2015-12-31T00:00:00"/>
    <n v="1166769000"/>
    <n v="304477000"/>
    <n v="122735000"/>
    <n v="0"/>
    <n v="344527000"/>
    <x v="7"/>
    <s v="REITs"/>
    <n v="862292000"/>
    <n v="467262000"/>
    <n v="395030000"/>
  </r>
  <r>
    <x v="220"/>
    <s v="Year 1"/>
    <d v="2013-06-30T00:00:00"/>
    <n v="2842781000"/>
    <n v="1237452000"/>
    <n v="387812000"/>
    <n v="487832000"/>
    <n v="0"/>
    <x v="2"/>
    <s v="Semiconductor Equipment"/>
    <n v="1605329000"/>
    <n v="875644000"/>
    <n v="729685000"/>
  </r>
  <r>
    <x v="220"/>
    <s v="Year 2"/>
    <d v="2014-06-30T00:00:00"/>
    <n v="2929408000"/>
    <n v="1232962000"/>
    <n v="384907000"/>
    <n v="539469000"/>
    <n v="0"/>
    <x v="2"/>
    <s v="Semiconductor Equipment"/>
    <n v="1696446000"/>
    <n v="924376000"/>
    <n v="772070000"/>
  </r>
  <r>
    <x v="220"/>
    <s v="Year 3"/>
    <d v="2015-06-30T00:00:00"/>
    <n v="2814049000"/>
    <n v="1215229000"/>
    <n v="406864000"/>
    <n v="530616000"/>
    <n v="0"/>
    <x v="2"/>
    <s v="Semiconductor Equipment"/>
    <n v="1598820000"/>
    <n v="937480000"/>
    <n v="661340000"/>
  </r>
  <r>
    <x v="220"/>
    <s v="Year 4"/>
    <d v="2016-06-30T00:00:00"/>
    <n v="2984493000"/>
    <n v="1163391000"/>
    <n v="379399000"/>
    <n v="481258000"/>
    <n v="0"/>
    <x v="2"/>
    <s v="Semiconductor Equipment"/>
    <n v="1821102000"/>
    <n v="860657000"/>
    <n v="960445000"/>
  </r>
  <r>
    <x v="221"/>
    <s v="Year 1"/>
    <d v="2013-12-31T00:00:00"/>
    <n v="19561000000"/>
    <n v="12952000000"/>
    <n v="3706000000"/>
    <n v="0"/>
    <n v="0"/>
    <x v="4"/>
    <s v="Household Products"/>
    <n v="6609000000"/>
    <n v="3706000000"/>
    <n v="2903000000"/>
  </r>
  <r>
    <x v="221"/>
    <s v="Year 2"/>
    <d v="2014-12-31T00:00:00"/>
    <n v="19724000000"/>
    <n v="13041000000"/>
    <n v="4162000000"/>
    <n v="0"/>
    <n v="0"/>
    <x v="4"/>
    <s v="Household Products"/>
    <n v="6683000000"/>
    <n v="4162000000"/>
    <n v="2521000000"/>
  </r>
  <r>
    <x v="221"/>
    <s v="Year 3"/>
    <d v="2015-12-31T00:00:00"/>
    <n v="18591000000"/>
    <n v="11967000000"/>
    <n v="5011000000"/>
    <n v="0"/>
    <n v="0"/>
    <x v="4"/>
    <s v="Household Products"/>
    <n v="6624000000"/>
    <n v="5011000000"/>
    <n v="1613000000"/>
  </r>
  <r>
    <x v="221"/>
    <s v="Year 4"/>
    <d v="2016-12-31T00:00:00"/>
    <n v="18202000000"/>
    <n v="11551000000"/>
    <n v="3334000000"/>
    <n v="0"/>
    <n v="0"/>
    <x v="4"/>
    <s v="Household Products"/>
    <n v="6651000000"/>
    <n v="3334000000"/>
    <n v="3317000000"/>
  </r>
  <r>
    <x v="222"/>
    <s v="Year 1"/>
    <d v="2013-12-31T00:00:00"/>
    <n v="14070000000"/>
    <n v="7365000000"/>
    <n v="1007000000"/>
    <n v="0"/>
    <n v="1806000000"/>
    <x v="9"/>
    <s v="Oil &amp; Gas Refining &amp; Marketing &amp; Transportation"/>
    <n v="6705000000"/>
    <n v="2813000000"/>
    <n v="3892000000"/>
  </r>
  <r>
    <x v="222"/>
    <s v="Year 2"/>
    <d v="2014-12-31T00:00:00"/>
    <n v="16226000000"/>
    <n v="8435000000"/>
    <n v="1029000000"/>
    <n v="0"/>
    <n v="2040000000"/>
    <x v="9"/>
    <s v="Oil &amp; Gas Refining &amp; Marketing &amp; Transportation"/>
    <n v="7791000000"/>
    <n v="3069000000"/>
    <n v="4722000000"/>
  </r>
  <r>
    <x v="222"/>
    <s v="Year 3"/>
    <d v="2015-12-31T00:00:00"/>
    <n v="14403000000"/>
    <n v="6452000000"/>
    <n v="1126000000"/>
    <n v="0"/>
    <n v="2309000000"/>
    <x v="9"/>
    <s v="Oil &amp; Gas Refining &amp; Marketing &amp; Transportation"/>
    <n v="7951000000"/>
    <n v="3435000000"/>
    <n v="4516000000"/>
  </r>
  <r>
    <x v="222"/>
    <s v="Year 4"/>
    <d v="2016-12-31T00:00:00"/>
    <n v="13058000000"/>
    <n v="5801000000"/>
    <n v="1089000000"/>
    <n v="0"/>
    <n v="2209000000"/>
    <x v="9"/>
    <s v="Oil &amp; Gas Refining &amp; Marketing &amp; Transportation"/>
    <n v="7257000000"/>
    <n v="3298000000"/>
    <n v="3959000000"/>
  </r>
  <r>
    <x v="223"/>
    <s v="Year 1"/>
    <d v="2013-02-28T00:00:00"/>
    <n v="10962818000"/>
    <n v="9498456000"/>
    <n v="731767000"/>
    <n v="0"/>
    <n v="0"/>
    <x v="1"/>
    <s v="Specialty Stores"/>
    <n v="1464362000"/>
    <n v="731767000"/>
    <n v="732595000"/>
  </r>
  <r>
    <x v="223"/>
    <s v="Year 2"/>
    <d v="2014-02-28T00:00:00"/>
    <n v="12574299000"/>
    <n v="10925598000"/>
    <n v="819048000"/>
    <n v="0"/>
    <n v="0"/>
    <x v="1"/>
    <s v="Specialty Stores"/>
    <n v="1648701000"/>
    <n v="819048000"/>
    <n v="829653000"/>
  </r>
  <r>
    <x v="223"/>
    <s v="Year 3"/>
    <d v="2015-02-28T00:00:00"/>
    <n v="14268716000"/>
    <n v="12381189000"/>
    <n v="890431000"/>
    <n v="0"/>
    <n v="0"/>
    <x v="1"/>
    <s v="Specialty Stores"/>
    <n v="1887527000"/>
    <n v="890431000"/>
    <n v="997096000"/>
  </r>
  <r>
    <x v="223"/>
    <s v="Year 4"/>
    <d v="2016-02-29T00:00:00"/>
    <n v="15149675000"/>
    <n v="13130915000"/>
    <n v="959899000"/>
    <n v="0"/>
    <n v="0"/>
    <x v="1"/>
    <s v="Specialty Stores"/>
    <n v="2018760000"/>
    <n v="959899000"/>
    <n v="1058861000"/>
  </r>
  <r>
    <x v="224"/>
    <s v="Year 1"/>
    <d v="2012-12-31T00:00:00"/>
    <n v="48017000000"/>
    <n v="19053000000"/>
    <n v="18185000000"/>
    <n v="0"/>
    <n v="0"/>
    <x v="4"/>
    <s v="Soft Drinks"/>
    <n v="28964000000"/>
    <n v="18185000000"/>
    <n v="10779000000"/>
  </r>
  <r>
    <x v="224"/>
    <s v="Year 2"/>
    <d v="2013-12-31T00:00:00"/>
    <n v="46854000000"/>
    <n v="18421000000"/>
    <n v="18205000000"/>
    <n v="0"/>
    <n v="0"/>
    <x v="4"/>
    <s v="Soft Drinks"/>
    <n v="28433000000"/>
    <n v="18205000000"/>
    <n v="10228000000"/>
  </r>
  <r>
    <x v="224"/>
    <s v="Year 3"/>
    <d v="2014-12-31T00:00:00"/>
    <n v="45998000000"/>
    <n v="17889000000"/>
    <n v="18401000000"/>
    <n v="0"/>
    <n v="0"/>
    <x v="4"/>
    <s v="Soft Drinks"/>
    <n v="28109000000"/>
    <n v="18401000000"/>
    <n v="9708000000"/>
  </r>
  <r>
    <x v="224"/>
    <s v="Year 4"/>
    <d v="2015-12-31T00:00:00"/>
    <n v="44294000000"/>
    <n v="17482000000"/>
    <n v="18084000000"/>
    <n v="0"/>
    <n v="0"/>
    <x v="4"/>
    <s v="Soft Drinks"/>
    <n v="26812000000"/>
    <n v="18084000000"/>
    <n v="8728000000"/>
  </r>
  <r>
    <x v="225"/>
    <s v="Year 1"/>
    <d v="2013-03-30T00:00:00"/>
    <n v="2181732000"/>
    <n v="875166000"/>
    <n v="621536000"/>
    <n v="0"/>
    <n v="54291000"/>
    <x v="1"/>
    <s v="Apparel, Accessories &amp; Luxury Goods"/>
    <n v="1306566000"/>
    <n v="675827000"/>
    <n v="630739000"/>
  </r>
  <r>
    <x v="225"/>
    <s v="Year 2"/>
    <d v="2014-03-29T00:00:00"/>
    <n v="3310800000"/>
    <n v="1294700000"/>
    <n v="926900000"/>
    <n v="0"/>
    <n v="79700000"/>
    <x v="1"/>
    <s v="Apparel, Accessories &amp; Luxury Goods"/>
    <n v="2016100000"/>
    <n v="1006600000"/>
    <n v="1009500000"/>
  </r>
  <r>
    <x v="225"/>
    <s v="Year 3"/>
    <d v="2015-03-28T00:00:00"/>
    <n v="4371500000"/>
    <n v="1723800000"/>
    <n v="1251500000"/>
    <n v="0"/>
    <n v="138400000"/>
    <x v="1"/>
    <s v="Apparel, Accessories &amp; Luxury Goods"/>
    <n v="2647700000"/>
    <n v="1389900000"/>
    <n v="1257800000"/>
  </r>
  <r>
    <x v="225"/>
    <s v="Year 4"/>
    <d v="2016-04-02T00:00:00"/>
    <n v="4712100000"/>
    <n v="1914900000"/>
    <n v="1428000000"/>
    <n v="0"/>
    <n v="183200000"/>
    <x v="1"/>
    <s v="Apparel, Accessories &amp; Luxury Goods"/>
    <n v="2797200000"/>
    <n v="1611200000"/>
    <n v="1186000000"/>
  </r>
  <r>
    <x v="226"/>
    <s v="Year 1"/>
    <d v="2013-02-02T00:00:00"/>
    <n v="96619000000"/>
    <n v="76726000000"/>
    <n v="15477000000"/>
    <n v="0"/>
    <n v="1652000000"/>
    <x v="4"/>
    <s v="Food Retail"/>
    <n v="19893000000"/>
    <n v="17129000000"/>
    <n v="2764000000"/>
  </r>
  <r>
    <x v="226"/>
    <s v="Year 2"/>
    <d v="2014-02-01T00:00:00"/>
    <n v="98375000000"/>
    <n v="78138000000"/>
    <n v="15809000000"/>
    <n v="0"/>
    <n v="1703000000"/>
    <x v="4"/>
    <s v="Food Retail"/>
    <n v="20237000000"/>
    <n v="17512000000"/>
    <n v="2725000000"/>
  </r>
  <r>
    <x v="226"/>
    <s v="Year 3"/>
    <d v="2015-01-31T00:00:00"/>
    <n v="108465000000"/>
    <n v="85512000000"/>
    <n v="17868000000"/>
    <n v="0"/>
    <n v="1948000000"/>
    <x v="4"/>
    <s v="Food Retail"/>
    <n v="22953000000"/>
    <n v="19816000000"/>
    <n v="3137000000"/>
  </r>
  <r>
    <x v="226"/>
    <s v="Year 4"/>
    <d v="2016-01-30T00:00:00"/>
    <n v="109830000000"/>
    <n v="85496000000"/>
    <n v="18669000000"/>
    <n v="0"/>
    <n v="2089000000"/>
    <x v="4"/>
    <s v="Food Retail"/>
    <n v="24334000000"/>
    <n v="20758000000"/>
    <n v="3576000000"/>
  </r>
  <r>
    <x v="227"/>
    <s v="Year 1"/>
    <d v="2013-02-02T00:00:00"/>
    <n v="19279000000"/>
    <n v="12289000000"/>
    <n v="4267000000"/>
    <n v="0"/>
    <n v="833000000"/>
    <x v="1"/>
    <s v="General Merchandise Stores"/>
    <n v="6990000000"/>
    <n v="5100000000"/>
    <n v="1890000000"/>
  </r>
  <r>
    <x v="227"/>
    <s v="Year 2"/>
    <d v="2014-02-01T00:00:00"/>
    <n v="19031000000"/>
    <n v="12087000000"/>
    <n v="4313000000"/>
    <n v="0"/>
    <n v="889000000"/>
    <x v="1"/>
    <s v="General Merchandise Stores"/>
    <n v="6944000000"/>
    <n v="5202000000"/>
    <n v="1742000000"/>
  </r>
  <r>
    <x v="227"/>
    <s v="Year 3"/>
    <d v="2015-01-31T00:00:00"/>
    <n v="19023000000"/>
    <n v="12098000000"/>
    <n v="4350000000"/>
    <n v="0"/>
    <n v="886000000"/>
    <x v="1"/>
    <s v="General Merchandise Stores"/>
    <n v="6925000000"/>
    <n v="5236000000"/>
    <n v="1689000000"/>
  </r>
  <r>
    <x v="227"/>
    <s v="Year 4"/>
    <d v="2016-01-30T00:00:00"/>
    <n v="19204000000"/>
    <n v="12265000000"/>
    <n v="4452000000"/>
    <n v="0"/>
    <n v="934000000"/>
    <x v="1"/>
    <s v="General Merchandise Stores"/>
    <n v="6939000000"/>
    <n v="5386000000"/>
    <n v="1553000000"/>
  </r>
  <r>
    <x v="228"/>
    <s v="Year 1"/>
    <d v="2013-12-31T00:00:00"/>
    <n v="2369300000"/>
    <n v="805300000"/>
    <n v="602100000"/>
    <n v="0"/>
    <n v="223300000"/>
    <x v="0"/>
    <s v="Railroads"/>
    <n v="1564000000"/>
    <n v="825400000"/>
    <n v="738600000"/>
  </r>
  <r>
    <x v="228"/>
    <s v="Year 2"/>
    <d v="2014-12-31T00:00:00"/>
    <n v="2577100000"/>
    <n v="877900000"/>
    <n v="632000000"/>
    <n v="0"/>
    <n v="258100000"/>
    <x v="0"/>
    <s v="Railroads"/>
    <n v="1699200000"/>
    <n v="890100000"/>
    <n v="809100000"/>
  </r>
  <r>
    <x v="228"/>
    <s v="Year 3"/>
    <d v="2015-12-31T00:00:00"/>
    <n v="2418800000"/>
    <n v="759200000"/>
    <n v="571200000"/>
    <n v="0"/>
    <n v="284600000"/>
    <x v="0"/>
    <s v="Railroads"/>
    <n v="1659600000"/>
    <n v="855800000"/>
    <n v="803800000"/>
  </r>
  <r>
    <x v="228"/>
    <s v="Year 4"/>
    <d v="2016-12-31T00:00:00"/>
    <n v="2334200000"/>
    <n v="691100000"/>
    <n v="519600000"/>
    <n v="0"/>
    <n v="305000000"/>
    <x v="0"/>
    <s v="Railroads"/>
    <n v="1643100000"/>
    <n v="824600000"/>
    <n v="818500000"/>
  </r>
  <r>
    <x v="229"/>
    <s v="Year 1"/>
    <d v="2013-02-02T00:00:00"/>
    <n v="10459000000"/>
    <n v="6073000000"/>
    <n v="2720000000"/>
    <n v="0"/>
    <n v="0"/>
    <x v="1"/>
    <s v="Apparel Retail"/>
    <n v="4386000000"/>
    <n v="2720000000"/>
    <n v="1666000000"/>
  </r>
  <r>
    <x v="229"/>
    <s v="Year 2"/>
    <d v="2014-02-01T00:00:00"/>
    <n v="10773000000"/>
    <n v="6344000000"/>
    <n v="2686000000"/>
    <n v="0"/>
    <n v="0"/>
    <x v="1"/>
    <s v="Apparel Retail"/>
    <n v="4429000000"/>
    <n v="2686000000"/>
    <n v="1743000000"/>
  </r>
  <r>
    <x v="229"/>
    <s v="Year 3"/>
    <d v="2015-01-31T00:00:00"/>
    <n v="11454000000"/>
    <n v="6646000000"/>
    <n v="2855000000"/>
    <n v="0"/>
    <n v="0"/>
    <x v="1"/>
    <s v="Apparel Retail"/>
    <n v="4808000000"/>
    <n v="2855000000"/>
    <n v="1953000000"/>
  </r>
  <r>
    <x v="229"/>
    <s v="Year 4"/>
    <d v="2016-01-30T00:00:00"/>
    <n v="12154000000"/>
    <n v="6950000000"/>
    <n v="3012000000"/>
    <n v="0"/>
    <n v="0"/>
    <x v="1"/>
    <s v="Apparel Retail"/>
    <n v="5204000000"/>
    <n v="3012000000"/>
    <n v="2192000000"/>
  </r>
  <r>
    <x v="230"/>
    <s v="Year 1"/>
    <d v="2012-12-31T00:00:00"/>
    <n v="3414500000"/>
    <n v="2718900000"/>
    <n v="346100000"/>
    <n v="0"/>
    <n v="25100000"/>
    <x v="0"/>
    <s v="Industrial Conglomerates"/>
    <n v="695600000"/>
    <n v="371200000"/>
    <n v="324400000"/>
  </r>
  <r>
    <x v="230"/>
    <s v="Year 2"/>
    <d v="2013-12-31T00:00:00"/>
    <n v="3477200000"/>
    <n v="2767300000"/>
    <n v="346900000"/>
    <n v="0"/>
    <n v="25400000"/>
    <x v="0"/>
    <s v="Industrial Conglomerates"/>
    <n v="709900000"/>
    <n v="372300000"/>
    <n v="337600000"/>
  </r>
  <r>
    <x v="230"/>
    <s v="Year 3"/>
    <d v="2014-12-31T00:00:00"/>
    <n v="3782300000"/>
    <n v="2991900000"/>
    <n v="439200000"/>
    <n v="0"/>
    <n v="19700000"/>
    <x v="0"/>
    <s v="Industrial Conglomerates"/>
    <n v="790400000"/>
    <n v="458900000"/>
    <n v="331500000"/>
  </r>
  <r>
    <x v="230"/>
    <s v="Year 4"/>
    <d v="2015-12-31T00:00:00"/>
    <n v="3917200000"/>
    <n v="2994000000"/>
    <n v="411800000"/>
    <n v="0"/>
    <n v="20800000"/>
    <x v="0"/>
    <s v="Industrial Conglomerates"/>
    <n v="923200000"/>
    <n v="432600000"/>
    <n v="490600000"/>
  </r>
  <r>
    <x v="231"/>
    <s v="Year 1"/>
    <d v="2013-11-30T00:00:00"/>
    <n v="5935095000"/>
    <n v="4920664000"/>
    <n v="328595000"/>
    <n v="0"/>
    <n v="0"/>
    <x v="1"/>
    <s v="Homebuilding"/>
    <n v="1014431000"/>
    <n v="328595000"/>
    <n v="685836000"/>
  </r>
  <r>
    <x v="231"/>
    <s v="Year 2"/>
    <d v="2014-11-30T00:00:00"/>
    <n v="7779812000"/>
    <n v="6336272000"/>
    <n v="521502000"/>
    <n v="0"/>
    <n v="0"/>
    <x v="1"/>
    <s v="Homebuilding"/>
    <n v="1443540000"/>
    <n v="521502000"/>
    <n v="922038000"/>
  </r>
  <r>
    <x v="231"/>
    <s v="Year 3"/>
    <d v="2015-11-30T00:00:00"/>
    <n v="9474008000"/>
    <n v="7757571000"/>
    <n v="630421000"/>
    <n v="0"/>
    <n v="0"/>
    <x v="1"/>
    <s v="Homebuilding"/>
    <n v="1716437000"/>
    <n v="630421000"/>
    <n v="1086016000"/>
  </r>
  <r>
    <x v="231"/>
    <s v="Year 4"/>
    <d v="2016-11-30T00:00:00"/>
    <n v="10949999000"/>
    <n v="8923519000"/>
    <n v="764117000"/>
    <n v="0"/>
    <n v="0"/>
    <x v="1"/>
    <s v="Homebuilding"/>
    <n v="2026480000"/>
    <n v="764117000"/>
    <n v="1262363000"/>
  </r>
  <r>
    <x v="232"/>
    <s v="Year 1"/>
    <d v="2012-12-31T00:00:00"/>
    <n v="5671400000"/>
    <n v="3421700000"/>
    <n v="1114600000"/>
    <n v="0"/>
    <n v="86300000"/>
    <x v="3"/>
    <s v="Health Care Facilities"/>
    <n v="2249700000"/>
    <n v="1200900000"/>
    <n v="1048800000"/>
  </r>
  <r>
    <x v="232"/>
    <s v="Year 2"/>
    <d v="2013-12-31T00:00:00"/>
    <n v="5808300000"/>
    <n v="3585100000"/>
    <n v="1128800000"/>
    <n v="0"/>
    <n v="81700000"/>
    <x v="3"/>
    <s v="Health Care Facilities"/>
    <n v="2223200000"/>
    <n v="1210500000"/>
    <n v="1012700000"/>
  </r>
  <r>
    <x v="232"/>
    <s v="Year 3"/>
    <d v="2014-12-31T00:00:00"/>
    <n v="6011600000"/>
    <n v="3808500000"/>
    <n v="1198200000"/>
    <n v="0"/>
    <n v="76700000"/>
    <x v="3"/>
    <s v="Health Care Facilities"/>
    <n v="2203100000"/>
    <n v="1274900000"/>
    <n v="928200000"/>
  </r>
  <r>
    <x v="232"/>
    <s v="Year 4"/>
    <d v="2015-12-31T00:00:00"/>
    <n v="8680100000"/>
    <n v="5776800000"/>
    <n v="1622000000"/>
    <n v="0"/>
    <n v="164500000"/>
    <x v="3"/>
    <s v="Health Care Facilities"/>
    <n v="2903300000"/>
    <n v="1786500000"/>
    <n v="1116800000"/>
  </r>
  <r>
    <x v="233"/>
    <s v="Year 1"/>
    <d v="2012-12-31T00:00:00"/>
    <n v="4122930000"/>
    <n v="2398790000"/>
    <n v="1219343000"/>
    <n v="0"/>
    <n v="64093000"/>
    <x v="1"/>
    <s v="Distributors"/>
    <n v="1724140000"/>
    <n v="1283436000"/>
    <n v="440704000"/>
  </r>
  <r>
    <x v="233"/>
    <s v="Year 2"/>
    <d v="2013-12-31T00:00:00"/>
    <n v="5062528000"/>
    <n v="2987126000"/>
    <n v="1454080000"/>
    <n v="0"/>
    <n v="80969000"/>
    <x v="1"/>
    <s v="Distributors"/>
    <n v="2075402000"/>
    <n v="1535049000"/>
    <n v="540353000"/>
  </r>
  <r>
    <x v="233"/>
    <s v="Year 3"/>
    <d v="2014-12-31T00:00:00"/>
    <n v="6740064000"/>
    <n v="4088151000"/>
    <n v="1866520000"/>
    <n v="0"/>
    <n v="120719000"/>
    <x v="1"/>
    <s v="Distributors"/>
    <n v="2651913000"/>
    <n v="1987239000"/>
    <n v="664674000"/>
  </r>
  <r>
    <x v="233"/>
    <s v="Year 4"/>
    <d v="2015-12-31T00:00:00"/>
    <n v="7192633000"/>
    <n v="4359104000"/>
    <n v="1987271000"/>
    <n v="0"/>
    <n v="122120000"/>
    <x v="1"/>
    <s v="Distributors"/>
    <n v="2833529000"/>
    <n v="2109391000"/>
    <n v="724138000"/>
  </r>
  <r>
    <x v="234"/>
    <s v="Year 1"/>
    <d v="2012-12-31T00:00:00"/>
    <n v="13107000000"/>
    <n v="11799000000"/>
    <n v="0"/>
    <n v="0"/>
    <n v="0"/>
    <x v="0"/>
    <s v="Industrial Conglomerates"/>
    <n v="1308000000"/>
    <n v="0"/>
    <n v="1308000000"/>
  </r>
  <r>
    <x v="234"/>
    <s v="Year 2"/>
    <d v="2013-12-31T00:00:00"/>
    <n v="11420000000"/>
    <n v="10303000000"/>
    <n v="0"/>
    <n v="0"/>
    <n v="0"/>
    <x v="0"/>
    <s v="Industrial Conglomerates"/>
    <n v="1117000000"/>
    <n v="0"/>
    <n v="1117000000"/>
  </r>
  <r>
    <x v="234"/>
    <s v="Year 3"/>
    <d v="2014-12-31T00:00:00"/>
    <n v="10986000000"/>
    <n v="9974000000"/>
    <n v="0"/>
    <n v="0"/>
    <n v="0"/>
    <x v="0"/>
    <s v="Industrial Conglomerates"/>
    <n v="1012000000"/>
    <n v="0"/>
    <n v="1012000000"/>
  </r>
  <r>
    <x v="234"/>
    <s v="Year 4"/>
    <d v="2015-12-31T00:00:00"/>
    <n v="10466000000"/>
    <n v="9576000000"/>
    <n v="0"/>
    <n v="0"/>
    <n v="0"/>
    <x v="0"/>
    <s v="Industrial Conglomerates"/>
    <n v="890000000"/>
    <n v="0"/>
    <n v="890000000"/>
  </r>
  <r>
    <x v="235"/>
    <s v="Year 1"/>
    <d v="2013-06-30T00:00:00"/>
    <n v="1282236000"/>
    <n v="322516000"/>
    <n v="151382000"/>
    <n v="235184000"/>
    <n v="0"/>
    <x v="2"/>
    <s v="Semiconductors"/>
    <n v="959720000"/>
    <n v="386566000"/>
    <n v="573154000"/>
  </r>
  <r>
    <x v="235"/>
    <s v="Year 2"/>
    <d v="2014-06-29T00:00:00"/>
    <n v="1388386000"/>
    <n v="338580000"/>
    <n v="159642000"/>
    <n v="250434000"/>
    <n v="0"/>
    <x v="2"/>
    <s v="Semiconductors"/>
    <n v="1049806000"/>
    <n v="410076000"/>
    <n v="639730000"/>
  </r>
  <r>
    <x v="235"/>
    <s v="Year 3"/>
    <d v="2015-06-28T00:00:00"/>
    <n v="1475139000"/>
    <n v="355727000"/>
    <n v="169952000"/>
    <n v="266761000"/>
    <n v="0"/>
    <x v="2"/>
    <s v="Semiconductors"/>
    <n v="1119412000"/>
    <n v="436713000"/>
    <n v="682699000"/>
  </r>
  <r>
    <x v="235"/>
    <s v="Year 4"/>
    <d v="2016-07-03T00:00:00"/>
    <n v="1423936000"/>
    <n v="343801000"/>
    <n v="170120000"/>
    <n v="276462000"/>
    <n v="0"/>
    <x v="2"/>
    <s v="Semiconductors"/>
    <n v="1080135000"/>
    <n v="446582000"/>
    <n v="633553000"/>
  </r>
  <r>
    <x v="236"/>
    <s v="Year 1"/>
    <d v="2012-12-31T00:00:00"/>
    <n v="22603400000"/>
    <n v="4796500000"/>
    <n v="6839500000"/>
    <n v="5278100000"/>
    <n v="0"/>
    <x v="3"/>
    <s v="Pharmaceuticals"/>
    <n v="17806900000"/>
    <n v="12117600000"/>
    <n v="5689300000"/>
  </r>
  <r>
    <x v="236"/>
    <s v="Year 2"/>
    <d v="2013-12-31T00:00:00"/>
    <n v="23113100000"/>
    <n v="4908100000"/>
    <n v="6606700000"/>
    <n v="5531300000"/>
    <n v="0"/>
    <x v="3"/>
    <s v="Pharmaceuticals"/>
    <n v="18205000000"/>
    <n v="12138000000"/>
    <n v="6067000000"/>
  </r>
  <r>
    <x v="236"/>
    <s v="Year 3"/>
    <d v="2014-12-31T00:00:00"/>
    <n v="19615600000"/>
    <n v="4932500000"/>
    <n v="6280300000"/>
    <n v="4733600000"/>
    <n v="0"/>
    <x v="3"/>
    <s v="Pharmaceuticals"/>
    <n v="14683100000"/>
    <n v="11013900000"/>
    <n v="3669200000"/>
  </r>
  <r>
    <x v="236"/>
    <s v="Year 4"/>
    <d v="2015-12-31T00:00:00"/>
    <n v="19958700000"/>
    <n v="5037200000"/>
    <n v="6432400000"/>
    <n v="4796400000"/>
    <n v="0"/>
    <x v="3"/>
    <s v="Pharmaceuticals"/>
    <n v="14921500000"/>
    <n v="11228800000"/>
    <n v="3692700000"/>
  </r>
  <r>
    <x v="237"/>
    <s v="Year 1"/>
    <d v="2013-12-31T00:00:00"/>
    <n v="45358000000"/>
    <n v="41171000000"/>
    <n v="318000000"/>
    <n v="0"/>
    <n v="0"/>
    <x v="0"/>
    <s v="Aerospace &amp; Defense"/>
    <n v="4187000000"/>
    <n v="318000000"/>
    <n v="3869000000"/>
  </r>
  <r>
    <x v="237"/>
    <s v="Year 2"/>
    <d v="2014-12-31T00:00:00"/>
    <n v="39946000000"/>
    <n v="35263000000"/>
    <n v="-329000000"/>
    <n v="0"/>
    <n v="0"/>
    <x v="0"/>
    <s v="Aerospace &amp; Defense"/>
    <n v="4683000000"/>
    <n v="-329000000"/>
    <n v="5012000000"/>
  </r>
  <r>
    <x v="237"/>
    <s v="Year 3"/>
    <d v="2015-12-31T00:00:00"/>
    <n v="40536000000"/>
    <n v="36044000000"/>
    <n v="-220000000"/>
    <n v="0"/>
    <n v="0"/>
    <x v="0"/>
    <s v="Aerospace &amp; Defense"/>
    <n v="4492000000"/>
    <n v="-220000000"/>
    <n v="4712000000"/>
  </r>
  <r>
    <x v="237"/>
    <s v="Year 4"/>
    <d v="2016-12-31T00:00:00"/>
    <n v="47248000000"/>
    <n v="42186000000"/>
    <n v="-487000000"/>
    <n v="0"/>
    <n v="0"/>
    <x v="0"/>
    <s v="Aerospace &amp; Defense"/>
    <n v="5062000000"/>
    <n v="-487000000"/>
    <n v="5549000000"/>
  </r>
  <r>
    <x v="238"/>
    <s v="Year 1"/>
    <d v="2012-12-31T00:00:00"/>
    <n v="3094500000"/>
    <n v="2144200000"/>
    <n v="98200000"/>
    <n v="0"/>
    <n v="332400000"/>
    <x v="5"/>
    <s v="Electric Utilities"/>
    <n v="950300000"/>
    <n v="430600000"/>
    <n v="519700000"/>
  </r>
  <r>
    <x v="238"/>
    <s v="Year 2"/>
    <d v="2013-12-31T00:00:00"/>
    <n v="3276800000"/>
    <n v="2272400000"/>
    <n v="99600000"/>
    <n v="0"/>
    <n v="370900000"/>
    <x v="5"/>
    <s v="Electric Utilities"/>
    <n v="1004400000"/>
    <n v="470500000"/>
    <n v="533900000"/>
  </r>
  <r>
    <x v="238"/>
    <s v="Year 3"/>
    <d v="2014-12-31T00:00:00"/>
    <n v="3350300000"/>
    <n v="2317500000"/>
    <n v="101100000"/>
    <n v="0"/>
    <n v="388100000"/>
    <x v="5"/>
    <s v="Electric Utilities"/>
    <n v="1032800000"/>
    <n v="489200000"/>
    <n v="543600000"/>
  </r>
  <r>
    <x v="238"/>
    <s v="Year 4"/>
    <d v="2015-12-31T00:00:00"/>
    <n v="3253600000"/>
    <n v="2171600000"/>
    <n v="103700000"/>
    <n v="0"/>
    <n v="401300000"/>
    <x v="5"/>
    <s v="Electric Utilities"/>
    <n v="1082000000"/>
    <n v="505000000"/>
    <n v="577000000"/>
  </r>
  <r>
    <x v="239"/>
    <s v="Year 1"/>
    <d v="2013-02-01T00:00:00"/>
    <n v="50521000000"/>
    <n v="33194000000"/>
    <n v="12244000000"/>
    <n v="0"/>
    <n v="1523000000"/>
    <x v="1"/>
    <s v="Home Improvement Retail"/>
    <n v="17327000000"/>
    <n v="13767000000"/>
    <n v="3560000000"/>
  </r>
  <r>
    <x v="239"/>
    <s v="Year 2"/>
    <d v="2014-01-31T00:00:00"/>
    <n v="53417000000"/>
    <n v="34941000000"/>
    <n v="12865000000"/>
    <n v="0"/>
    <n v="1462000000"/>
    <x v="1"/>
    <s v="Home Improvement Retail"/>
    <n v="18476000000"/>
    <n v="14327000000"/>
    <n v="4149000000"/>
  </r>
  <r>
    <x v="239"/>
    <s v="Year 3"/>
    <d v="2015-01-30T00:00:00"/>
    <n v="56223000000"/>
    <n v="36665000000"/>
    <n v="13281000000"/>
    <n v="0"/>
    <n v="1485000000"/>
    <x v="1"/>
    <s v="Home Improvement Retail"/>
    <n v="19558000000"/>
    <n v="14766000000"/>
    <n v="4792000000"/>
  </r>
  <r>
    <x v="239"/>
    <s v="Year 4"/>
    <d v="2016-01-29T00:00:00"/>
    <n v="59074000000"/>
    <n v="38504000000"/>
    <n v="14115000000"/>
    <n v="0"/>
    <n v="1484000000"/>
    <x v="1"/>
    <s v="Home Improvement Retail"/>
    <n v="20570000000"/>
    <n v="15599000000"/>
    <n v="4971000000"/>
  </r>
  <r>
    <x v="240"/>
    <s v="Year 1"/>
    <d v="2013-06-30T00:00:00"/>
    <n v="3598916000"/>
    <n v="2195857000"/>
    <n v="601300000"/>
    <n v="683688000"/>
    <n v="0"/>
    <x v="2"/>
    <s v="Semiconductor Equipment"/>
    <n v="1403059000"/>
    <n v="1284988000"/>
    <n v="118071000"/>
  </r>
  <r>
    <x v="240"/>
    <s v="Year 2"/>
    <d v="2014-06-29T00:00:00"/>
    <n v="4607309000"/>
    <n v="2599828000"/>
    <n v="613341000"/>
    <n v="716471000"/>
    <n v="0"/>
    <x v="2"/>
    <s v="Semiconductor Equipment"/>
    <n v="2007481000"/>
    <n v="1329812000"/>
    <n v="677669000"/>
  </r>
  <r>
    <x v="240"/>
    <s v="Year 3"/>
    <d v="2015-06-28T00:00:00"/>
    <n v="5259312000"/>
    <n v="2974976000"/>
    <n v="591611000"/>
    <n v="825242000"/>
    <n v="0"/>
    <x v="2"/>
    <s v="Semiconductor Equipment"/>
    <n v="2284336000"/>
    <n v="1416853000"/>
    <n v="867483000"/>
  </r>
  <r>
    <x v="240"/>
    <s v="Year 4"/>
    <d v="2016-06-26T00:00:00"/>
    <n v="5885893000"/>
    <n v="3266971000"/>
    <n v="630954000"/>
    <n v="913712000"/>
    <n v="0"/>
    <x v="2"/>
    <s v="Semiconductor Equipment"/>
    <n v="2618922000"/>
    <n v="1544666000"/>
    <n v="1074256000"/>
  </r>
  <r>
    <x v="241"/>
    <s v="Year 1"/>
    <d v="2012-12-31T00:00:00"/>
    <n v="7810610000"/>
    <n v="7479746000"/>
    <n v="360586000"/>
    <n v="0"/>
    <n v="116388000"/>
    <x v="6"/>
    <s v="Multi-Sector Holdings"/>
    <n v="330864000"/>
    <n v="476974000"/>
    <n v="-146110000"/>
  </r>
  <r>
    <x v="241"/>
    <s v="Year 2"/>
    <d v="2013-12-31T00:00:00"/>
    <n v="9531778000"/>
    <n v="7567707000"/>
    <n v="2177616000"/>
    <n v="0"/>
    <n v="167425000"/>
    <x v="6"/>
    <s v="Multi-Sector Holdings"/>
    <n v="1964071000"/>
    <n v="2345041000"/>
    <n v="-380970000"/>
  </r>
  <r>
    <x v="241"/>
    <s v="Year 3"/>
    <d v="2014-12-31T00:00:00"/>
    <n v="10681897000"/>
    <n v="8024286000"/>
    <n v="2856642000"/>
    <n v="0"/>
    <n v="185993000"/>
    <x v="6"/>
    <s v="Multi-Sector Holdings"/>
    <n v="2657611000"/>
    <n v="3042635000"/>
    <n v="-385024000"/>
  </r>
  <r>
    <x v="241"/>
    <s v="Year 4"/>
    <d v="2015-12-31T00:00:00"/>
    <n v="10116502000"/>
    <n v="7677233000"/>
    <n v="2620072000"/>
    <n v="0"/>
    <n v="224133000"/>
    <x v="6"/>
    <s v="Multi-Sector Holdings"/>
    <n v="2439269000"/>
    <n v="2844205000"/>
    <n v="-404936000"/>
  </r>
  <r>
    <x v="242"/>
    <s v="Year 1"/>
    <d v="2013-12-31T00:00:00"/>
    <n v="17699000000"/>
    <n v="8307000000"/>
    <n v="7161000000"/>
    <n v="0"/>
    <n v="867000000"/>
    <x v="0"/>
    <s v="Airlines"/>
    <n v="9392000000"/>
    <n v="8028000000"/>
    <n v="1364000000"/>
  </r>
  <r>
    <x v="242"/>
    <s v="Year 2"/>
    <d v="2014-12-31T00:00:00"/>
    <n v="18605000000"/>
    <n v="7677000000"/>
    <n v="7639000000"/>
    <n v="0"/>
    <n v="938000000"/>
    <x v="0"/>
    <s v="Airlines"/>
    <n v="10928000000"/>
    <n v="8577000000"/>
    <n v="2351000000"/>
  </r>
  <r>
    <x v="242"/>
    <s v="Year 3"/>
    <d v="2015-12-31T00:00:00"/>
    <n v="19820000000"/>
    <n v="6025000000"/>
    <n v="8625000000"/>
    <n v="0"/>
    <n v="1015000000"/>
    <x v="0"/>
    <s v="Airlines"/>
    <n v="13795000000"/>
    <n v="9640000000"/>
    <n v="4155000000"/>
  </r>
  <r>
    <x v="242"/>
    <s v="Year 4"/>
    <d v="2016-12-31T00:00:00"/>
    <n v="20425000000"/>
    <n v="6132000000"/>
    <n v="9312000000"/>
    <n v="0"/>
    <n v="1221000000"/>
    <x v="0"/>
    <s v="Airlines"/>
    <n v="14293000000"/>
    <n v="10533000000"/>
    <n v="3760000000"/>
  </r>
  <r>
    <x v="243"/>
    <s v="Year 1"/>
    <d v="2012-12-31T00:00:00"/>
    <n v="6376000000"/>
    <n v="3851000000"/>
    <n v="1201000000"/>
    <n v="0"/>
    <n v="749000000"/>
    <x v="10"/>
    <s v="Alternative Carriers"/>
    <n v="2525000000"/>
    <n v="1950000000"/>
    <n v="575000000"/>
  </r>
  <r>
    <x v="243"/>
    <s v="Year 2"/>
    <d v="2013-12-31T00:00:00"/>
    <n v="6313000000"/>
    <n v="3685000000"/>
    <n v="1162000000"/>
    <n v="0"/>
    <n v="800000000"/>
    <x v="10"/>
    <s v="Alternative Carriers"/>
    <n v="2628000000"/>
    <n v="1962000000"/>
    <n v="666000000"/>
  </r>
  <r>
    <x v="243"/>
    <s v="Year 3"/>
    <d v="2014-12-31T00:00:00"/>
    <n v="6777000000"/>
    <n v="3775000000"/>
    <n v="1181000000"/>
    <n v="0"/>
    <n v="808000000"/>
    <x v="10"/>
    <s v="Alternative Carriers"/>
    <n v="3002000000"/>
    <n v="1989000000"/>
    <n v="1013000000"/>
  </r>
  <r>
    <x v="243"/>
    <s v="Year 4"/>
    <d v="2015-12-31T00:00:00"/>
    <n v="8229000000"/>
    <n v="4265000000"/>
    <n v="1467000000"/>
    <n v="0"/>
    <n v="1166000000"/>
    <x v="10"/>
    <s v="Alternative Carriers"/>
    <n v="3964000000"/>
    <n v="2633000000"/>
    <n v="1331000000"/>
  </r>
  <r>
    <x v="244"/>
    <s v="Year 1"/>
    <d v="2012-12-31T00:00:00"/>
    <n v="45352000000"/>
    <n v="39595000000"/>
    <n v="909000000"/>
    <n v="172000000"/>
    <n v="0"/>
    <x v="8"/>
    <s v="Diversified Chemicals"/>
    <n v="5757000000"/>
    <n v="1081000000"/>
    <n v="4676000000"/>
  </r>
  <r>
    <x v="244"/>
    <s v="Year 2"/>
    <d v="2013-12-31T00:00:00"/>
    <n v="44062000000"/>
    <n v="37940000000"/>
    <n v="870000000"/>
    <n v="150000000"/>
    <n v="0"/>
    <x v="8"/>
    <s v="Diversified Chemicals"/>
    <n v="6122000000"/>
    <n v="1020000000"/>
    <n v="5102000000"/>
  </r>
  <r>
    <x v="244"/>
    <s v="Year 3"/>
    <d v="2014-12-31T00:00:00"/>
    <n v="45608000000"/>
    <n v="38939000000"/>
    <n v="806000000"/>
    <n v="127000000"/>
    <n v="0"/>
    <x v="8"/>
    <s v="Diversified Chemicals"/>
    <n v="6669000000"/>
    <n v="933000000"/>
    <n v="5736000000"/>
  </r>
  <r>
    <x v="244"/>
    <s v="Year 4"/>
    <d v="2015-12-31T00:00:00"/>
    <n v="32735000000"/>
    <n v="25683000000"/>
    <n v="828000000"/>
    <n v="102000000"/>
    <n v="0"/>
    <x v="8"/>
    <s v="Diversified Chemicals"/>
    <n v="7052000000"/>
    <n v="930000000"/>
    <n v="6122000000"/>
  </r>
  <r>
    <x v="245"/>
    <s v="Year 1"/>
    <d v="2013-02-02T00:00:00"/>
    <n v="27686000000"/>
    <n v="16538000000"/>
    <n v="8482000000"/>
    <n v="0"/>
    <n v="0"/>
    <x v="1"/>
    <s v="Department Stores"/>
    <n v="11148000000"/>
    <n v="8482000000"/>
    <n v="2666000000"/>
  </r>
  <r>
    <x v="245"/>
    <s v="Year 2"/>
    <d v="2014-02-01T00:00:00"/>
    <n v="27931000000"/>
    <n v="16725000000"/>
    <n v="8440000000"/>
    <n v="0"/>
    <n v="0"/>
    <x v="1"/>
    <s v="Department Stores"/>
    <n v="11206000000"/>
    <n v="8440000000"/>
    <n v="2766000000"/>
  </r>
  <r>
    <x v="245"/>
    <s v="Year 3"/>
    <d v="2015-01-31T00:00:00"/>
    <n v="28105000000"/>
    <n v="16863000000"/>
    <n v="8355000000"/>
    <n v="0"/>
    <n v="0"/>
    <x v="1"/>
    <s v="Department Stores"/>
    <n v="11242000000"/>
    <n v="8355000000"/>
    <n v="2887000000"/>
  </r>
  <r>
    <x v="245"/>
    <s v="Year 4"/>
    <d v="2016-01-30T00:00:00"/>
    <n v="27079000000"/>
    <n v="16496000000"/>
    <n v="8256000000"/>
    <n v="0"/>
    <n v="0"/>
    <x v="1"/>
    <s v="Department Stores"/>
    <n v="10583000000"/>
    <n v="8256000000"/>
    <n v="2327000000"/>
  </r>
  <r>
    <x v="246"/>
    <s v="Year 1"/>
    <d v="2013-12-31T00:00:00"/>
    <n v="8312000000"/>
    <m/>
    <n v="3456000000"/>
    <n v="0"/>
    <n v="258000000"/>
    <x v="2"/>
    <s v="Internet Software &amp; Services"/>
    <n v="8312000000"/>
    <n v="3714000000"/>
    <n v="4598000000"/>
  </r>
  <r>
    <x v="246"/>
    <s v="Year 2"/>
    <d v="2014-12-31T00:00:00"/>
    <n v="9441000000"/>
    <m/>
    <n v="4014000000"/>
    <n v="0"/>
    <n v="321000000"/>
    <x v="2"/>
    <s v="Internet Software &amp; Services"/>
    <n v="9441000000"/>
    <n v="4335000000"/>
    <n v="5106000000"/>
  </r>
  <r>
    <x v="246"/>
    <s v="Year 3"/>
    <d v="2015-12-31T00:00:00"/>
    <n v="9667000000"/>
    <m/>
    <n v="4162000000"/>
    <n v="0"/>
    <n v="366000000"/>
    <x v="2"/>
    <s v="Internet Software &amp; Services"/>
    <n v="9667000000"/>
    <n v="4528000000"/>
    <n v="5139000000"/>
  </r>
  <r>
    <x v="246"/>
    <s v="Year 4"/>
    <d v="2016-12-31T00:00:00"/>
    <n v="10776000000"/>
    <m/>
    <n v="4525000000"/>
    <n v="0"/>
    <n v="373000000"/>
    <x v="2"/>
    <s v="Internet Software &amp; Services"/>
    <n v="10776000000"/>
    <n v="4898000000"/>
    <n v="5878000000"/>
  </r>
  <r>
    <x v="247"/>
    <s v="Year 1"/>
    <d v="2012-12-31T00:00:00"/>
    <n v="475888000"/>
    <n v="117275000"/>
    <n v="47115000"/>
    <n v="0"/>
    <n v="121211000"/>
    <x v="7"/>
    <s v="Residential REITs"/>
    <n v="358613000"/>
    <n v="168326000"/>
    <n v="190287000"/>
  </r>
  <r>
    <x v="247"/>
    <s v="Year 2"/>
    <d v="2013-12-31T00:00:00"/>
    <n v="635490000"/>
    <n v="172050000"/>
    <n v="43720000"/>
    <n v="0"/>
    <n v="186979000"/>
    <x v="7"/>
    <s v="Residential REITs"/>
    <n v="463440000"/>
    <n v="230699000"/>
    <n v="232741000"/>
  </r>
  <r>
    <x v="247"/>
    <s v="Year 3"/>
    <d v="2014-12-31T00:00:00"/>
    <n v="992332000"/>
    <n v="275379000"/>
    <n v="57664000"/>
    <n v="0"/>
    <n v="301812000"/>
    <x v="7"/>
    <s v="Residential REITs"/>
    <n v="716953000"/>
    <n v="359476000"/>
    <n v="357477000"/>
  </r>
  <r>
    <x v="247"/>
    <s v="Year 4"/>
    <d v="2015-12-31T00:00:00"/>
    <n v="1042779000"/>
    <n v="280901000"/>
    <n v="53992000"/>
    <n v="0"/>
    <n v="294520000"/>
    <x v="7"/>
    <s v="Residential REITs"/>
    <n v="761878000"/>
    <n v="348512000"/>
    <n v="413366000"/>
  </r>
  <r>
    <x v="248"/>
    <s v="Year 1"/>
    <d v="2012-12-31T00:00:00"/>
    <n v="797517000"/>
    <n v="337533000"/>
    <n v="20412000"/>
    <n v="0"/>
    <n v="277621000"/>
    <x v="7"/>
    <s v="Retail REITs"/>
    <n v="459984000"/>
    <n v="298033000"/>
    <n v="161951000"/>
  </r>
  <r>
    <x v="248"/>
    <s v="Year 2"/>
    <d v="2013-12-31T00:00:00"/>
    <n v="1029475000"/>
    <n v="423256000"/>
    <n v="27772000"/>
    <n v="0"/>
    <n v="357165000"/>
    <x v="7"/>
    <s v="Retail REITs"/>
    <n v="606219000"/>
    <n v="384937000"/>
    <n v="221282000"/>
  </r>
  <r>
    <x v="248"/>
    <s v="Year 3"/>
    <d v="2014-12-31T00:00:00"/>
    <n v="1105247000"/>
    <n v="441929000"/>
    <n v="29412000"/>
    <n v="0"/>
    <n v="378716000"/>
    <x v="7"/>
    <s v="Retail REITs"/>
    <n v="663318000"/>
    <n v="408128000"/>
    <n v="255190000"/>
  </r>
  <r>
    <x v="248"/>
    <s v="Year 4"/>
    <d v="2015-12-31T00:00:00"/>
    <n v="1288149000"/>
    <n v="497359000"/>
    <n v="29870000"/>
    <n v="0"/>
    <n v="464472000"/>
    <x v="7"/>
    <s v="Retail REITs"/>
    <n v="790790000"/>
    <n v="494342000"/>
    <n v="296448000"/>
  </r>
  <r>
    <x v="249"/>
    <s v="Year 1"/>
    <d v="2012-12-31T00:00:00"/>
    <n v="11814000000"/>
    <n v="10190000000"/>
    <n v="582000000"/>
    <n v="0"/>
    <n v="102000000"/>
    <x v="1"/>
    <s v="Hotels, Resorts &amp; Cruise Lines"/>
    <n v="1624000000"/>
    <n v="684000000"/>
    <n v="940000000"/>
  </r>
  <r>
    <x v="249"/>
    <s v="Year 2"/>
    <d v="2013-12-31T00:00:00"/>
    <n v="12784000000"/>
    <n v="11020000000"/>
    <n v="649000000"/>
    <n v="0"/>
    <n v="127000000"/>
    <x v="1"/>
    <s v="Hotels, Resorts &amp; Cruise Lines"/>
    <n v="1764000000"/>
    <n v="776000000"/>
    <n v="988000000"/>
  </r>
  <r>
    <x v="249"/>
    <s v="Year 3"/>
    <d v="2014-12-31T00:00:00"/>
    <n v="13796000000"/>
    <n v="11830000000"/>
    <n v="659000000"/>
    <n v="0"/>
    <n v="148000000"/>
    <x v="1"/>
    <s v="Hotels, Resorts &amp; Cruise Lines"/>
    <n v="1966000000"/>
    <n v="807000000"/>
    <n v="1159000000"/>
  </r>
  <r>
    <x v="249"/>
    <s v="Year 4"/>
    <d v="2015-12-31T00:00:00"/>
    <n v="14486000000"/>
    <n v="12363000000"/>
    <n v="634000000"/>
    <n v="0"/>
    <n v="139000000"/>
    <x v="1"/>
    <s v="Hotels, Resorts &amp; Cruise Lines"/>
    <n v="2123000000"/>
    <n v="773000000"/>
    <n v="1350000000"/>
  </r>
  <r>
    <x v="250"/>
    <s v="Year 1"/>
    <d v="2013-12-31T00:00:00"/>
    <n v="6761000000"/>
    <n v="4802000000"/>
    <n v="1347000000"/>
    <n v="0"/>
    <n v="0"/>
    <x v="0"/>
    <s v="Building Products"/>
    <n v="1959000000"/>
    <n v="1347000000"/>
    <n v="612000000"/>
  </r>
  <r>
    <x v="250"/>
    <s v="Year 2"/>
    <d v="2014-12-31T00:00:00"/>
    <n v="7006000000"/>
    <n v="4946000000"/>
    <n v="1338000000"/>
    <n v="0"/>
    <n v="0"/>
    <x v="0"/>
    <s v="Building Products"/>
    <n v="2060000000"/>
    <n v="1338000000"/>
    <n v="722000000"/>
  </r>
  <r>
    <x v="250"/>
    <s v="Year 3"/>
    <d v="2015-12-31T00:00:00"/>
    <n v="7142000000"/>
    <n v="4889000000"/>
    <n v="1339000000"/>
    <n v="0"/>
    <n v="0"/>
    <x v="0"/>
    <s v="Building Products"/>
    <n v="2253000000"/>
    <n v="1339000000"/>
    <n v="914000000"/>
  </r>
  <r>
    <x v="250"/>
    <s v="Year 4"/>
    <d v="2016-12-31T00:00:00"/>
    <n v="7357000000"/>
    <n v="4901000000"/>
    <n v="1403000000"/>
    <n v="0"/>
    <n v="0"/>
    <x v="0"/>
    <s v="Building Products"/>
    <n v="2456000000"/>
    <n v="1403000000"/>
    <n v="1053000000"/>
  </r>
  <r>
    <x v="251"/>
    <s v="Year 1"/>
    <d v="2012-12-31T00:00:00"/>
    <n v="6420881000"/>
    <n v="3011684000"/>
    <n v="2388182000"/>
    <n v="0"/>
    <n v="0"/>
    <x v="1"/>
    <s v="Leisure Products"/>
    <n v="3409197000"/>
    <n v="2388182000"/>
    <n v="1021015000"/>
  </r>
  <r>
    <x v="251"/>
    <s v="Year 2"/>
    <d v="2013-12-31T00:00:00"/>
    <n v="6484892000"/>
    <n v="3006009000"/>
    <n v="2310780000"/>
    <n v="0"/>
    <n v="0"/>
    <x v="1"/>
    <s v="Leisure Products"/>
    <n v="3478883000"/>
    <n v="2310780000"/>
    <n v="1168103000"/>
  </r>
  <r>
    <x v="251"/>
    <s v="Year 3"/>
    <d v="2014-12-31T00:00:00"/>
    <n v="6023819000"/>
    <n v="3022797000"/>
    <n v="2347308000"/>
    <n v="0"/>
    <n v="0"/>
    <x v="1"/>
    <s v="Leisure Products"/>
    <n v="3001022000"/>
    <n v="2347308000"/>
    <n v="653714000"/>
  </r>
  <r>
    <x v="251"/>
    <s v="Year 4"/>
    <d v="2015-12-31T00:00:00"/>
    <n v="5702613000"/>
    <n v="2896255000"/>
    <n v="2265436000"/>
    <n v="0"/>
    <n v="0"/>
    <x v="1"/>
    <s v="Leisure Products"/>
    <n v="2806358000"/>
    <n v="2265436000"/>
    <n v="540922000"/>
  </r>
  <r>
    <x v="252"/>
    <s v="Year 1"/>
    <d v="2012-12-31T00:00:00"/>
    <n v="27567000000"/>
    <n v="16750700000"/>
    <n v="2211700000"/>
    <n v="0"/>
    <n v="0"/>
    <x v="1"/>
    <s v="Restaurants"/>
    <n v="10816300000"/>
    <n v="2211700000"/>
    <n v="8604600000"/>
  </r>
  <r>
    <x v="252"/>
    <s v="Year 2"/>
    <d v="2013-12-31T00:00:00"/>
    <n v="28105700000"/>
    <n v="17203000000"/>
    <n v="2138400000"/>
    <n v="0"/>
    <n v="0"/>
    <x v="1"/>
    <s v="Restaurants"/>
    <n v="10902700000"/>
    <n v="2138400000"/>
    <n v="8764300000"/>
  </r>
  <r>
    <x v="252"/>
    <s v="Year 3"/>
    <d v="2014-12-31T00:00:00"/>
    <n v="27441300000"/>
    <n v="16985600000"/>
    <n v="2506500000"/>
    <n v="0"/>
    <n v="0"/>
    <x v="1"/>
    <s v="Restaurants"/>
    <n v="10455700000"/>
    <n v="2506500000"/>
    <n v="7949200000"/>
  </r>
  <r>
    <x v="252"/>
    <s v="Year 4"/>
    <d v="2015-12-31T00:00:00"/>
    <n v="25413000000"/>
    <n v="15623800000"/>
    <n v="2643700000"/>
    <n v="0"/>
    <n v="0"/>
    <x v="1"/>
    <s v="Restaurants"/>
    <n v="9789200000"/>
    <n v="2643700000"/>
    <n v="7145500000"/>
  </r>
  <r>
    <x v="253"/>
    <s v="Year 1"/>
    <d v="2013-03-31T00:00:00"/>
    <n v="1581623000"/>
    <n v="743164000"/>
    <n v="261471000"/>
    <n v="254723000"/>
    <n v="111537000"/>
    <x v="2"/>
    <s v="Semiconductors"/>
    <n v="838459000"/>
    <n v="627731000"/>
    <n v="210728000"/>
  </r>
  <r>
    <x v="253"/>
    <s v="Year 2"/>
    <d v="2014-03-31T00:00:00"/>
    <n v="1931217000"/>
    <n v="802474000"/>
    <n v="267278000"/>
    <n v="305043000"/>
    <n v="94534000"/>
    <x v="2"/>
    <s v="Semiconductors"/>
    <n v="1128743000"/>
    <n v="666855000"/>
    <n v="461888000"/>
  </r>
  <r>
    <x v="253"/>
    <s v="Year 3"/>
    <d v="2015-03-31T00:00:00"/>
    <n v="2147036000"/>
    <n v="917472000"/>
    <n v="274815000"/>
    <n v="349543000"/>
    <n v="176746000"/>
    <x v="2"/>
    <s v="Semiconductors"/>
    <n v="1229564000"/>
    <n v="801104000"/>
    <n v="428460000"/>
  </r>
  <r>
    <x v="253"/>
    <s v="Year 4"/>
    <d v="2016-03-31T00:00:00"/>
    <n v="2173334000"/>
    <n v="967870000"/>
    <n v="301670000"/>
    <n v="372596000"/>
    <n v="174896000"/>
    <x v="2"/>
    <s v="Semiconductors"/>
    <n v="1205464000"/>
    <n v="849162000"/>
    <n v="356302000"/>
  </r>
  <r>
    <x v="254"/>
    <s v="Year 1"/>
    <d v="2013-03-31T00:00:00"/>
    <n v="122196000000"/>
    <n v="115315000000"/>
    <n v="4110000000"/>
    <n v="433000000"/>
    <n v="0"/>
    <x v="3"/>
    <s v="Health Care Distributors"/>
    <n v="6881000000"/>
    <n v="4543000000"/>
    <n v="2338000000"/>
  </r>
  <r>
    <x v="254"/>
    <s v="Year 2"/>
    <d v="2014-03-31T00:00:00"/>
    <n v="137392000000"/>
    <n v="129040000000"/>
    <n v="5388000000"/>
    <n v="457000000"/>
    <n v="0"/>
    <x v="3"/>
    <s v="Health Care Distributors"/>
    <n v="8352000000"/>
    <n v="5845000000"/>
    <n v="2507000000"/>
  </r>
  <r>
    <x v="254"/>
    <s v="Year 3"/>
    <d v="2015-03-31T00:00:00"/>
    <n v="179045000000"/>
    <n v="167634000000"/>
    <n v="7901000000"/>
    <n v="392000000"/>
    <n v="0"/>
    <x v="3"/>
    <s v="Health Care Distributors"/>
    <n v="11411000000"/>
    <n v="8293000000"/>
    <n v="3118000000"/>
  </r>
  <r>
    <x v="254"/>
    <s v="Year 4"/>
    <d v="2016-03-31T00:00:00"/>
    <n v="190884000000"/>
    <n v="179468000000"/>
    <n v="7276000000"/>
    <n v="392000000"/>
    <n v="0"/>
    <x v="3"/>
    <s v="Health Care Distributors"/>
    <n v="11416000000"/>
    <n v="7668000000"/>
    <n v="3748000000"/>
  </r>
  <r>
    <x v="255"/>
    <s v="Year 1"/>
    <d v="2012-12-31T00:00:00"/>
    <n v="2730300000"/>
    <n v="795000000"/>
    <n v="752200000"/>
    <n v="0"/>
    <n v="93500000"/>
    <x v="6"/>
    <s v="Diversified Financial Services"/>
    <n v="1935300000"/>
    <n v="845700000"/>
    <n v="1089600000"/>
  </r>
  <r>
    <x v="255"/>
    <s v="Year 2"/>
    <d v="2013-12-31T00:00:00"/>
    <n v="2972500000"/>
    <n v="822400000"/>
    <n v="822100000"/>
    <n v="0"/>
    <n v="93400000"/>
    <x v="6"/>
    <s v="Diversified Financial Services"/>
    <n v="2150100000"/>
    <n v="915500000"/>
    <n v="1234600000"/>
  </r>
  <r>
    <x v="255"/>
    <s v="Year 3"/>
    <d v="2014-12-31T00:00:00"/>
    <n v="3334300000"/>
    <n v="930300000"/>
    <n v="869300000"/>
    <n v="0"/>
    <n v="95600000"/>
    <x v="6"/>
    <s v="Diversified Financial Services"/>
    <n v="2404000000"/>
    <n v="964900000"/>
    <n v="1439100000"/>
  </r>
  <r>
    <x v="255"/>
    <s v="Year 4"/>
    <d v="2015-12-31T00:00:00"/>
    <n v="3484500000"/>
    <n v="976300000"/>
    <n v="921300000"/>
    <n v="0"/>
    <n v="113500000"/>
    <x v="6"/>
    <s v="Diversified Financial Services"/>
    <n v="2508200000"/>
    <n v="1034800000"/>
    <n v="1473400000"/>
  </r>
  <r>
    <x v="256"/>
    <s v="Year 1"/>
    <d v="2012-12-31T00:00:00"/>
    <n v="35015000000"/>
    <n v="21939000000"/>
    <n v="9176000000"/>
    <n v="0"/>
    <n v="217000000"/>
    <x v="4"/>
    <s v="Packaged Foods &amp; Meats"/>
    <n v="13076000000"/>
    <n v="9393000000"/>
    <n v="3683000000"/>
  </r>
  <r>
    <x v="256"/>
    <s v="Year 2"/>
    <d v="2013-12-31T00:00:00"/>
    <n v="35299000000"/>
    <n v="22189000000"/>
    <n v="8679000000"/>
    <n v="0"/>
    <n v="217000000"/>
    <x v="4"/>
    <s v="Packaged Foods &amp; Meats"/>
    <n v="13110000000"/>
    <n v="8896000000"/>
    <n v="4214000000"/>
  </r>
  <r>
    <x v="256"/>
    <s v="Year 3"/>
    <d v="2014-12-31T00:00:00"/>
    <n v="34244000000"/>
    <n v="21647000000"/>
    <n v="8457000000"/>
    <n v="0"/>
    <n v="206000000"/>
    <x v="4"/>
    <s v="Packaged Foods &amp; Meats"/>
    <n v="12597000000"/>
    <n v="8663000000"/>
    <n v="3934000000"/>
  </r>
  <r>
    <x v="256"/>
    <s v="Year 4"/>
    <d v="2015-12-31T00:00:00"/>
    <n v="29636000000"/>
    <n v="18124000000"/>
    <n v="7577000000"/>
    <n v="0"/>
    <n v="181000000"/>
    <x v="4"/>
    <s v="Packaged Foods &amp; Meats"/>
    <n v="11512000000"/>
    <n v="7758000000"/>
    <n v="3754000000"/>
  </r>
  <r>
    <x v="257"/>
    <s v="Year 1"/>
    <d v="2012-12-31T00:00:00"/>
    <n v="68150000000"/>
    <n v="37987000000"/>
    <n v="9098000000"/>
    <n v="0"/>
    <n v="17755000000"/>
    <x v="6"/>
    <s v="Life &amp; Health Insurance"/>
    <n v="30163000000"/>
    <n v="26853000000"/>
    <n v="3310000000"/>
  </r>
  <r>
    <x v="257"/>
    <s v="Year 2"/>
    <d v="2013-12-31T00:00:00"/>
    <n v="68199000000"/>
    <n v="38107000000"/>
    <n v="9438000000"/>
    <n v="0"/>
    <n v="16602000000"/>
    <x v="6"/>
    <s v="Life &amp; Health Insurance"/>
    <n v="30092000000"/>
    <n v="26040000000"/>
    <n v="4052000000"/>
  </r>
  <r>
    <x v="257"/>
    <s v="Year 3"/>
    <d v="2014-12-31T00:00:00"/>
    <n v="73316000000"/>
    <n v="39102000000"/>
    <n v="8319000000"/>
    <n v="0"/>
    <n v="17091000000"/>
    <x v="6"/>
    <s v="Life &amp; Health Insurance"/>
    <n v="34214000000"/>
    <n v="25410000000"/>
    <n v="8804000000"/>
  </r>
  <r>
    <x v="257"/>
    <s v="Year 4"/>
    <d v="2015-12-31T00:00:00"/>
    <n v="69951000000"/>
    <n v="38714000000"/>
    <n v="6998000000"/>
    <n v="0"/>
    <n v="16769000000"/>
    <x v="6"/>
    <s v="Life &amp; Health Insurance"/>
    <n v="31237000000"/>
    <n v="23767000000"/>
    <n v="7470000000"/>
  </r>
  <r>
    <x v="258"/>
    <s v="Year 1"/>
    <d v="2012-12-31T00:00:00"/>
    <n v="5787980000"/>
    <n v="4297922000"/>
    <n v="1110550000"/>
    <n v="0"/>
    <n v="0"/>
    <x v="1"/>
    <s v="Home Furnishings"/>
    <n v="1490058000"/>
    <n v="1110550000"/>
    <n v="379508000"/>
  </r>
  <r>
    <x v="258"/>
    <s v="Year 2"/>
    <d v="2013-12-31T00:00:00"/>
    <n v="7348754000"/>
    <n v="5427945000"/>
    <n v="1373878000"/>
    <n v="0"/>
    <n v="0"/>
    <x v="1"/>
    <s v="Home Furnishings"/>
    <n v="1920809000"/>
    <n v="1373878000"/>
    <n v="546931000"/>
  </r>
  <r>
    <x v="258"/>
    <s v="Year 3"/>
    <d v="2014-12-31T00:00:00"/>
    <n v="7803446000"/>
    <n v="5649254000"/>
    <n v="1381396000"/>
    <n v="0"/>
    <n v="0"/>
    <x v="1"/>
    <s v="Home Furnishings"/>
    <n v="2154192000"/>
    <n v="1381396000"/>
    <n v="772796000"/>
  </r>
  <r>
    <x v="258"/>
    <s v="Year 4"/>
    <d v="2015-12-31T00:00:00"/>
    <n v="8071563000"/>
    <n v="5660877000"/>
    <n v="1573120000"/>
    <n v="0"/>
    <n v="0"/>
    <x v="1"/>
    <s v="Home Furnishings"/>
    <n v="2410686000"/>
    <n v="1573120000"/>
    <n v="837566000"/>
  </r>
  <r>
    <x v="259"/>
    <s v="Year 1"/>
    <d v="2012-12-31T00:00:00"/>
    <n v="3901300000"/>
    <n v="1503800000"/>
    <n v="1457300000"/>
    <n v="100100000"/>
    <n v="0"/>
    <x v="4"/>
    <s v="Packaged Foods &amp; Meats"/>
    <n v="2397500000"/>
    <n v="1557400000"/>
    <n v="840100000"/>
  </r>
  <r>
    <x v="259"/>
    <s v="Year 2"/>
    <d v="2013-12-31T00:00:00"/>
    <n v="4200700000"/>
    <n v="1528500000"/>
    <n v="1548600000"/>
    <n v="100200000"/>
    <n v="0"/>
    <x v="4"/>
    <s v="Packaged Foods &amp; Meats"/>
    <n v="2672200000"/>
    <n v="1648800000"/>
    <n v="1023400000"/>
  </r>
  <r>
    <x v="259"/>
    <s v="Year 3"/>
    <d v="2014-12-31T00:00:00"/>
    <n v="4409300000"/>
    <n v="1700600000"/>
    <n v="1617600000"/>
    <n v="115100000"/>
    <n v="0"/>
    <x v="4"/>
    <s v="Packaged Foods &amp; Meats"/>
    <n v="2708700000"/>
    <n v="1732700000"/>
    <n v="976000000"/>
  </r>
  <r>
    <x v="259"/>
    <s v="Year 4"/>
    <d v="2015-12-31T00:00:00"/>
    <n v="4071300000"/>
    <n v="1455300000"/>
    <n v="1532400000"/>
    <n v="108400000"/>
    <n v="0"/>
    <x v="4"/>
    <s v="Packaged Foods &amp; Meats"/>
    <n v="2616000000"/>
    <n v="1640800000"/>
    <n v="975200000"/>
  </r>
  <r>
    <x v="260"/>
    <s v="Year 1"/>
    <d v="2013-11-30T00:00:00"/>
    <n v="4123400000"/>
    <n v="2457600000"/>
    <n v="1090300000"/>
    <n v="0"/>
    <n v="0"/>
    <x v="4"/>
    <s v="Packaged Foods &amp; Meats"/>
    <n v="1665800000"/>
    <n v="1090300000"/>
    <n v="575500000"/>
  </r>
  <r>
    <x v="260"/>
    <s v="Year 2"/>
    <d v="2014-11-30T00:00:00"/>
    <n v="4243200000"/>
    <n v="2513000000"/>
    <n v="1122000000"/>
    <n v="0"/>
    <n v="0"/>
    <x v="4"/>
    <s v="Packaged Foods &amp; Meats"/>
    <n v="1730200000"/>
    <n v="1122000000"/>
    <n v="608200000"/>
  </r>
  <r>
    <x v="260"/>
    <s v="Year 3"/>
    <d v="2015-11-30T00:00:00"/>
    <n v="4296300000"/>
    <n v="2559000000"/>
    <n v="1127400000"/>
    <n v="0"/>
    <n v="0"/>
    <x v="4"/>
    <s v="Packaged Foods &amp; Meats"/>
    <n v="1737300000"/>
    <n v="1127400000"/>
    <n v="609900000"/>
  </r>
  <r>
    <x v="260"/>
    <s v="Year 4"/>
    <d v="2016-11-30T00:00:00"/>
    <n v="4411500000"/>
    <n v="2579800000"/>
    <n v="1175000000"/>
    <n v="0"/>
    <n v="0"/>
    <x v="4"/>
    <s v="Packaged Foods &amp; Meats"/>
    <n v="1831700000"/>
    <n v="1175000000"/>
    <n v="656700000"/>
  </r>
  <r>
    <x v="261"/>
    <s v="Year 1"/>
    <d v="2012-12-31T00:00:00"/>
    <n v="2031901000"/>
    <n v="1704767000"/>
    <n v="135824000"/>
    <n v="0"/>
    <n v="0"/>
    <x v="8"/>
    <s v="Construction Materials"/>
    <n v="327134000"/>
    <n v="135824000"/>
    <n v="191310000"/>
  </r>
  <r>
    <x v="261"/>
    <s v="Year 2"/>
    <d v="2013-12-31T00:00:00"/>
    <n v="2155551000"/>
    <n v="1791594000"/>
    <n v="145298000"/>
    <n v="0"/>
    <n v="0"/>
    <x v="8"/>
    <s v="Construction Materials"/>
    <n v="363957000"/>
    <n v="145298000"/>
    <n v="218659000"/>
  </r>
  <r>
    <x v="261"/>
    <s v="Year 3"/>
    <d v="2014-12-31T00:00:00"/>
    <n v="2957951000"/>
    <n v="2435591000"/>
    <n v="164596000"/>
    <n v="0"/>
    <n v="0"/>
    <x v="8"/>
    <s v="Construction Materials"/>
    <n v="522360000"/>
    <n v="164596000"/>
    <n v="357764000"/>
  </r>
  <r>
    <x v="261"/>
    <s v="Year 4"/>
    <d v="2015-12-31T00:00:00"/>
    <n v="3539570000"/>
    <n v="2817803000"/>
    <n v="233887000"/>
    <n v="0"/>
    <n v="0"/>
    <x v="8"/>
    <s v="Construction Materials"/>
    <n v="721767000"/>
    <n v="233887000"/>
    <n v="487880000"/>
  </r>
  <r>
    <x v="262"/>
    <s v="Year 1"/>
    <d v="2012-12-31T00:00:00"/>
    <n v="11924000000"/>
    <m/>
    <n v="7134000000"/>
    <n v="0"/>
    <n v="2961000000"/>
    <x v="6"/>
    <s v="Insurance Brokers"/>
    <n v="11924000000"/>
    <n v="10095000000"/>
    <n v="1829000000"/>
  </r>
  <r>
    <x v="262"/>
    <s v="Year 2"/>
    <d v="2013-12-31T00:00:00"/>
    <n v="12261000000"/>
    <m/>
    <n v="7226000000"/>
    <n v="0"/>
    <n v="2958000000"/>
    <x v="6"/>
    <s v="Insurance Brokers"/>
    <n v="12261000000"/>
    <n v="10184000000"/>
    <n v="2077000000"/>
  </r>
  <r>
    <x v="262"/>
    <s v="Year 3"/>
    <d v="2014-12-31T00:00:00"/>
    <n v="12951000000"/>
    <m/>
    <n v="7515000000"/>
    <n v="0"/>
    <n v="3135000000"/>
    <x v="6"/>
    <s v="Insurance Brokers"/>
    <n v="12951000000"/>
    <n v="10650000000"/>
    <n v="2301000000"/>
  </r>
  <r>
    <x v="262"/>
    <s v="Year 4"/>
    <d v="2015-12-31T00:00:00"/>
    <n v="12893000000"/>
    <m/>
    <n v="7334000000"/>
    <n v="0"/>
    <n v="3140000000"/>
    <x v="6"/>
    <s v="Insurance Brokers"/>
    <n v="12893000000"/>
    <n v="10474000000"/>
    <n v="2419000000"/>
  </r>
  <r>
    <x v="263"/>
    <s v="Year 1"/>
    <d v="2013-12-31T00:00:00"/>
    <n v="30871000000"/>
    <n v="16106000000"/>
    <n v="6384000000"/>
    <n v="1715000000"/>
    <n v="0"/>
    <x v="0"/>
    <s v="Industrial Conglomerates"/>
    <n v="14765000000"/>
    <n v="8099000000"/>
    <n v="6666000000"/>
  </r>
  <r>
    <x v="263"/>
    <s v="Year 2"/>
    <d v="2014-12-31T00:00:00"/>
    <n v="31821000000"/>
    <n v="16447000000"/>
    <n v="6469000000"/>
    <n v="1770000000"/>
    <n v="0"/>
    <x v="0"/>
    <s v="Industrial Conglomerates"/>
    <n v="15374000000"/>
    <n v="8239000000"/>
    <n v="7135000000"/>
  </r>
  <r>
    <x v="263"/>
    <s v="Year 3"/>
    <d v="2015-12-31T00:00:00"/>
    <n v="30274000000"/>
    <n v="15383000000"/>
    <n v="6182000000"/>
    <n v="1763000000"/>
    <n v="0"/>
    <x v="0"/>
    <s v="Industrial Conglomerates"/>
    <n v="14891000000"/>
    <n v="7945000000"/>
    <n v="6946000000"/>
  </r>
  <r>
    <x v="263"/>
    <s v="Year 4"/>
    <d v="2016-12-31T00:00:00"/>
    <n v="30109000000"/>
    <n v="15040000000"/>
    <n v="6111000000"/>
    <n v="1735000000"/>
    <n v="0"/>
    <x v="0"/>
    <s v="Industrial Conglomerates"/>
    <n v="15069000000"/>
    <n v="7846000000"/>
    <n v="7223000000"/>
  </r>
  <r>
    <x v="264"/>
    <s v="Year 1"/>
    <d v="2012-12-31T00:00:00"/>
    <n v="2060702000"/>
    <n v="995046000"/>
    <n v="0"/>
    <n v="0"/>
    <n v="0"/>
    <x v="4"/>
    <s v="Soft Drinks"/>
    <n v="1065656000"/>
    <n v="0"/>
    <n v="1065656000"/>
  </r>
  <r>
    <x v="264"/>
    <s v="Year 2"/>
    <d v="2013-12-31T00:00:00"/>
    <n v="2246428000"/>
    <n v="1073497000"/>
    <n v="0"/>
    <n v="0"/>
    <n v="0"/>
    <x v="4"/>
    <s v="Soft Drinks"/>
    <n v="1172931000"/>
    <n v="0"/>
    <n v="1172931000"/>
  </r>
  <r>
    <x v="264"/>
    <s v="Year 3"/>
    <d v="2014-12-31T00:00:00"/>
    <n v="2464867000"/>
    <n v="1125057000"/>
    <n v="0"/>
    <n v="0"/>
    <n v="0"/>
    <x v="4"/>
    <s v="Soft Drinks"/>
    <n v="1339810000"/>
    <n v="0"/>
    <n v="1339810000"/>
  </r>
  <r>
    <x v="264"/>
    <s v="Year 4"/>
    <d v="2015-12-31T00:00:00"/>
    <n v="2722564000"/>
    <n v="1090263000"/>
    <n v="0"/>
    <n v="0"/>
    <n v="0"/>
    <x v="4"/>
    <s v="Soft Drinks"/>
    <n v="1632301000"/>
    <n v="0"/>
    <n v="1632301000"/>
  </r>
  <r>
    <x v="265"/>
    <s v="Year 1"/>
    <d v="2012-12-31T00:00:00"/>
    <n v="24618000000"/>
    <n v="15055000000"/>
    <n v="2249000000"/>
    <n v="0"/>
    <n v="0"/>
    <x v="4"/>
    <s v="Tobacco"/>
    <n v="9563000000"/>
    <n v="2249000000"/>
    <n v="7314000000"/>
  </r>
  <r>
    <x v="265"/>
    <s v="Year 2"/>
    <d v="2013-12-31T00:00:00"/>
    <n v="24466000000"/>
    <n v="14009000000"/>
    <n v="2362000000"/>
    <n v="0"/>
    <n v="0"/>
    <x v="4"/>
    <s v="Tobacco"/>
    <n v="10457000000"/>
    <n v="2362000000"/>
    <n v="8095000000"/>
  </r>
  <r>
    <x v="265"/>
    <s v="Year 3"/>
    <d v="2014-12-31T00:00:00"/>
    <n v="24522000000"/>
    <n v="14362000000"/>
    <n v="2541000000"/>
    <n v="0"/>
    <n v="0"/>
    <x v="4"/>
    <s v="Tobacco"/>
    <n v="10160000000"/>
    <n v="2541000000"/>
    <n v="7619000000"/>
  </r>
  <r>
    <x v="265"/>
    <s v="Year 4"/>
    <d v="2015-12-31T00:00:00"/>
    <n v="25434000000"/>
    <n v="14320000000"/>
    <n v="2749000000"/>
    <n v="0"/>
    <n v="0"/>
    <x v="4"/>
    <s v="Tobacco"/>
    <n v="11114000000"/>
    <n v="2749000000"/>
    <n v="8365000000"/>
  </r>
  <r>
    <x v="266"/>
    <s v="Year 1"/>
    <d v="2013-08-31T00:00:00"/>
    <n v="14861000000"/>
    <n v="7208000000"/>
    <n v="2550000000"/>
    <n v="1533000000"/>
    <n v="0"/>
    <x v="8"/>
    <s v="Fertilizers &amp; Agricultural Chemicals"/>
    <n v="7653000000"/>
    <n v="4083000000"/>
    <n v="3570000000"/>
  </r>
  <r>
    <x v="266"/>
    <s v="Year 2"/>
    <d v="2014-08-31T00:00:00"/>
    <n v="15855000000"/>
    <n v="7281000000"/>
    <n v="2774000000"/>
    <n v="1725000000"/>
    <n v="0"/>
    <x v="8"/>
    <s v="Fertilizers &amp; Agricultural Chemicals"/>
    <n v="8574000000"/>
    <n v="4499000000"/>
    <n v="4075000000"/>
  </r>
  <r>
    <x v="266"/>
    <s v="Year 3"/>
    <d v="2015-08-31T00:00:00"/>
    <n v="15001000000"/>
    <n v="6819000000"/>
    <n v="2686000000"/>
    <n v="1580000000"/>
    <n v="0"/>
    <x v="8"/>
    <s v="Fertilizers &amp; Agricultural Chemicals"/>
    <n v="8182000000"/>
    <n v="4266000000"/>
    <n v="3916000000"/>
  </r>
  <r>
    <x v="266"/>
    <s v="Year 4"/>
    <d v="2016-08-31T00:00:00"/>
    <n v="13502000000"/>
    <n v="6485000000"/>
    <n v="2833000000"/>
    <n v="1512000000"/>
    <n v="0"/>
    <x v="8"/>
    <s v="Fertilizers &amp; Agricultural Chemicals"/>
    <n v="7017000000"/>
    <n v="4345000000"/>
    <n v="2672000000"/>
  </r>
  <r>
    <x v="267"/>
    <s v="Year 1"/>
    <d v="2013-05-31T00:00:00"/>
    <n v="9974100000"/>
    <n v="7213900000"/>
    <n v="550600000"/>
    <n v="0"/>
    <n v="0"/>
    <x v="8"/>
    <s v="Fertilizers &amp; Agricultural Chemicals"/>
    <n v="2760200000"/>
    <n v="550600000"/>
    <n v="2209600000"/>
  </r>
  <r>
    <x v="267"/>
    <s v="Year 2"/>
    <d v="2014-12-31T00:00:00"/>
    <n v="9055800000"/>
    <n v="7129200000"/>
    <n v="505800000"/>
    <n v="0"/>
    <n v="0"/>
    <x v="8"/>
    <s v="Fertilizers &amp; Agricultural Chemicals"/>
    <n v="1926600000"/>
    <n v="505800000"/>
    <n v="1420800000"/>
  </r>
  <r>
    <x v="267"/>
    <s v="Year 3"/>
    <d v="2015-12-31T00:00:00"/>
    <n v="8895300000"/>
    <n v="7177400000"/>
    <n v="439100000"/>
    <n v="0"/>
    <n v="0"/>
    <x v="8"/>
    <s v="Fertilizers &amp; Agricultural Chemicals"/>
    <n v="1717900000"/>
    <n v="439100000"/>
    <n v="1278800000"/>
  </r>
  <r>
    <x v="267"/>
    <s v="Year 4"/>
    <d v="2016-12-31T00:00:00"/>
    <n v="7162800000"/>
    <n v="6352800000"/>
    <n v="491000000"/>
    <n v="0"/>
    <n v="0"/>
    <x v="8"/>
    <s v="Fertilizers &amp; Agricultural Chemicals"/>
    <n v="810000000"/>
    <n v="491000000"/>
    <n v="319000000"/>
  </r>
  <r>
    <x v="268"/>
    <s v="Year 1"/>
    <d v="2012-12-31T00:00:00"/>
    <n v="82243000000"/>
    <n v="68948000000"/>
    <n v="7202000000"/>
    <n v="0"/>
    <n v="995000000"/>
    <x v="9"/>
    <s v="Oil &amp; Gas Refining &amp; Marketing &amp; Transportation"/>
    <n v="13295000000"/>
    <n v="8197000000"/>
    <n v="5098000000"/>
  </r>
  <r>
    <x v="268"/>
    <s v="Year 2"/>
    <d v="2013-12-31T00:00:00"/>
    <n v="100160000000"/>
    <n v="87758000000"/>
    <n v="7851000000"/>
    <n v="0"/>
    <n v="1220000000"/>
    <x v="9"/>
    <s v="Oil &amp; Gas Refining &amp; Marketing &amp; Transportation"/>
    <n v="12402000000"/>
    <n v="9071000000"/>
    <n v="3331000000"/>
  </r>
  <r>
    <x v="268"/>
    <s v="Year 3"/>
    <d v="2014-12-31T00:00:00"/>
    <n v="97817000000"/>
    <n v="84275000000"/>
    <n v="8450000000"/>
    <n v="0"/>
    <n v="1326000000"/>
    <x v="9"/>
    <s v="Oil &amp; Gas Refining &amp; Marketing &amp; Transportation"/>
    <n v="13542000000"/>
    <n v="9776000000"/>
    <n v="3766000000"/>
  </r>
  <r>
    <x v="268"/>
    <s v="Year 4"/>
    <d v="2015-12-31T00:00:00"/>
    <n v="72051000000"/>
    <n v="55891000000"/>
    <n v="10029000000"/>
    <n v="0"/>
    <n v="1646000000"/>
    <x v="9"/>
    <s v="Oil &amp; Gas Refining &amp; Marketing &amp; Transportation"/>
    <n v="16160000000"/>
    <n v="11675000000"/>
    <n v="4485000000"/>
  </r>
  <r>
    <x v="269"/>
    <s v="Year 1"/>
    <d v="2012-12-31T00:00:00"/>
    <n v="47267000000"/>
    <n v="16446000000"/>
    <n v="12776000000"/>
    <n v="8168000000"/>
    <n v="0"/>
    <x v="3"/>
    <s v="Pharmaceuticals"/>
    <n v="30821000000"/>
    <n v="20944000000"/>
    <n v="9877000000"/>
  </r>
  <r>
    <x v="269"/>
    <s v="Year 2"/>
    <d v="2013-12-31T00:00:00"/>
    <n v="44033000000"/>
    <n v="16954000000"/>
    <n v="11911000000"/>
    <n v="7503000000"/>
    <n v="0"/>
    <x v="3"/>
    <s v="Pharmaceuticals"/>
    <n v="27079000000"/>
    <n v="19414000000"/>
    <n v="7665000000"/>
  </r>
  <r>
    <x v="269"/>
    <s v="Year 3"/>
    <d v="2014-12-31T00:00:00"/>
    <n v="42237000000"/>
    <n v="16768000000"/>
    <n v="11606000000"/>
    <n v="7180000000"/>
    <n v="0"/>
    <x v="3"/>
    <s v="Pharmaceuticals"/>
    <n v="25469000000"/>
    <n v="18786000000"/>
    <n v="6683000000"/>
  </r>
  <r>
    <x v="269"/>
    <s v="Year 4"/>
    <d v="2015-12-31T00:00:00"/>
    <n v="39498000000"/>
    <n v="14934000000"/>
    <n v="10313000000"/>
    <n v="6704000000"/>
    <n v="0"/>
    <x v="3"/>
    <s v="Pharmaceuticals"/>
    <n v="24564000000"/>
    <n v="17017000000"/>
    <n v="7547000000"/>
  </r>
  <r>
    <x v="270"/>
    <s v="Year 1"/>
    <d v="2012-12-31T00:00:00"/>
    <n v="11966000000"/>
    <n v="2079000000"/>
    <n v="4017000000"/>
    <n v="0"/>
    <n v="2008000000"/>
    <x v="9"/>
    <s v="Oil &amp; Gas Exploration &amp; Production"/>
    <n v="9887000000"/>
    <n v="6025000000"/>
    <n v="3862000000"/>
  </r>
  <r>
    <x v="270"/>
    <s v="Year 2"/>
    <d v="2013-12-31T00:00:00"/>
    <n v="11325000000"/>
    <n v="2156000000"/>
    <n v="3469000000"/>
    <n v="0"/>
    <n v="2500000000"/>
    <x v="9"/>
    <s v="Oil &amp; Gas Exploration &amp; Production"/>
    <n v="9169000000"/>
    <n v="5969000000"/>
    <n v="3200000000"/>
  </r>
  <r>
    <x v="270"/>
    <s v="Year 3"/>
    <d v="2014-12-31T00:00:00"/>
    <n v="10846000000"/>
    <n v="2246000000"/>
    <n v="3627000000"/>
    <n v="0"/>
    <n v="2861000000"/>
    <x v="9"/>
    <s v="Oil &amp; Gas Exploration &amp; Production"/>
    <n v="8600000000"/>
    <n v="6488000000"/>
    <n v="2112000000"/>
  </r>
  <r>
    <x v="270"/>
    <s v="Year 4"/>
    <d v="2015-12-31T00:00:00"/>
    <n v="5522000000"/>
    <n v="1694000000"/>
    <n v="1831000000"/>
    <n v="0"/>
    <n v="2957000000"/>
    <x v="9"/>
    <s v="Oil &amp; Gas Exploration &amp; Production"/>
    <n v="3828000000"/>
    <n v="4788000000"/>
    <n v="-960000000"/>
  </r>
  <r>
    <x v="271"/>
    <s v="Year 1"/>
    <d v="2013-06-30T00:00:00"/>
    <n v="77849000000"/>
    <n v="20385000000"/>
    <n v="20289000000"/>
    <n v="10411000000"/>
    <n v="0"/>
    <x v="2"/>
    <s v="Systems Software"/>
    <n v="57464000000"/>
    <n v="30700000000"/>
    <n v="26764000000"/>
  </r>
  <r>
    <x v="271"/>
    <s v="Year 2"/>
    <d v="2014-06-30T00:00:00"/>
    <n v="86833000000"/>
    <n v="27078000000"/>
    <n v="20488000000"/>
    <n v="11381000000"/>
    <n v="0"/>
    <x v="2"/>
    <s v="Systems Software"/>
    <n v="59755000000"/>
    <n v="31869000000"/>
    <n v="27886000000"/>
  </r>
  <r>
    <x v="271"/>
    <s v="Year 3"/>
    <d v="2015-06-30T00:00:00"/>
    <n v="93580000000"/>
    <n v="33038000000"/>
    <n v="20324000000"/>
    <n v="12046000000"/>
    <n v="0"/>
    <x v="2"/>
    <s v="Systems Software"/>
    <n v="60542000000"/>
    <n v="32370000000"/>
    <n v="28172000000"/>
  </r>
  <r>
    <x v="271"/>
    <s v="Year 4"/>
    <d v="2016-06-30T00:00:00"/>
    <n v="85320000000"/>
    <n v="32780000000"/>
    <n v="19260000000"/>
    <n v="11988000000"/>
    <n v="0"/>
    <x v="2"/>
    <s v="Systems Software"/>
    <n v="52540000000"/>
    <n v="31248000000"/>
    <n v="21292000000"/>
  </r>
  <r>
    <x v="272"/>
    <s v="Year 1"/>
    <d v="2012-12-31T00:00:00"/>
    <n v="4608955000"/>
    <n v="116586000"/>
    <n v="2448629000"/>
    <n v="0"/>
    <n v="264631000"/>
    <x v="6"/>
    <s v="Banks"/>
    <n v="4492369000"/>
    <n v="2713260000"/>
    <n v="1779109000"/>
  </r>
  <r>
    <x v="272"/>
    <s v="Year 2"/>
    <d v="2013-12-31T00:00:00"/>
    <n v="4822539000"/>
    <n v="83692000"/>
    <n v="2540954000"/>
    <n v="0"/>
    <n v="231912000"/>
    <x v="6"/>
    <s v="Banks"/>
    <n v="4738847000"/>
    <n v="2772866000"/>
    <n v="1965981000"/>
  </r>
  <r>
    <x v="272"/>
    <s v="Year 3"/>
    <d v="2014-12-31T00:00:00"/>
    <n v="4736150000"/>
    <n v="63083000"/>
    <n v="2655650000"/>
    <n v="0"/>
    <n v="157824000"/>
    <x v="6"/>
    <s v="Banks"/>
    <n v="4673067000"/>
    <n v="2813474000"/>
    <n v="1859593000"/>
  </r>
  <r>
    <x v="272"/>
    <s v="Year 4"/>
    <d v="2015-12-31T00:00:00"/>
    <n v="4995881000"/>
    <n v="73814000"/>
    <n v="2796508000"/>
    <n v="0"/>
    <n v="196424000"/>
    <x v="6"/>
    <s v="Banks"/>
    <n v="4922067000"/>
    <n v="2992932000"/>
    <n v="1929135000"/>
  </r>
  <r>
    <x v="273"/>
    <s v="Year 1"/>
    <d v="2013-12-31T00:00:00"/>
    <n v="2378972000"/>
    <n v="1097041000"/>
    <n v="692693000"/>
    <n v="116346000"/>
    <n v="24539000"/>
    <x v="3"/>
    <s v="Life Sciences Tools &amp; Services"/>
    <n v="1281931000"/>
    <n v="833578000"/>
    <n v="448353000"/>
  </r>
  <r>
    <x v="273"/>
    <s v="Year 2"/>
    <d v="2014-12-31T00:00:00"/>
    <n v="2485983000"/>
    <n v="1127233000"/>
    <n v="728582000"/>
    <n v="123297000"/>
    <n v="29185000"/>
    <x v="3"/>
    <s v="Life Sciences Tools &amp; Services"/>
    <n v="1358750000"/>
    <n v="881064000"/>
    <n v="477686000"/>
  </r>
  <r>
    <x v="273"/>
    <s v="Year 3"/>
    <d v="2015-12-31T00:00:00"/>
    <n v="2395447000"/>
    <n v="1043454000"/>
    <n v="700810000"/>
    <n v="119076000"/>
    <n v="30951000"/>
    <x v="3"/>
    <s v="Life Sciences Tools &amp; Services"/>
    <n v="1351993000"/>
    <n v="850837000"/>
    <n v="501156000"/>
  </r>
  <r>
    <x v="273"/>
    <s v="Year 4"/>
    <d v="2016-12-31T00:00:00"/>
    <n v="2508257000"/>
    <n v="1072670000"/>
    <n v="732622000"/>
    <n v="119968000"/>
    <n v="36052000"/>
    <x v="3"/>
    <s v="Life Sciences Tools &amp; Services"/>
    <n v="1435587000"/>
    <n v="888642000"/>
    <n v="546945000"/>
  </r>
  <r>
    <x v="274"/>
    <s v="Year 1"/>
    <d v="2013-08-29T00:00:00"/>
    <n v="9073000000"/>
    <n v="7226000000"/>
    <n v="554000000"/>
    <n v="931000000"/>
    <n v="0"/>
    <x v="2"/>
    <s v="Semiconductors"/>
    <n v="1847000000"/>
    <n v="1485000000"/>
    <n v="362000000"/>
  </r>
  <r>
    <x v="274"/>
    <s v="Year 2"/>
    <d v="2014-08-28T00:00:00"/>
    <n v="16358000000"/>
    <n v="10921000000"/>
    <n v="939000000"/>
    <n v="1371000000"/>
    <n v="0"/>
    <x v="2"/>
    <s v="Semiconductors"/>
    <n v="5437000000"/>
    <n v="2310000000"/>
    <n v="3127000000"/>
  </r>
  <r>
    <x v="274"/>
    <s v="Year 3"/>
    <d v="2015-09-03T00:00:00"/>
    <n v="16192000000"/>
    <n v="10977000000"/>
    <n v="674000000"/>
    <n v="1540000000"/>
    <n v="0"/>
    <x v="2"/>
    <s v="Semiconductors"/>
    <n v="5215000000"/>
    <n v="2214000000"/>
    <n v="3001000000"/>
  </r>
  <r>
    <x v="274"/>
    <s v="Year 4"/>
    <d v="2016-09-01T00:00:00"/>
    <n v="12399000000"/>
    <n v="9894000000"/>
    <n v="653000000"/>
    <n v="1617000000"/>
    <n v="0"/>
    <x v="2"/>
    <s v="Semiconductors"/>
    <n v="2505000000"/>
    <n v="2270000000"/>
    <n v="235000000"/>
  </r>
  <r>
    <x v="275"/>
    <s v="Year 1"/>
    <d v="2012-12-31T00:00:00"/>
    <n v="4608563000"/>
    <n v="1079136000"/>
    <n v="285144000"/>
    <n v="0"/>
    <n v="1291456000"/>
    <x v="9"/>
    <s v="Integrated Oil &amp; Gas"/>
    <n v="3529427000"/>
    <n v="1576600000"/>
    <n v="1952827000"/>
  </r>
  <r>
    <x v="275"/>
    <s v="Year 2"/>
    <d v="2013-12-31T00:00:00"/>
    <n v="5312686000"/>
    <n v="1252812000"/>
    <n v="466498000"/>
    <n v="0"/>
    <n v="1602390000"/>
    <x v="9"/>
    <s v="Integrated Oil &amp; Gas"/>
    <n v="4059874000"/>
    <n v="2068888000"/>
    <n v="1990986000"/>
  </r>
  <r>
    <x v="275"/>
    <s v="Year 3"/>
    <d v="2014-12-31T00:00:00"/>
    <n v="5288933000"/>
    <n v="1089888000"/>
    <n v="471219000"/>
    <n v="0"/>
    <n v="1957025000"/>
    <x v="9"/>
    <s v="Integrated Oil &amp; Gas"/>
    <n v="4199045000"/>
    <n v="2428244000"/>
    <n v="1770801000"/>
  </r>
  <r>
    <x v="275"/>
    <s v="Year 4"/>
    <d v="2015-12-31T00:00:00"/>
    <n v="2787116000"/>
    <n v="832306000"/>
    <n v="372457000"/>
    <n v="0"/>
    <n v="1668489000"/>
    <x v="9"/>
    <s v="Integrated Oil &amp; Gas"/>
    <n v="1954810000"/>
    <n v="2040946000"/>
    <n v="-86136000"/>
  </r>
  <r>
    <x v="276"/>
    <s v="Year 1"/>
    <d v="2014-12-31T00:00:00"/>
    <n v="7719600000"/>
    <n v="4191600000"/>
    <n v="1545700000"/>
    <n v="581800000"/>
    <n v="0"/>
    <x v="3"/>
    <s v="Pharmaceuticals"/>
    <n v="3528000000"/>
    <n v="2127500000"/>
    <n v="1400500000"/>
  </r>
  <r>
    <x v="276"/>
    <s v="Year 2"/>
    <d v="2015-12-31T00:00:00"/>
    <n v="9429300000"/>
    <n v="5213200000"/>
    <n v="2180700000"/>
    <n v="671900000"/>
    <n v="0"/>
    <x v="3"/>
    <s v="Pharmaceuticals"/>
    <n v="4216100000"/>
    <n v="2852600000"/>
    <n v="1363500000"/>
  </r>
  <r>
    <x v="277"/>
    <s v="Year 1"/>
    <d v="2013-12-31T00:00:00"/>
    <n v="5015000000"/>
    <n v="844000000"/>
    <n v="446000000"/>
    <n v="0"/>
    <n v="1568000000"/>
    <x v="9"/>
    <s v="Oil &amp; Gas Exploration &amp; Production"/>
    <n v="4171000000"/>
    <n v="2014000000"/>
    <n v="2157000000"/>
  </r>
  <r>
    <x v="277"/>
    <s v="Year 2"/>
    <d v="2014-12-31T00:00:00"/>
    <n v="5115000000"/>
    <n v="945000000"/>
    <n v="495000000"/>
    <n v="0"/>
    <n v="1759000000"/>
    <x v="9"/>
    <s v="Oil &amp; Gas Exploration &amp; Production"/>
    <n v="4170000000"/>
    <n v="2254000000"/>
    <n v="1916000000"/>
  </r>
  <r>
    <x v="277"/>
    <s v="Year 3"/>
    <d v="2015-12-31T00:00:00"/>
    <n v="3183000000"/>
    <n v="979000000"/>
    <n v="745000000"/>
    <n v="0"/>
    <n v="2131000000"/>
    <x v="9"/>
    <s v="Oil &amp; Gas Exploration &amp; Production"/>
    <n v="2204000000"/>
    <n v="2876000000"/>
    <n v="-672000000"/>
  </r>
  <r>
    <x v="277"/>
    <s v="Year 4"/>
    <d v="2016-12-31T00:00:00"/>
    <n v="3491000000"/>
    <n v="1083000000"/>
    <n v="233000000"/>
    <n v="0"/>
    <n v="2454000000"/>
    <x v="9"/>
    <s v="Oil &amp; Gas Exploration &amp; Production"/>
    <n v="2408000000"/>
    <n v="2687000000"/>
    <n v="-279000000"/>
  </r>
  <r>
    <x v="278"/>
    <s v="Year 1"/>
    <d v="2012-12-31T00:00:00"/>
    <n v="3023000000"/>
    <n v="1446000000"/>
    <n v="832000000"/>
    <n v="0"/>
    <n v="104000000"/>
    <x v="6"/>
    <s v="Diversified Financial Services"/>
    <n v="1577000000"/>
    <n v="936000000"/>
    <n v="641000000"/>
  </r>
  <r>
    <x v="278"/>
    <s v="Year 2"/>
    <d v="2013-12-31T00:00:00"/>
    <n v="3100000000"/>
    <n v="1316000000"/>
    <n v="1054000000"/>
    <n v="0"/>
    <n v="122000000"/>
    <x v="6"/>
    <s v="Diversified Financial Services"/>
    <n v="1784000000"/>
    <n v="1176000000"/>
    <n v="608000000"/>
  </r>
  <r>
    <x v="278"/>
    <s v="Year 3"/>
    <d v="2014-12-31T00:00:00"/>
    <n v="3383000000"/>
    <n v="1433000000"/>
    <n v="1095000000"/>
    <n v="0"/>
    <n v="137000000"/>
    <x v="6"/>
    <s v="Diversified Financial Services"/>
    <n v="1950000000"/>
    <n v="1232000000"/>
    <n v="718000000"/>
  </r>
  <r>
    <x v="278"/>
    <s v="Year 4"/>
    <d v="2015-12-31T00:00:00"/>
    <n v="3292000000"/>
    <n v="1313000000"/>
    <n v="1050000000"/>
    <n v="0"/>
    <n v="138000000"/>
    <x v="6"/>
    <s v="Diversified Financial Services"/>
    <n v="1979000000"/>
    <n v="1188000000"/>
    <n v="791000000"/>
  </r>
  <r>
    <x v="279"/>
    <s v="Year 1"/>
    <d v="2012-12-31T00:00:00"/>
    <n v="14256000000"/>
    <n v="8276000000"/>
    <n v="1186000000"/>
    <n v="0"/>
    <n v="1518000000"/>
    <x v="5"/>
    <s v="MultiUtilities"/>
    <n v="5980000000"/>
    <n v="2704000000"/>
    <n v="3276000000"/>
  </r>
  <r>
    <x v="279"/>
    <s v="Year 2"/>
    <d v="2013-12-31T00:00:00"/>
    <n v="15136000000"/>
    <n v="8152000000"/>
    <n v="1280000000"/>
    <n v="0"/>
    <n v="2163000000"/>
    <x v="5"/>
    <s v="MultiUtilities"/>
    <n v="6984000000"/>
    <n v="3443000000"/>
    <n v="3541000000"/>
  </r>
  <r>
    <x v="279"/>
    <s v="Year 3"/>
    <d v="2014-12-31T00:00:00"/>
    <n v="17021000000"/>
    <n v="8751000000"/>
    <n v="1324000000"/>
    <n v="0"/>
    <n v="2551000000"/>
    <x v="5"/>
    <s v="MultiUtilities"/>
    <n v="8270000000"/>
    <n v="3875000000"/>
    <n v="4395000000"/>
  </r>
  <r>
    <x v="279"/>
    <s v="Year 4"/>
    <d v="2015-12-31T00:00:00"/>
    <n v="17486000000"/>
    <n v="8596000000"/>
    <n v="1399000000"/>
    <n v="0"/>
    <n v="2831000000"/>
    <x v="5"/>
    <s v="MultiUtilities"/>
    <n v="8890000000"/>
    <n v="4230000000"/>
    <n v="4660000000"/>
  </r>
  <r>
    <x v="280"/>
    <s v="Year 1"/>
    <d v="2012-12-31T00:00:00"/>
    <n v="9964000000"/>
    <n v="4334000000"/>
    <n v="757000000"/>
    <n v="704000000"/>
    <n v="1032000000"/>
    <x v="8"/>
    <s v="Gold"/>
    <n v="5630000000"/>
    <n v="2493000000"/>
    <n v="3137000000"/>
  </r>
  <r>
    <x v="280"/>
    <s v="Year 2"/>
    <d v="2013-12-31T00:00:00"/>
    <n v="8414000000"/>
    <n v="5299000000"/>
    <n v="584000000"/>
    <n v="469000000"/>
    <n v="1362000000"/>
    <x v="8"/>
    <s v="Gold"/>
    <n v="3115000000"/>
    <n v="2415000000"/>
    <n v="700000000"/>
  </r>
  <r>
    <x v="280"/>
    <s v="Year 3"/>
    <d v="2014-12-31T00:00:00"/>
    <n v="7292000000"/>
    <n v="4457000000"/>
    <n v="545000000"/>
    <n v="325000000"/>
    <n v="1229000000"/>
    <x v="8"/>
    <s v="Gold"/>
    <n v="2835000000"/>
    <n v="2099000000"/>
    <n v="736000000"/>
  </r>
  <r>
    <x v="280"/>
    <s v="Year 4"/>
    <d v="2015-12-31T00:00:00"/>
    <n v="7729000000"/>
    <n v="4312000000"/>
    <n v="670000000"/>
    <n v="289000000"/>
    <n v="1239000000"/>
    <x v="8"/>
    <s v="Gold"/>
    <n v="3417000000"/>
    <n v="2198000000"/>
    <n v="1219000000"/>
  </r>
  <r>
    <x v="281"/>
    <s v="Year 1"/>
    <d v="2013-12-31T00:00:00"/>
    <n v="4374562000"/>
    <n v="3117203000"/>
    <n v="650243000"/>
    <n v="378769000"/>
    <n v="0"/>
    <x v="2"/>
    <s v="Internet Software &amp; Services"/>
    <n v="1257359000"/>
    <n v="1029012000"/>
    <n v="228347000"/>
  </r>
  <r>
    <x v="281"/>
    <s v="Year 2"/>
    <d v="2014-12-31T00:00:00"/>
    <n v="5504656000"/>
    <n v="3752760000"/>
    <n v="876927000"/>
    <n v="472321000"/>
    <n v="0"/>
    <x v="2"/>
    <s v="Internet Software &amp; Services"/>
    <n v="1751896000"/>
    <n v="1349248000"/>
    <n v="402648000"/>
  </r>
  <r>
    <x v="281"/>
    <s v="Year 3"/>
    <d v="2015-12-31T00:00:00"/>
    <n v="6779511000"/>
    <n v="4591476000"/>
    <n v="1231421000"/>
    <n v="650788000"/>
    <n v="0"/>
    <x v="2"/>
    <s v="Internet Software &amp; Services"/>
    <n v="2188035000"/>
    <n v="1882209000"/>
    <n v="305826000"/>
  </r>
  <r>
    <x v="281"/>
    <s v="Year 4"/>
    <d v="2016-12-31T00:00:00"/>
    <n v="8830669000"/>
    <n v="6029901000"/>
    <n v="1568877000"/>
    <n v="852098000"/>
    <n v="0"/>
    <x v="2"/>
    <s v="Internet Software &amp; Services"/>
    <n v="2800768000"/>
    <n v="2420975000"/>
    <n v="379793000"/>
  </r>
  <r>
    <x v="282"/>
    <s v="Year 1"/>
    <d v="2012-12-31T00:00:00"/>
    <n v="1562000000"/>
    <n v="413000000"/>
    <n v="311000000"/>
    <n v="0"/>
    <n v="704000000"/>
    <x v="9"/>
    <s v="Oil &amp; Gas Exploration &amp; Production"/>
    <n v="1149000000"/>
    <n v="1015000000"/>
    <n v="134000000"/>
  </r>
  <r>
    <x v="282"/>
    <s v="Year 2"/>
    <d v="2013-12-31T00:00:00"/>
    <n v="1857000000"/>
    <n v="411000000"/>
    <n v="311000000"/>
    <n v="0"/>
    <n v="685000000"/>
    <x v="9"/>
    <s v="Oil &amp; Gas Exploration &amp; Production"/>
    <n v="1446000000"/>
    <n v="996000000"/>
    <n v="450000000"/>
  </r>
  <r>
    <x v="282"/>
    <s v="Year 3"/>
    <d v="2014-12-31T00:00:00"/>
    <n v="2288000000"/>
    <n v="485000000"/>
    <n v="358000000"/>
    <n v="0"/>
    <n v="870000000"/>
    <x v="9"/>
    <s v="Oil &amp; Gas Exploration &amp; Production"/>
    <n v="1803000000"/>
    <n v="1228000000"/>
    <n v="575000000"/>
  </r>
  <r>
    <x v="282"/>
    <s v="Year 4"/>
    <d v="2015-12-31T00:00:00"/>
    <n v="1557000000"/>
    <n v="497000000"/>
    <n v="5204000000"/>
    <n v="0"/>
    <n v="917000000"/>
    <x v="9"/>
    <s v="Oil &amp; Gas Exploration &amp; Production"/>
    <n v="1060000000"/>
    <n v="6121000000"/>
    <n v="-5061000000"/>
  </r>
  <r>
    <x v="283"/>
    <s v="Year 1"/>
    <d v="2013-05-31T00:00:00"/>
    <n v="25313000000"/>
    <n v="14279000000"/>
    <n v="7796000000"/>
    <n v="0"/>
    <n v="0"/>
    <x v="1"/>
    <s v="Apparel, Accessories &amp; Luxury Goods"/>
    <n v="11034000000"/>
    <n v="7796000000"/>
    <n v="3238000000"/>
  </r>
  <r>
    <x v="283"/>
    <s v="Year 2"/>
    <d v="2014-05-31T00:00:00"/>
    <n v="27799000000"/>
    <n v="15353000000"/>
    <n v="8766000000"/>
    <n v="0"/>
    <n v="0"/>
    <x v="1"/>
    <s v="Apparel, Accessories &amp; Luxury Goods"/>
    <n v="12446000000"/>
    <n v="8766000000"/>
    <n v="3680000000"/>
  </r>
  <r>
    <x v="283"/>
    <s v="Year 3"/>
    <d v="2015-05-31T00:00:00"/>
    <n v="30601000000"/>
    <n v="16534000000"/>
    <n v="9892000000"/>
    <n v="0"/>
    <n v="0"/>
    <x v="1"/>
    <s v="Apparel, Accessories &amp; Luxury Goods"/>
    <n v="14067000000"/>
    <n v="9892000000"/>
    <n v="4175000000"/>
  </r>
  <r>
    <x v="283"/>
    <s v="Year 4"/>
    <d v="2016-05-31T00:00:00"/>
    <n v="32376000000"/>
    <n v="17405000000"/>
    <n v="10469000000"/>
    <n v="0"/>
    <n v="0"/>
    <x v="1"/>
    <s v="Apparel, Accessories &amp; Luxury Goods"/>
    <n v="14971000000"/>
    <n v="10469000000"/>
    <n v="4502000000"/>
  </r>
  <r>
    <x v="284"/>
    <s v="Year 1"/>
    <d v="2013-12-31T00:00:00"/>
    <n v="5703000000"/>
    <n v="2398000000"/>
    <n v="1815000000"/>
    <n v="0"/>
    <n v="510000000"/>
    <x v="0"/>
    <s v="Research &amp; Consulting Services"/>
    <n v="3305000000"/>
    <n v="2325000000"/>
    <n v="980000000"/>
  </r>
  <r>
    <x v="284"/>
    <s v="Year 2"/>
    <d v="2014-12-31T00:00:00"/>
    <n v="6288000000"/>
    <n v="2620000000"/>
    <n v="1917000000"/>
    <n v="0"/>
    <n v="573000000"/>
    <x v="0"/>
    <s v="Research &amp; Consulting Services"/>
    <n v="3668000000"/>
    <n v="2490000000"/>
    <n v="1178000000"/>
  </r>
  <r>
    <x v="284"/>
    <s v="Year 3"/>
    <d v="2015-12-31T00:00:00"/>
    <n v="6172000000"/>
    <n v="2539000000"/>
    <n v="1915000000"/>
    <n v="0"/>
    <n v="574000000"/>
    <x v="0"/>
    <s v="Research &amp; Consulting Services"/>
    <n v="3633000000"/>
    <n v="2489000000"/>
    <n v="1144000000"/>
  </r>
  <r>
    <x v="284"/>
    <s v="Year 4"/>
    <d v="2016-12-31T00:00:00"/>
    <n v="6309000000"/>
    <n v="2607000000"/>
    <n v="1851000000"/>
    <n v="0"/>
    <n v="603000000"/>
    <x v="0"/>
    <s v="Research &amp; Consulting Services"/>
    <n v="3702000000"/>
    <n v="2454000000"/>
    <n v="1248000000"/>
  </r>
  <r>
    <x v="285"/>
    <s v="Year 1"/>
    <d v="2012-12-31T00:00:00"/>
    <n v="17194000000"/>
    <n v="12151000000"/>
    <n v="1654000000"/>
    <n v="0"/>
    <n v="0"/>
    <x v="9"/>
    <s v="Oil &amp; Gas Equipment &amp; Services"/>
    <n v="5043000000"/>
    <n v="1654000000"/>
    <n v="3389000000"/>
  </r>
  <r>
    <x v="285"/>
    <s v="Year 2"/>
    <d v="2013-12-31T00:00:00"/>
    <n v="19221000000"/>
    <n v="14117000000"/>
    <n v="1905000000"/>
    <n v="0"/>
    <n v="0"/>
    <x v="9"/>
    <s v="Oil &amp; Gas Equipment &amp; Services"/>
    <n v="5104000000"/>
    <n v="1905000000"/>
    <n v="3199000000"/>
  </r>
  <r>
    <x v="285"/>
    <s v="Year 3"/>
    <d v="2014-12-31T00:00:00"/>
    <n v="21440000000"/>
    <n v="15631000000"/>
    <n v="2092000000"/>
    <n v="0"/>
    <n v="0"/>
    <x v="9"/>
    <s v="Oil &amp; Gas Equipment &amp; Services"/>
    <n v="5809000000"/>
    <n v="2092000000"/>
    <n v="3717000000"/>
  </r>
  <r>
    <x v="285"/>
    <s v="Year 4"/>
    <d v="2015-12-31T00:00:00"/>
    <n v="14757000000"/>
    <n v="11694000000"/>
    <n v="1764000000"/>
    <n v="0"/>
    <n v="0"/>
    <x v="9"/>
    <s v="Oil &amp; Gas Equipment &amp; Services"/>
    <n v="3063000000"/>
    <n v="1764000000"/>
    <n v="1299000000"/>
  </r>
  <r>
    <x v="286"/>
    <s v="Year 1"/>
    <d v="2013-12-31T00:00:00"/>
    <n v="11245000000"/>
    <n v="4070000000"/>
    <n v="3002000000"/>
    <n v="0"/>
    <n v="916000000"/>
    <x v="0"/>
    <s v="Railroads"/>
    <n v="7175000000"/>
    <n v="3918000000"/>
    <n v="3257000000"/>
  </r>
  <r>
    <x v="286"/>
    <s v="Year 2"/>
    <d v="2014-12-31T00:00:00"/>
    <n v="11624000000"/>
    <n v="4201000000"/>
    <n v="2897000000"/>
    <n v="0"/>
    <n v="951000000"/>
    <x v="0"/>
    <s v="Railroads"/>
    <n v="7423000000"/>
    <n v="3848000000"/>
    <n v="3575000000"/>
  </r>
  <r>
    <x v="286"/>
    <s v="Year 3"/>
    <d v="2015-12-31T00:00:00"/>
    <n v="10511000000"/>
    <n v="3662000000"/>
    <n v="2911000000"/>
    <n v="0"/>
    <n v="1054000000"/>
    <x v="0"/>
    <s v="Railroads"/>
    <n v="6849000000"/>
    <n v="3965000000"/>
    <n v="2884000000"/>
  </r>
  <r>
    <x v="286"/>
    <s v="Year 4"/>
    <d v="2016-12-31T00:00:00"/>
    <n v="9888000000"/>
    <n v="3045000000"/>
    <n v="2743000000"/>
    <n v="0"/>
    <n v="1026000000"/>
    <x v="0"/>
    <s v="Railroads"/>
    <n v="6843000000"/>
    <n v="3769000000"/>
    <n v="3074000000"/>
  </r>
  <r>
    <x v="287"/>
    <s v="Year 1"/>
    <d v="2013-04-26T00:00:00"/>
    <n v="6332400000"/>
    <n v="2571300000"/>
    <n v="2247400000"/>
    <n v="904200000"/>
    <n v="0"/>
    <x v="2"/>
    <s v="Internet Software &amp; Services"/>
    <n v="3761100000"/>
    <n v="3151600000"/>
    <n v="609500000"/>
  </r>
  <r>
    <x v="287"/>
    <s v="Year 2"/>
    <d v="2014-04-25T00:00:00"/>
    <n v="6325000000"/>
    <n v="2406000000"/>
    <n v="2179000000"/>
    <n v="918000000"/>
    <n v="0"/>
    <x v="2"/>
    <s v="Internet Software &amp; Services"/>
    <n v="3919000000"/>
    <n v="3097000000"/>
    <n v="822000000"/>
  </r>
  <r>
    <x v="287"/>
    <s v="Year 3"/>
    <d v="2015-04-24T00:00:00"/>
    <n v="6123000000"/>
    <n v="2290000000"/>
    <n v="2197000000"/>
    <n v="920000000"/>
    <n v="0"/>
    <x v="2"/>
    <s v="Internet Software &amp; Services"/>
    <n v="3833000000"/>
    <n v="3117000000"/>
    <n v="716000000"/>
  </r>
  <r>
    <x v="287"/>
    <s v="Year 4"/>
    <d v="2016-04-29T00:00:00"/>
    <n v="5546000000"/>
    <n v="2173000000"/>
    <n v="2099000000"/>
    <n v="861000000"/>
    <n v="0"/>
    <x v="2"/>
    <s v="Internet Software &amp; Services"/>
    <n v="3373000000"/>
    <n v="2960000000"/>
    <n v="413000000"/>
  </r>
  <r>
    <x v="288"/>
    <s v="Year 1"/>
    <d v="2012-12-31T00:00:00"/>
    <n v="19429273000"/>
    <n v="17915735000"/>
    <n v="454900000"/>
    <n v="0"/>
    <n v="0"/>
    <x v="8"/>
    <s v="Steel"/>
    <n v="1513538000"/>
    <n v="454900000"/>
    <n v="1058638000"/>
  </r>
  <r>
    <x v="288"/>
    <s v="Year 2"/>
    <d v="2013-12-31T00:00:00"/>
    <n v="19052046000"/>
    <n v="17641421000"/>
    <n v="467904000"/>
    <n v="0"/>
    <n v="0"/>
    <x v="8"/>
    <s v="Steel"/>
    <n v="1410625000"/>
    <n v="467904000"/>
    <n v="942721000"/>
  </r>
  <r>
    <x v="288"/>
    <s v="Year 3"/>
    <d v="2014-12-31T00:00:00"/>
    <n v="21105141000"/>
    <n v="19198615000"/>
    <n v="520805000"/>
    <n v="0"/>
    <n v="0"/>
    <x v="8"/>
    <s v="Steel"/>
    <n v="1906526000"/>
    <n v="520805000"/>
    <n v="1385721000"/>
  </r>
  <r>
    <x v="288"/>
    <s v="Year 4"/>
    <d v="2015-12-31T00:00:00"/>
    <n v="16439276000"/>
    <n v="14858014000"/>
    <n v="458989000"/>
    <n v="0"/>
    <n v="0"/>
    <x v="8"/>
    <s v="Steel"/>
    <n v="1581262000"/>
    <n v="458989000"/>
    <n v="1122273000"/>
  </r>
  <r>
    <x v="289"/>
    <s v="Year 1"/>
    <d v="2013-01-27T00:00:00"/>
    <n v="4280159000"/>
    <n v="2053816000"/>
    <n v="430822000"/>
    <n v="1147282000"/>
    <n v="0"/>
    <x v="2"/>
    <s v="Semiconductors"/>
    <n v="2226343000"/>
    <n v="1578104000"/>
    <n v="648239000"/>
  </r>
  <r>
    <x v="289"/>
    <s v="Year 2"/>
    <d v="2014-01-26T00:00:00"/>
    <n v="4130000000"/>
    <n v="1862000000"/>
    <n v="436000000"/>
    <n v="1336000000"/>
    <n v="0"/>
    <x v="2"/>
    <s v="Semiconductors"/>
    <n v="2268000000"/>
    <n v="1772000000"/>
    <n v="496000000"/>
  </r>
  <r>
    <x v="289"/>
    <s v="Year 3"/>
    <d v="2015-01-25T00:00:00"/>
    <n v="4682000000"/>
    <n v="2083000000"/>
    <n v="480000000"/>
    <n v="1360000000"/>
    <n v="0"/>
    <x v="2"/>
    <s v="Semiconductors"/>
    <n v="2599000000"/>
    <n v="1840000000"/>
    <n v="759000000"/>
  </r>
  <r>
    <x v="289"/>
    <s v="Year 4"/>
    <d v="2016-01-31T00:00:00"/>
    <n v="5010000000"/>
    <n v="2199000000"/>
    <n v="602000000"/>
    <n v="1331000000"/>
    <n v="0"/>
    <x v="2"/>
    <s v="Semiconductors"/>
    <n v="2811000000"/>
    <n v="1933000000"/>
    <n v="878000000"/>
  </r>
  <r>
    <x v="290"/>
    <s v="Year 1"/>
    <d v="2012-12-31T00:00:00"/>
    <n v="5508500000"/>
    <n v="3414400000"/>
    <n v="1403500000"/>
    <n v="0"/>
    <n v="0"/>
    <x v="1"/>
    <s v="Housewares &amp; Specialties"/>
    <n v="2094100000"/>
    <n v="1403500000"/>
    <n v="690600000"/>
  </r>
  <r>
    <x v="290"/>
    <s v="Year 2"/>
    <d v="2013-12-31T00:00:00"/>
    <n v="5607000000"/>
    <n v="3482100000"/>
    <n v="1399500000"/>
    <n v="0"/>
    <n v="0"/>
    <x v="1"/>
    <s v="Housewares &amp; Specialties"/>
    <n v="2124900000"/>
    <n v="1399500000"/>
    <n v="725400000"/>
  </r>
  <r>
    <x v="290"/>
    <s v="Year 3"/>
    <d v="2014-12-31T00:00:00"/>
    <n v="5727000000"/>
    <n v="3523600000"/>
    <n v="1545900000"/>
    <n v="0"/>
    <n v="0"/>
    <x v="1"/>
    <s v="Housewares &amp; Specialties"/>
    <n v="2203400000"/>
    <n v="1545900000"/>
    <n v="657500000"/>
  </r>
  <r>
    <x v="290"/>
    <s v="Year 4"/>
    <d v="2015-12-31T00:00:00"/>
    <n v="5915700000"/>
    <n v="3611100000"/>
    <n v="1626000000"/>
    <n v="0"/>
    <n v="0"/>
    <x v="1"/>
    <s v="Housewares &amp; Specialties"/>
    <n v="2304600000"/>
    <n v="1626000000"/>
    <n v="678600000"/>
  </r>
  <r>
    <x v="291"/>
    <s v="Year 1"/>
    <d v="2012-12-31T00:00:00"/>
    <n v="484581000"/>
    <n v="21306000"/>
    <n v="38123000"/>
    <n v="0"/>
    <n v="147515000"/>
    <x v="7"/>
    <s v="Retail REITs"/>
    <n v="463275000"/>
    <n v="185638000"/>
    <n v="277637000"/>
  </r>
  <r>
    <x v="291"/>
    <s v="Year 2"/>
    <d v="2013-12-31T00:00:00"/>
    <n v="780209000"/>
    <n v="38851000"/>
    <n v="56881000"/>
    <n v="0"/>
    <n v="306769000"/>
    <x v="7"/>
    <s v="Retail REITs"/>
    <n v="741358000"/>
    <n v="363650000"/>
    <n v="377708000"/>
  </r>
  <r>
    <x v="291"/>
    <s v="Year 3"/>
    <d v="2014-12-31T00:00:00"/>
    <n v="933505000"/>
    <n v="53871000"/>
    <n v="51085000"/>
    <n v="0"/>
    <n v="374661000"/>
    <x v="7"/>
    <s v="Retail REITs"/>
    <n v="879634000"/>
    <n v="425746000"/>
    <n v="453888000"/>
  </r>
  <r>
    <x v="291"/>
    <s v="Year 4"/>
    <d v="2015-12-31T00:00:00"/>
    <n v="1023285000"/>
    <n v="55352000"/>
    <n v="49298000"/>
    <n v="0"/>
    <n v="409215000"/>
    <x v="7"/>
    <s v="Retail REITs"/>
    <n v="967933000"/>
    <n v="458513000"/>
    <n v="509420000"/>
  </r>
  <r>
    <x v="292"/>
    <s v="Year 1"/>
    <d v="2012-12-31T00:00:00"/>
    <n v="10184121000"/>
    <n v="8540319000"/>
    <n v="491725000"/>
    <n v="0"/>
    <n v="205334000"/>
    <x v="9"/>
    <s v="Oil &amp; Gas Exploration &amp; Production"/>
    <n v="1643802000"/>
    <n v="697059000"/>
    <n v="946743000"/>
  </r>
  <r>
    <x v="292"/>
    <s v="Year 2"/>
    <d v="2013-12-31T00:00:00"/>
    <n v="11871879000"/>
    <n v="10222213000"/>
    <n v="541586000"/>
    <n v="0"/>
    <n v="239343000"/>
    <x v="9"/>
    <s v="Oil &amp; Gas Exploration &amp; Production"/>
    <n v="1649666000"/>
    <n v="780929000"/>
    <n v="868737000"/>
  </r>
  <r>
    <x v="292"/>
    <s v="Year 3"/>
    <d v="2014-12-31T00:00:00"/>
    <n v="12195091000"/>
    <n v="10088548000"/>
    <n v="674887000"/>
    <n v="0"/>
    <n v="294684000"/>
    <x v="9"/>
    <s v="Oil &amp; Gas Exploration &amp; Production"/>
    <n v="2106543000"/>
    <n v="969571000"/>
    <n v="1136972000"/>
  </r>
  <r>
    <x v="292"/>
    <s v="Year 4"/>
    <d v="2015-12-31T00:00:00"/>
    <n v="7763206000"/>
    <n v="5641052000"/>
    <n v="693331000"/>
    <n v="0"/>
    <n v="354620000"/>
    <x v="9"/>
    <s v="Oil &amp; Gas Exploration &amp; Production"/>
    <n v="2122154000"/>
    <n v="1047951000"/>
    <n v="1074203000"/>
  </r>
  <r>
    <x v="293"/>
    <s v="Year 1"/>
    <d v="2014-12-31T00:00:00"/>
    <n v="15317800000"/>
    <n v="12602100000"/>
    <n v="477200000"/>
    <n v="0"/>
    <n v="294400000"/>
    <x v="1"/>
    <s v="Advertising"/>
    <n v="2715700000"/>
    <n v="771600000"/>
    <n v="1944100000"/>
  </r>
  <r>
    <x v="293"/>
    <s v="Year 2"/>
    <d v="2015-12-31T00:00:00"/>
    <n v="15134400000"/>
    <n v="12491400000"/>
    <n v="431800000"/>
    <n v="0"/>
    <n v="291100000"/>
    <x v="1"/>
    <s v="Advertising"/>
    <n v="2643000000"/>
    <n v="722900000"/>
    <n v="1920100000"/>
  </r>
  <r>
    <x v="293"/>
    <s v="Year 3"/>
    <d v="2016-12-31T00:00:00"/>
    <n v="15416900000"/>
    <n v="12671200000"/>
    <n v="443900000"/>
    <n v="0"/>
    <n v="292900000"/>
    <x v="1"/>
    <s v="Advertising"/>
    <n v="2745700000"/>
    <n v="736800000"/>
    <n v="2008900000"/>
  </r>
  <r>
    <x v="294"/>
    <s v="Year 1"/>
    <d v="2012-12-31T00:00:00"/>
    <n v="6182184000"/>
    <n v="3084766000"/>
    <n v="2120025000"/>
    <n v="0"/>
    <n v="0"/>
    <x v="1"/>
    <s v="Specialty Stores"/>
    <n v="3097418000"/>
    <n v="2120025000"/>
    <n v="977393000"/>
  </r>
  <r>
    <x v="294"/>
    <s v="Year 2"/>
    <d v="2013-12-31T00:00:00"/>
    <n v="6649237000"/>
    <n v="3280236000"/>
    <n v="2265516000"/>
    <n v="0"/>
    <n v="0"/>
    <x v="1"/>
    <s v="Specialty Stores"/>
    <n v="3369001000"/>
    <n v="2265516000"/>
    <n v="1103485000"/>
  </r>
  <r>
    <x v="294"/>
    <s v="Year 3"/>
    <d v="2014-12-31T00:00:00"/>
    <n v="7216081000"/>
    <n v="3507180000"/>
    <n v="2438527000"/>
    <n v="0"/>
    <n v="0"/>
    <x v="1"/>
    <s v="Specialty Stores"/>
    <n v="3708901000"/>
    <n v="2438527000"/>
    <n v="1270374000"/>
  </r>
  <r>
    <x v="294"/>
    <s v="Year 4"/>
    <d v="2015-12-31T00:00:00"/>
    <n v="7966674000"/>
    <n v="3804031000"/>
    <n v="2648622000"/>
    <n v="0"/>
    <n v="0"/>
    <x v="1"/>
    <s v="Specialty Stores"/>
    <n v="4162643000"/>
    <n v="2648622000"/>
    <n v="1514021000"/>
  </r>
  <r>
    <x v="295"/>
    <s v="Year 1"/>
    <d v="2012-12-31T00:00:00"/>
    <n v="20100000000"/>
    <n v="6530000000"/>
    <n v="1879000000"/>
    <n v="0"/>
    <n v="3585000000"/>
    <x v="9"/>
    <s v="Oil &amp; Gas Exploration &amp; Production"/>
    <n v="13570000000"/>
    <n v="5464000000"/>
    <n v="8106000000"/>
  </r>
  <r>
    <x v="295"/>
    <s v="Year 2"/>
    <d v="2013-12-31T00:00:00"/>
    <n v="20170000000"/>
    <n v="6497000000"/>
    <n v="2108000000"/>
    <n v="0"/>
    <n v="4203000000"/>
    <x v="9"/>
    <s v="Oil &amp; Gas Exploration &amp; Production"/>
    <n v="13673000000"/>
    <n v="6311000000"/>
    <n v="7362000000"/>
  </r>
  <r>
    <x v="295"/>
    <s v="Year 3"/>
    <d v="2014-12-31T00:00:00"/>
    <n v="19312000000"/>
    <n v="6803000000"/>
    <n v="2053000000"/>
    <n v="0"/>
    <n v="4261000000"/>
    <x v="9"/>
    <s v="Oil &amp; Gas Exploration &amp; Production"/>
    <n v="12509000000"/>
    <n v="6314000000"/>
    <n v="6195000000"/>
  </r>
  <r>
    <x v="295"/>
    <s v="Year 4"/>
    <d v="2015-12-31T00:00:00"/>
    <n v="12480000000"/>
    <n v="5804000000"/>
    <n v="1613000000"/>
    <n v="0"/>
    <n v="4544000000"/>
    <x v="9"/>
    <s v="Oil &amp; Gas Exploration &amp; Production"/>
    <n v="6676000000"/>
    <n v="6157000000"/>
    <n v="519000000"/>
  </r>
  <r>
    <x v="296"/>
    <s v="Year 1"/>
    <d v="2012-12-31T00:00:00"/>
    <n v="1355300000"/>
    <n v="90800000"/>
    <n v="803800000"/>
    <n v="0"/>
    <n v="76000000"/>
    <x v="6"/>
    <s v="Thrifts &amp; Mortgage Finance"/>
    <n v="1264500000"/>
    <n v="879800000"/>
    <n v="384700000"/>
  </r>
  <r>
    <x v="296"/>
    <s v="Year 2"/>
    <d v="2013-12-31T00:00:00"/>
    <n v="1346100000"/>
    <n v="81100000"/>
    <n v="812800000"/>
    <n v="0"/>
    <n v="69900000"/>
    <x v="6"/>
    <s v="Thrifts &amp; Mortgage Finance"/>
    <n v="1265000000"/>
    <n v="882700000"/>
    <n v="382300000"/>
  </r>
  <r>
    <x v="296"/>
    <s v="Year 3"/>
    <d v="2014-12-31T00:00:00"/>
    <n v="1381400000"/>
    <n v="80900000"/>
    <n v="816700000"/>
    <n v="0"/>
    <n v="65400000"/>
    <x v="6"/>
    <s v="Thrifts &amp; Mortgage Finance"/>
    <n v="1300500000"/>
    <n v="882100000"/>
    <n v="418400000"/>
  </r>
  <r>
    <x v="296"/>
    <s v="Year 4"/>
    <d v="2015-12-31T00:00:00"/>
    <n v="1421300000"/>
    <n v="95500000"/>
    <n v="836700000"/>
    <n v="0"/>
    <n v="57300000"/>
    <x v="6"/>
    <s v="Thrifts &amp; Mortgage Finance"/>
    <n v="1325800000"/>
    <n v="894000000"/>
    <n v="431800000"/>
  </r>
  <r>
    <x v="297"/>
    <s v="Year 1"/>
    <d v="2012-12-31T00:00:00"/>
    <n v="3823713000"/>
    <n v="1582398000"/>
    <n v="1489735000"/>
    <n v="114250000"/>
    <n v="0"/>
    <x v="0"/>
    <s v="Technology, Hardware, Software and Supplies"/>
    <n v="2241315000"/>
    <n v="1603985000"/>
    <n v="637330000"/>
  </r>
  <r>
    <x v="297"/>
    <s v="Year 2"/>
    <d v="2013-12-31T00:00:00"/>
    <n v="3791335000"/>
    <n v="1650622000"/>
    <n v="1420096000"/>
    <n v="110412000"/>
    <n v="0"/>
    <x v="0"/>
    <s v="Technology, Hardware, Software and Supplies"/>
    <n v="2140713000"/>
    <n v="1530508000"/>
    <n v="610205000"/>
  </r>
  <r>
    <x v="297"/>
    <s v="Year 3"/>
    <d v="2014-12-31T00:00:00"/>
    <n v="3821504000"/>
    <n v="1680791000"/>
    <n v="1378400000"/>
    <n v="109931000"/>
    <n v="0"/>
    <x v="0"/>
    <s v="Technology, Hardware, Software and Supplies"/>
    <n v="2140713000"/>
    <n v="1488331000"/>
    <n v="652382000"/>
  </r>
  <r>
    <x v="297"/>
    <s v="Year 4"/>
    <d v="2015-12-31T00:00:00"/>
    <n v="3578060000"/>
    <n v="1558591000"/>
    <n v="1279961000"/>
    <n v="110156000"/>
    <n v="0"/>
    <x v="0"/>
    <s v="Technology, Hardware, Software and Supplies"/>
    <n v="2019469000"/>
    <n v="1390117000"/>
    <n v="629352000"/>
  </r>
  <r>
    <x v="298"/>
    <s v="Year 1"/>
    <d v="2012-12-31T00:00:00"/>
    <n v="16596800000"/>
    <n v="13908300000"/>
    <n v="571600000"/>
    <n v="279300000"/>
    <n v="517400000"/>
    <x v="0"/>
    <s v="Construction &amp; Farm Machinery &amp; Heavy Trucks"/>
    <n v="2688500000"/>
    <n v="1368300000"/>
    <n v="1320200000"/>
  </r>
  <r>
    <x v="298"/>
    <s v="Year 2"/>
    <d v="2013-12-31T00:00:00"/>
    <n v="16661000000"/>
    <n v="13900700000"/>
    <n v="559500000"/>
    <n v="251400000"/>
    <n v="571700000"/>
    <x v="0"/>
    <s v="Construction &amp; Farm Machinery &amp; Heavy Trucks"/>
    <n v="2760300000"/>
    <n v="1382600000"/>
    <n v="1377700000"/>
  </r>
  <r>
    <x v="298"/>
    <s v="Year 3"/>
    <d v="2014-12-31T00:00:00"/>
    <n v="18534400000"/>
    <n v="15481600000"/>
    <n v="561400000"/>
    <n v="215600000"/>
    <n v="588500000"/>
    <x v="0"/>
    <s v="Construction &amp; Farm Machinery &amp; Heavy Trucks"/>
    <n v="3052800000"/>
    <n v="1365500000"/>
    <n v="1687300000"/>
  </r>
  <r>
    <x v="298"/>
    <s v="Year 4"/>
    <d v="2015-12-31T00:00:00"/>
    <n v="18671300000"/>
    <n v="15292100000"/>
    <n v="541500000"/>
    <n v="239800000"/>
    <n v="583700000"/>
    <x v="0"/>
    <s v="Construction &amp; Farm Machinery &amp; Heavy Trucks"/>
    <n v="3379200000"/>
    <n v="1365000000"/>
    <n v="2014200000"/>
  </r>
  <r>
    <x v="299"/>
    <s v="Year 1"/>
    <d v="2013-12-31T00:00:00"/>
    <n v="15598000000"/>
    <n v="11759000000"/>
    <n v="0"/>
    <n v="0"/>
    <n v="2077000000"/>
    <x v="5"/>
    <s v="MultiUtilities"/>
    <n v="3839000000"/>
    <n v="2077000000"/>
    <n v="1762000000"/>
  </r>
  <r>
    <x v="299"/>
    <s v="Year 2"/>
    <d v="2014-12-31T00:00:00"/>
    <n v="17090000000"/>
    <n v="12207000000"/>
    <n v="0"/>
    <n v="0"/>
    <n v="2433000000"/>
    <x v="5"/>
    <s v="MultiUtilities"/>
    <n v="4883000000"/>
    <n v="2433000000"/>
    <n v="2450000000"/>
  </r>
  <r>
    <x v="299"/>
    <s v="Year 3"/>
    <d v="2015-12-31T00:00:00"/>
    <n v="16833000000"/>
    <n v="12713000000"/>
    <n v="0"/>
    <n v="0"/>
    <n v="2612000000"/>
    <x v="5"/>
    <s v="MultiUtilities"/>
    <n v="4120000000"/>
    <n v="2612000000"/>
    <n v="1508000000"/>
  </r>
  <r>
    <x v="299"/>
    <s v="Year 4"/>
    <d v="2016-12-31T00:00:00"/>
    <n v="17666000000"/>
    <n v="12734000000"/>
    <n v="0"/>
    <n v="0"/>
    <n v="2755000000"/>
    <x v="5"/>
    <s v="MultiUtilities"/>
    <n v="4932000000"/>
    <n v="2755000000"/>
    <n v="2177000000"/>
  </r>
  <r>
    <x v="300"/>
    <s v="Year 1"/>
    <d v="2012-12-31T00:00:00"/>
    <n v="5260956000"/>
    <n v="1177275000"/>
    <n v="2188747000"/>
    <n v="0"/>
    <n v="65141000"/>
    <x v="1"/>
    <s v="Internet &amp; Direct Marketing Retail"/>
    <n v="4083681000"/>
    <n v="2253888000"/>
    <n v="1829793000"/>
  </r>
  <r>
    <x v="300"/>
    <s v="Year 2"/>
    <d v="2013-12-31T00:00:00"/>
    <n v="6793306000"/>
    <n v="1077420000"/>
    <n v="3185497000"/>
    <n v="0"/>
    <n v="117975000"/>
    <x v="1"/>
    <s v="Internet &amp; Direct Marketing Retail"/>
    <n v="5715886000"/>
    <n v="3303472000"/>
    <n v="2412414000"/>
  </r>
  <r>
    <x v="300"/>
    <s v="Year 3"/>
    <d v="2014-12-31T00:00:00"/>
    <n v="8441971000"/>
    <n v="857841000"/>
    <n v="4302998000"/>
    <n v="0"/>
    <n v="207820000"/>
    <x v="1"/>
    <s v="Internet &amp; Direct Marketing Retail"/>
    <n v="7584130000"/>
    <n v="4510818000"/>
    <n v="3073312000"/>
  </r>
  <r>
    <x v="300"/>
    <s v="Year 4"/>
    <d v="2015-12-31T00:00:00"/>
    <n v="9223987000"/>
    <n v="632180000"/>
    <n v="5060406000"/>
    <n v="0"/>
    <n v="272494000"/>
    <x v="1"/>
    <s v="Internet &amp; Direct Marketing Retail"/>
    <n v="8591807000"/>
    <n v="5332900000"/>
    <n v="3258907000"/>
  </r>
  <r>
    <x v="301"/>
    <s v="Year 1"/>
    <d v="2013-04-27T00:00:00"/>
    <n v="3637212000"/>
    <n v="2446443000"/>
    <n v="0"/>
    <n v="0"/>
    <n v="0"/>
    <x v="3"/>
    <s v="Health Care Supplies"/>
    <n v="1190769000"/>
    <n v="0"/>
    <n v="1190769000"/>
  </r>
  <r>
    <x v="301"/>
    <s v="Year 2"/>
    <d v="2014-04-26T00:00:00"/>
    <n v="3585141000"/>
    <n v="2566444000"/>
    <n v="0"/>
    <n v="0"/>
    <n v="0"/>
    <x v="3"/>
    <s v="Health Care Supplies"/>
    <n v="1018697000"/>
    <n v="0"/>
    <n v="1018697000"/>
  </r>
  <r>
    <x v="301"/>
    <s v="Year 3"/>
    <d v="2015-04-25T00:00:00"/>
    <n v="3910865000"/>
    <n v="2850316000"/>
    <n v="0"/>
    <n v="0"/>
    <n v="0"/>
    <x v="3"/>
    <s v="Health Care Supplies"/>
    <n v="1060549000"/>
    <n v="0"/>
    <n v="1060549000"/>
  </r>
  <r>
    <x v="301"/>
    <s v="Year 4"/>
    <d v="2016-04-30T00:00:00"/>
    <n v="5386703000"/>
    <n v="4063955000"/>
    <n v="0"/>
    <n v="0"/>
    <n v="0"/>
    <x v="3"/>
    <s v="Health Care Supplies"/>
    <n v="1322748000"/>
    <n v="0"/>
    <n v="1322748000"/>
  </r>
  <r>
    <x v="302"/>
    <s v="Year 1"/>
    <d v="2012-12-31T00:00:00"/>
    <n v="9781000000"/>
    <n v="6351000000"/>
    <n v="98000000"/>
    <n v="0"/>
    <n v="1054000000"/>
    <x v="5"/>
    <s v="Electric Utilities"/>
    <n v="3430000000"/>
    <n v="1152000000"/>
    <n v="2278000000"/>
  </r>
  <r>
    <x v="302"/>
    <s v="Year 2"/>
    <d v="2013-12-31T00:00:00"/>
    <n v="9968000000"/>
    <n v="6423000000"/>
    <n v="68000000"/>
    <n v="0"/>
    <n v="1178000000"/>
    <x v="5"/>
    <s v="Electric Utilities"/>
    <n v="3545000000"/>
    <n v="1246000000"/>
    <n v="2299000000"/>
  </r>
  <r>
    <x v="302"/>
    <s v="Year 3"/>
    <d v="2014-12-31T00:00:00"/>
    <n v="10886000000"/>
    <n v="7036000000"/>
    <n v="0"/>
    <n v="0"/>
    <n v="1227000000"/>
    <x v="5"/>
    <s v="Electric Utilities"/>
    <n v="3850000000"/>
    <n v="1227000000"/>
    <n v="2623000000"/>
  </r>
  <r>
    <x v="302"/>
    <s v="Year 4"/>
    <d v="2015-12-31T00:00:00"/>
    <n v="10415000000"/>
    <n v="6239000000"/>
    <n v="0"/>
    <n v="0"/>
    <n v="1214000000"/>
    <x v="5"/>
    <s v="Electric Utilities"/>
    <n v="4176000000"/>
    <n v="1214000000"/>
    <n v="2962000000"/>
  </r>
  <r>
    <x v="303"/>
    <s v="Year 1"/>
    <d v="2013-12-28T00:00:00"/>
    <n v="66415000000"/>
    <n v="31243000000"/>
    <n v="25357000000"/>
    <n v="0"/>
    <n v="110000000"/>
    <x v="4"/>
    <s v="Soft Drinks"/>
    <n v="35172000000"/>
    <n v="25467000000"/>
    <n v="9705000000"/>
  </r>
  <r>
    <x v="303"/>
    <s v="Year 2"/>
    <d v="2014-12-27T00:00:00"/>
    <n v="66683000000"/>
    <n v="31238000000"/>
    <n v="25772000000"/>
    <n v="0"/>
    <n v="92000000"/>
    <x v="4"/>
    <s v="Soft Drinks"/>
    <n v="35445000000"/>
    <n v="25864000000"/>
    <n v="9581000000"/>
  </r>
  <r>
    <x v="303"/>
    <s v="Year 3"/>
    <d v="2015-12-26T00:00:00"/>
    <n v="63056000000"/>
    <n v="28731000000"/>
    <n v="24538000000"/>
    <n v="0"/>
    <n v="75000000"/>
    <x v="4"/>
    <s v="Soft Drinks"/>
    <n v="34325000000"/>
    <n v="24613000000"/>
    <n v="9712000000"/>
  </r>
  <r>
    <x v="303"/>
    <s v="Year 4"/>
    <d v="2016-12-31T00:00:00"/>
    <n v="62799000000"/>
    <n v="28209000000"/>
    <n v="24735000000"/>
    <n v="0"/>
    <n v="70000000"/>
    <x v="4"/>
    <s v="Soft Drinks"/>
    <n v="34590000000"/>
    <n v="24805000000"/>
    <n v="9785000000"/>
  </r>
  <r>
    <x v="304"/>
    <s v="Year 1"/>
    <d v="2012-12-31T00:00:00"/>
    <n v="54657000000"/>
    <n v="9821000000"/>
    <n v="15171000000"/>
    <n v="7482000000"/>
    <n v="5109000000"/>
    <x v="3"/>
    <s v="Pharmaceuticals"/>
    <n v="44836000000"/>
    <n v="27762000000"/>
    <n v="17074000000"/>
  </r>
  <r>
    <x v="304"/>
    <s v="Year 2"/>
    <d v="2013-12-31T00:00:00"/>
    <n v="51584000000"/>
    <n v="9586000000"/>
    <n v="14355000000"/>
    <n v="6678000000"/>
    <n v="4599000000"/>
    <x v="3"/>
    <s v="Pharmaceuticals"/>
    <n v="41998000000"/>
    <n v="25632000000"/>
    <n v="16366000000"/>
  </r>
  <r>
    <x v="304"/>
    <s v="Year 3"/>
    <d v="2014-12-31T00:00:00"/>
    <n v="49605000000"/>
    <n v="9577000000"/>
    <n v="14097000000"/>
    <n v="8393000000"/>
    <n v="4039000000"/>
    <x v="3"/>
    <s v="Pharmaceuticals"/>
    <n v="40028000000"/>
    <n v="26529000000"/>
    <n v="13499000000"/>
  </r>
  <r>
    <x v="304"/>
    <s v="Year 4"/>
    <d v="2015-12-31T00:00:00"/>
    <n v="48851000000"/>
    <n v="9648000000"/>
    <n v="14809000000"/>
    <n v="7690000000"/>
    <n v="3728000000"/>
    <x v="3"/>
    <s v="Pharmaceuticals"/>
    <n v="39203000000"/>
    <n v="26227000000"/>
    <n v="12976000000"/>
  </r>
  <r>
    <x v="305"/>
    <s v="Year 1"/>
    <d v="2013-12-31T00:00:00"/>
    <n v="9289500000"/>
    <n v="4683600000"/>
    <n v="189000000"/>
    <n v="0"/>
    <n v="3292900000"/>
    <x v="6"/>
    <s v="Diversified Financial Services"/>
    <n v="4605900000"/>
    <n v="3481900000"/>
    <n v="1124000000"/>
  </r>
  <r>
    <x v="305"/>
    <s v="Year 2"/>
    <d v="2014-12-31T00:00:00"/>
    <n v="10477600000"/>
    <n v="5231000000"/>
    <n v="177400000"/>
    <n v="0"/>
    <n v="3574300000"/>
    <x v="6"/>
    <s v="Diversified Financial Services"/>
    <n v="5246600000"/>
    <n v="3751700000"/>
    <n v="1494900000"/>
  </r>
  <r>
    <x v="305"/>
    <s v="Year 3"/>
    <d v="2015-12-31T00:00:00"/>
    <n v="11964400000"/>
    <n v="6697700000"/>
    <n v="163500000"/>
    <n v="0"/>
    <n v="3672400000"/>
    <x v="6"/>
    <s v="Diversified Financial Services"/>
    <n v="5266700000"/>
    <n v="3835900000"/>
    <n v="1430800000"/>
  </r>
  <r>
    <x v="305"/>
    <s v="Year 4"/>
    <d v="2016-12-31T00:00:00"/>
    <n v="12394100000"/>
    <n v="6913200000"/>
    <n v="156600000"/>
    <n v="0"/>
    <n v="3732600000"/>
    <x v="6"/>
    <s v="Diversified Financial Services"/>
    <n v="5480900000"/>
    <n v="3889200000"/>
    <n v="1591700000"/>
  </r>
  <r>
    <x v="306"/>
    <s v="Year 1"/>
    <d v="2013-12-31T00:00:00"/>
    <n v="2104745000"/>
    <n v="155355000"/>
    <n v="346393000"/>
    <n v="859947000"/>
    <n v="0"/>
    <x v="4"/>
    <s v="Personal Products"/>
    <n v="1949390000"/>
    <n v="1206340000"/>
    <n v="743050000"/>
  </r>
  <r>
    <x v="306"/>
    <s v="Year 2"/>
    <d v="2014-12-31T00:00:00"/>
    <n v="2819557000"/>
    <n v="205018000"/>
    <n v="519267000"/>
    <n v="1271353000"/>
    <n v="0"/>
    <x v="4"/>
    <s v="Personal Products"/>
    <n v="2614539000"/>
    <n v="1790620000"/>
    <n v="823919000"/>
  </r>
  <r>
    <x v="306"/>
    <s v="Year 3"/>
    <d v="2015-12-31T00:00:00"/>
    <n v="4103728000"/>
    <n v="392709000"/>
    <n v="838526000"/>
    <n v="1620577000"/>
    <n v="0"/>
    <x v="4"/>
    <s v="Personal Products"/>
    <n v="3711019000"/>
    <n v="2459103000"/>
    <n v="1251916000"/>
  </r>
  <r>
    <x v="306"/>
    <s v="Year 4"/>
    <d v="2016-12-31T00:00:00"/>
    <n v="4860427000"/>
    <n v="299694000"/>
    <n v="1177697000"/>
    <n v="2052295000"/>
    <n v="0"/>
    <x v="4"/>
    <s v="Personal Products"/>
    <n v="4560733000"/>
    <n v="3229992000"/>
    <n v="1330741000"/>
  </r>
  <r>
    <x v="307"/>
    <s v="Year 1"/>
    <d v="2012-12-31T00:00:00"/>
    <n v="17083900000"/>
    <n v="15590900000"/>
    <n v="15400000"/>
    <n v="0"/>
    <n v="36100000"/>
    <x v="6"/>
    <s v="Property &amp; Casualty Insurance"/>
    <n v="1493000000"/>
    <n v="51500000"/>
    <n v="1441500000"/>
  </r>
  <r>
    <x v="307"/>
    <s v="Year 2"/>
    <d v="2013-12-31T00:00:00"/>
    <n v="18170900000"/>
    <n v="16275100000"/>
    <n v="18800000"/>
    <n v="0"/>
    <n v="38800000"/>
    <x v="6"/>
    <s v="Property &amp; Casualty Insurance"/>
    <n v="1895800000"/>
    <n v="57600000"/>
    <n v="1838200000"/>
  </r>
  <r>
    <x v="307"/>
    <s v="Year 3"/>
    <d v="2014-12-31T00:00:00"/>
    <n v="19391400000"/>
    <n v="17297300000"/>
    <n v="18900000"/>
    <n v="0"/>
    <n v="50900000"/>
    <x v="6"/>
    <s v="Property &amp; Casualty Insurance"/>
    <n v="2094100000"/>
    <n v="69800000"/>
    <n v="2024300000"/>
  </r>
  <r>
    <x v="307"/>
    <s v="Year 4"/>
    <d v="2015-12-31T00:00:00"/>
    <n v="20853800000"/>
    <n v="18705900000"/>
    <n v="22800000"/>
    <n v="0"/>
    <n v="77500000"/>
    <x v="6"/>
    <s v="Property &amp; Casualty Insurance"/>
    <n v="2147900000"/>
    <n v="100300000"/>
    <n v="2047600000"/>
  </r>
  <r>
    <x v="308"/>
    <s v="Year 1"/>
    <d v="2013-06-30T00:00:00"/>
    <n v="13015704000"/>
    <n v="10086675000"/>
    <n v="1554973000"/>
    <n v="0"/>
    <n v="0"/>
    <x v="0"/>
    <s v="Industrial Conglomerates"/>
    <n v="2929029000"/>
    <n v="1554973000"/>
    <n v="1374056000"/>
  </r>
  <r>
    <x v="308"/>
    <s v="Year 2"/>
    <d v="2014-06-30T00:00:00"/>
    <n v="13215971000"/>
    <n v="10188227000"/>
    <n v="1633992000"/>
    <n v="0"/>
    <n v="0"/>
    <x v="0"/>
    <s v="Industrial Conglomerates"/>
    <n v="3027744000"/>
    <n v="1633992000"/>
    <n v="1393752000"/>
  </r>
  <r>
    <x v="308"/>
    <s v="Year 3"/>
    <d v="2015-06-30T00:00:00"/>
    <n v="12711744000"/>
    <n v="9655245000"/>
    <n v="1544746000"/>
    <n v="0"/>
    <n v="0"/>
    <x v="0"/>
    <s v="Industrial Conglomerates"/>
    <n v="3056499000"/>
    <n v="1544746000"/>
    <n v="1511753000"/>
  </r>
  <r>
    <x v="308"/>
    <s v="Year 4"/>
    <d v="2016-06-30T00:00:00"/>
    <n v="11360753000"/>
    <n v="8823384000"/>
    <n v="1359360000"/>
    <n v="0"/>
    <n v="0"/>
    <x v="0"/>
    <s v="Industrial Conglomerates"/>
    <n v="2537369000"/>
    <n v="1359360000"/>
    <n v="1178009000"/>
  </r>
  <r>
    <x v="309"/>
    <s v="Year 1"/>
    <d v="2013-12-31T00:00:00"/>
    <n v="5679595000"/>
    <n v="4507196000"/>
    <n v="568500000"/>
    <n v="0"/>
    <n v="0"/>
    <x v="1"/>
    <s v="Homebuilding"/>
    <n v="1172399000"/>
    <n v="568500000"/>
    <n v="603899000"/>
  </r>
  <r>
    <x v="309"/>
    <s v="Year 2"/>
    <d v="2014-12-31T00:00:00"/>
    <n v="5822363000"/>
    <n v="4244479000"/>
    <n v="861390000"/>
    <n v="0"/>
    <n v="0"/>
    <x v="1"/>
    <s v="Homebuilding"/>
    <n v="1577884000"/>
    <n v="861390000"/>
    <n v="716494000"/>
  </r>
  <r>
    <x v="309"/>
    <s v="Year 3"/>
    <d v="2015-12-31T00:00:00"/>
    <n v="5981964000"/>
    <n v="4353850000"/>
    <n v="794728000"/>
    <n v="0"/>
    <n v="0"/>
    <x v="1"/>
    <s v="Homebuilding"/>
    <n v="1628114000"/>
    <n v="794728000"/>
    <n v="833386000"/>
  </r>
  <r>
    <x v="309"/>
    <s v="Year 4"/>
    <d v="2016-12-31T00:00:00"/>
    <n v="7668476000"/>
    <n v="5728662000"/>
    <n v="957150000"/>
    <n v="0"/>
    <n v="0"/>
    <x v="1"/>
    <s v="Homebuilding"/>
    <n v="1939814000"/>
    <n v="957150000"/>
    <n v="982664000"/>
  </r>
  <r>
    <x v="310"/>
    <s v="Year 1"/>
    <d v="2012-12-30T00:00:00"/>
    <n v="2105188000"/>
    <n v="1143659000"/>
    <n v="627370000"/>
    <n v="131835000"/>
    <n v="0"/>
    <x v="3"/>
    <s v="Health Care Equipment"/>
    <n v="961529000"/>
    <n v="759205000"/>
    <n v="202324000"/>
  </r>
  <r>
    <x v="310"/>
    <s v="Year 2"/>
    <d v="2013-12-29T00:00:00"/>
    <n v="2157586000"/>
    <n v="1181444000"/>
    <n v="581898000"/>
    <n v="132400000"/>
    <n v="0"/>
    <x v="3"/>
    <s v="Health Care Equipment"/>
    <n v="976142000"/>
    <n v="714298000"/>
    <n v="261844000"/>
  </r>
  <r>
    <x v="310"/>
    <s v="Year 3"/>
    <d v="2014-12-28T00:00:00"/>
    <n v="2237219000"/>
    <n v="1232611000"/>
    <n v="659335000"/>
    <n v="121141000"/>
    <n v="0"/>
    <x v="3"/>
    <s v="Health Care Equipment"/>
    <n v="1004608000"/>
    <n v="780476000"/>
    <n v="224132000"/>
  </r>
  <r>
    <x v="310"/>
    <s v="Year 4"/>
    <d v="2016-01-03T00:00:00"/>
    <n v="2262359000"/>
    <n v="1237859000"/>
    <n v="598848000"/>
    <n v="125928000"/>
    <n v="0"/>
    <x v="3"/>
    <s v="Health Care Equipment"/>
    <n v="1024500000"/>
    <n v="724776000"/>
    <n v="299724000"/>
  </r>
  <r>
    <x v="311"/>
    <s v="Year 1"/>
    <d v="2013-12-31T00:00:00"/>
    <n v="80029000000"/>
    <n v="59222000000"/>
    <n v="6890000000"/>
    <n v="0"/>
    <n v="93000000"/>
    <x v="4"/>
    <s v="Tobacco"/>
    <n v="20807000000"/>
    <n v="6983000000"/>
    <n v="13824000000"/>
  </r>
  <r>
    <x v="311"/>
    <s v="Year 2"/>
    <d v="2014-12-31T00:00:00"/>
    <n v="80106000000"/>
    <n v="60775000000"/>
    <n v="7001000000"/>
    <n v="0"/>
    <n v="93000000"/>
    <x v="4"/>
    <s v="Tobacco"/>
    <n v="19331000000"/>
    <n v="7094000000"/>
    <n v="12237000000"/>
  </r>
  <r>
    <x v="311"/>
    <s v="Year 3"/>
    <d v="2015-12-31T00:00:00"/>
    <n v="73908000000"/>
    <n v="56479000000"/>
    <n v="6656000000"/>
    <n v="0"/>
    <n v="82000000"/>
    <x v="4"/>
    <s v="Tobacco"/>
    <n v="17429000000"/>
    <n v="6738000000"/>
    <n v="10691000000"/>
  </r>
  <r>
    <x v="311"/>
    <s v="Year 4"/>
    <d v="2016-12-31T00:00:00"/>
    <n v="74953000000"/>
    <n v="57659000000"/>
    <n v="6405000000"/>
    <n v="0"/>
    <n v="74000000"/>
    <x v="4"/>
    <s v="Tobacco"/>
    <n v="17294000000"/>
    <n v="6479000000"/>
    <n v="10815000000"/>
  </r>
  <r>
    <x v="312"/>
    <s v="Year 1"/>
    <d v="2012-12-31T00:00:00"/>
    <n v="16606000000"/>
    <n v="386000000"/>
    <n v="10486000000"/>
    <n v="0"/>
    <n v="987000000"/>
    <x v="6"/>
    <s v="Banks"/>
    <n v="16220000000"/>
    <n v="11473000000"/>
    <n v="4747000000"/>
  </r>
  <r>
    <x v="312"/>
    <s v="Year 2"/>
    <d v="2013-12-31T00:00:00"/>
    <n v="16872000000"/>
    <n v="344000000"/>
    <n v="9681000000"/>
    <n v="0"/>
    <n v="643000000"/>
    <x v="6"/>
    <s v="Banks"/>
    <n v="16528000000"/>
    <n v="10324000000"/>
    <n v="6204000000"/>
  </r>
  <r>
    <x v="312"/>
    <s v="Year 3"/>
    <d v="2014-12-31T00:00:00"/>
    <n v="16281000000"/>
    <n v="325000000"/>
    <n v="9488000000"/>
    <n v="0"/>
    <n v="273000000"/>
    <x v="6"/>
    <s v="Banks"/>
    <n v="15956000000"/>
    <n v="9761000000"/>
    <n v="6195000000"/>
  </r>
  <r>
    <x v="312"/>
    <s v="Year 4"/>
    <d v="2015-12-31T00:00:00"/>
    <n v="16270000000"/>
    <n v="403000000"/>
    <n v="9463000000"/>
    <n v="0"/>
    <n v="255000000"/>
    <x v="6"/>
    <s v="Banks"/>
    <n v="15867000000"/>
    <n v="9718000000"/>
    <n v="6149000000"/>
  </r>
  <r>
    <x v="313"/>
    <s v="Year 1"/>
    <d v="2012-12-31T00:00:00"/>
    <n v="4306800000"/>
    <n v="3040900000"/>
    <n v="1117700000"/>
    <n v="92300000"/>
    <n v="0"/>
    <x v="0"/>
    <s v="Industrial Machinery"/>
    <n v="1265900000"/>
    <n v="1210000000"/>
    <n v="55900000"/>
  </r>
  <r>
    <x v="313"/>
    <s v="Year 2"/>
    <d v="2013-12-31T00:00:00"/>
    <n v="6999700000"/>
    <n v="4629600000"/>
    <n v="1493700000"/>
    <n v="122800000"/>
    <n v="0"/>
    <x v="0"/>
    <s v="Industrial Machinery"/>
    <n v="2370100000"/>
    <n v="1616500000"/>
    <n v="753600000"/>
  </r>
  <r>
    <x v="313"/>
    <s v="Year 3"/>
    <d v="2014-12-31T00:00:00"/>
    <n v="7039000000"/>
    <n v="4576000000"/>
    <n v="1493800000"/>
    <n v="117300000"/>
    <n v="0"/>
    <x v="0"/>
    <s v="Industrial Machinery"/>
    <n v="2463000000"/>
    <n v="1611100000"/>
    <n v="851900000"/>
  </r>
  <r>
    <x v="313"/>
    <s v="Year 4"/>
    <d v="2015-12-31T00:00:00"/>
    <n v="6449000000"/>
    <n v="4263200000"/>
    <n v="1334300000"/>
    <n v="119600000"/>
    <n v="0"/>
    <x v="0"/>
    <s v="Industrial Machinery"/>
    <n v="2185800000"/>
    <n v="1453900000"/>
    <n v="731900000"/>
  </r>
  <r>
    <x v="314"/>
    <s v="Year 1"/>
    <d v="2012-12-31T00:00:00"/>
    <n v="3301804000"/>
    <n v="1879559000"/>
    <n v="166154000"/>
    <n v="0"/>
    <n v="404336000"/>
    <x v="5"/>
    <s v="MultiUtilities"/>
    <n v="1422245000"/>
    <n v="570490000"/>
    <n v="851755000"/>
  </r>
  <r>
    <x v="314"/>
    <s v="Year 2"/>
    <d v="2013-12-31T00:00:00"/>
    <n v="3454628000"/>
    <n v="2020436000"/>
    <n v="172161000"/>
    <n v="0"/>
    <n v="415708000"/>
    <x v="5"/>
    <s v="MultiUtilities"/>
    <n v="1434192000"/>
    <n v="587869000"/>
    <n v="846323000"/>
  </r>
  <r>
    <x v="314"/>
    <s v="Year 3"/>
    <d v="2014-12-31T00:00:00"/>
    <n v="3491632000"/>
    <n v="2087854000"/>
    <n v="175178000"/>
    <n v="0"/>
    <n v="417358000"/>
    <x v="5"/>
    <s v="MultiUtilities"/>
    <n v="1403778000"/>
    <n v="592536000"/>
    <n v="811242000"/>
  </r>
  <r>
    <x v="314"/>
    <s v="Year 4"/>
    <d v="2015-12-31T00:00:00"/>
    <n v="3495443000"/>
    <n v="1969675000"/>
    <n v="176744000"/>
    <n v="0"/>
    <n v="494422000"/>
    <x v="5"/>
    <s v="MultiUtilities"/>
    <n v="1525768000"/>
    <n v="671166000"/>
    <n v="854602000"/>
  </r>
  <r>
    <x v="315"/>
    <s v="Year 1"/>
    <d v="2013-12-31T00:00:00"/>
    <n v="14265000000"/>
    <n v="8314000000"/>
    <n v="3486000000"/>
    <n v="463000000"/>
    <n v="452000000"/>
    <x v="8"/>
    <s v="Diversified Chemicals"/>
    <n v="5951000000"/>
    <n v="4401000000"/>
    <n v="1550000000"/>
  </r>
  <r>
    <x v="315"/>
    <s v="Year 2"/>
    <d v="2014-12-31T00:00:00"/>
    <n v="14791000000"/>
    <n v="8348000000"/>
    <n v="4013000000"/>
    <n v="483000000"/>
    <n v="450000000"/>
    <x v="8"/>
    <s v="Diversified Chemicals"/>
    <n v="6443000000"/>
    <n v="4946000000"/>
    <n v="1497000000"/>
  </r>
  <r>
    <x v="315"/>
    <s v="Year 3"/>
    <d v="2015-12-31T00:00:00"/>
    <n v="14766000000"/>
    <n v="8206000000"/>
    <n v="3624000000"/>
    <n v="476000000"/>
    <n v="471000000"/>
    <x v="8"/>
    <s v="Diversified Chemicals"/>
    <n v="6560000000"/>
    <n v="4571000000"/>
    <n v="1989000000"/>
  </r>
  <r>
    <x v="315"/>
    <s v="Year 4"/>
    <d v="2016-12-31T00:00:00"/>
    <n v="14751000000"/>
    <n v="8063000000"/>
    <n v="4630000000"/>
    <n v="466000000"/>
    <n v="462000000"/>
    <x v="8"/>
    <s v="Diversified Chemicals"/>
    <n v="6688000000"/>
    <n v="5558000000"/>
    <n v="1130000000"/>
  </r>
  <r>
    <x v="316"/>
    <s v="Year 1"/>
    <d v="2012-12-31T00:00:00"/>
    <n v="12132000000"/>
    <n v="4876000000"/>
    <n v="3143000000"/>
    <n v="0"/>
    <n v="1087000000"/>
    <x v="5"/>
    <s v="Electric Utilities"/>
    <n v="7256000000"/>
    <n v="4230000000"/>
    <n v="3026000000"/>
  </r>
  <r>
    <x v="316"/>
    <s v="Year 2"/>
    <d v="2013-12-31T00:00:00"/>
    <n v="7263000000"/>
    <n v="1751000000"/>
    <n v="2108000000"/>
    <n v="0"/>
    <n v="843000000"/>
    <x v="5"/>
    <s v="Electric Utilities"/>
    <n v="5512000000"/>
    <n v="2951000000"/>
    <n v="2561000000"/>
  </r>
  <r>
    <x v="316"/>
    <s v="Year 3"/>
    <d v="2014-12-31T00:00:00"/>
    <n v="7852000000"/>
    <n v="1889000000"/>
    <n v="2173000000"/>
    <n v="0"/>
    <n v="923000000"/>
    <x v="5"/>
    <s v="Electric Utilities"/>
    <n v="5963000000"/>
    <n v="3096000000"/>
    <n v="2867000000"/>
  </r>
  <r>
    <x v="316"/>
    <s v="Year 4"/>
    <d v="2015-12-31T00:00:00"/>
    <n v="7669000000"/>
    <n v="1718000000"/>
    <n v="2237000000"/>
    <n v="0"/>
    <n v="883000000"/>
    <x v="5"/>
    <s v="Electric Utilities"/>
    <n v="5951000000"/>
    <n v="3120000000"/>
    <n v="2831000000"/>
  </r>
  <r>
    <x v="317"/>
    <s v="Year 1"/>
    <d v="2012-12-31T00:00:00"/>
    <n v="84847000000"/>
    <n v="66635000000"/>
    <n v="17504000000"/>
    <n v="0"/>
    <n v="0"/>
    <x v="6"/>
    <s v="Diversified Financial Services"/>
    <n v="18212000000"/>
    <n v="17504000000"/>
    <n v="708000000"/>
  </r>
  <r>
    <x v="317"/>
    <s v="Year 2"/>
    <d v="2013-12-31T00:00:00"/>
    <n v="41461000000"/>
    <n v="26973000000"/>
    <n v="16172000000"/>
    <n v="0"/>
    <n v="0"/>
    <x v="6"/>
    <s v="Diversified Financial Services"/>
    <n v="14488000000"/>
    <n v="16172000000"/>
    <n v="-1684000000"/>
  </r>
  <r>
    <x v="317"/>
    <s v="Year 3"/>
    <d v="2014-12-31T00:00:00"/>
    <n v="54105000000"/>
    <n v="33560000000"/>
    <n v="18786000000"/>
    <n v="0"/>
    <n v="0"/>
    <x v="6"/>
    <s v="Diversified Financial Services"/>
    <n v="20545000000"/>
    <n v="18786000000"/>
    <n v="1759000000"/>
  </r>
  <r>
    <x v="317"/>
    <s v="Year 4"/>
    <d v="2015-12-31T00:00:00"/>
    <n v="57119000000"/>
    <n v="32747000000"/>
    <n v="16603000000"/>
    <n v="0"/>
    <n v="0"/>
    <x v="6"/>
    <s v="Diversified Financial Services"/>
    <n v="24372000000"/>
    <n v="16603000000"/>
    <n v="7769000000"/>
  </r>
  <r>
    <x v="318"/>
    <s v="Year 1"/>
    <d v="2012-12-31T00:00:00"/>
    <n v="179290000000"/>
    <n v="158446000000"/>
    <n v="15443000000"/>
    <n v="0"/>
    <n v="931000000"/>
    <x v="9"/>
    <s v="Oil &amp; Gas Refining &amp; Marketing &amp; Transportation"/>
    <n v="20844000000"/>
    <n v="16374000000"/>
    <n v="4470000000"/>
  </r>
  <r>
    <x v="318"/>
    <s v="Year 2"/>
    <d v="2013-12-31T00:00:00"/>
    <n v="171596000000"/>
    <n v="152451000000"/>
    <n v="15597000000"/>
    <n v="0"/>
    <n v="971000000"/>
    <x v="9"/>
    <s v="Oil &amp; Gas Refining &amp; Marketing &amp; Transportation"/>
    <n v="19145000000"/>
    <n v="16568000000"/>
    <n v="2577000000"/>
  </r>
  <r>
    <x v="318"/>
    <s v="Year 3"/>
    <d v="2014-12-31T00:00:00"/>
    <n v="161212000000"/>
    <n v="140183000000"/>
    <n v="16703000000"/>
    <n v="0"/>
    <n v="1019000000"/>
    <x v="9"/>
    <s v="Oil &amp; Gas Refining &amp; Marketing &amp; Transportation"/>
    <n v="21029000000"/>
    <n v="17722000000"/>
    <n v="3307000000"/>
  </r>
  <r>
    <x v="318"/>
    <s v="Year 4"/>
    <d v="2015-12-31T00:00:00"/>
    <n v="98975000000"/>
    <n v="77693000000"/>
    <n v="15747000000"/>
    <n v="0"/>
    <n v="1099000000"/>
    <x v="9"/>
    <s v="Oil &amp; Gas Refining &amp; Marketing &amp; Transportation"/>
    <n v="21282000000"/>
    <n v="16846000000"/>
    <n v="4436000000"/>
  </r>
  <r>
    <x v="319"/>
    <s v="Year 1"/>
    <d v="2013-02-03T00:00:00"/>
    <n v="6043000000"/>
    <n v="2793800000"/>
    <n v="2594300000"/>
    <n v="0"/>
    <n v="0"/>
    <x v="1"/>
    <s v="Apparel, Accessories &amp; Luxury Goods"/>
    <n v="3249200000"/>
    <n v="2594300000"/>
    <n v="654900000"/>
  </r>
  <r>
    <x v="319"/>
    <s v="Year 2"/>
    <d v="2014-02-02T00:00:00"/>
    <n v="8186400000"/>
    <n v="3967100000"/>
    <n v="3673500000"/>
    <n v="0"/>
    <n v="0"/>
    <x v="1"/>
    <s v="Apparel, Accessories &amp; Luxury Goods"/>
    <n v="4219300000"/>
    <n v="3673500000"/>
    <n v="545800000"/>
  </r>
  <r>
    <x v="319"/>
    <s v="Year 3"/>
    <d v="2015-02-01T00:00:00"/>
    <n v="8241200000"/>
    <n v="3914500000"/>
    <n v="3713600000"/>
    <n v="0"/>
    <n v="0"/>
    <x v="1"/>
    <s v="Apparel, Accessories &amp; Luxury Goods"/>
    <n v="4326700000"/>
    <n v="3713600000"/>
    <n v="613100000"/>
  </r>
  <r>
    <x v="319"/>
    <s v="Year 4"/>
    <d v="2016-01-31T00:00:00"/>
    <n v="8020300000"/>
    <n v="3858700000"/>
    <n v="3417700000"/>
    <n v="0"/>
    <n v="0"/>
    <x v="1"/>
    <s v="Apparel, Accessories &amp; Luxury Goods"/>
    <n v="4161600000"/>
    <n v="3417700000"/>
    <n v="743900000"/>
  </r>
  <r>
    <x v="320"/>
    <s v="Year 1"/>
    <d v="2012-12-31T00:00:00"/>
    <n v="5920269000"/>
    <n v="4982562000"/>
    <n v="434894000"/>
    <n v="0"/>
    <n v="37691000"/>
    <x v="0"/>
    <s v="Industrial Conglomerates"/>
    <n v="937707000"/>
    <n v="472585000"/>
    <n v="465122000"/>
  </r>
  <r>
    <x v="320"/>
    <s v="Year 2"/>
    <d v="2013-12-31T00:00:00"/>
    <n v="6411577000"/>
    <n v="5424644000"/>
    <n v="485069000"/>
    <n v="0"/>
    <n v="25865000"/>
    <x v="0"/>
    <s v="Industrial Conglomerates"/>
    <n v="986933000"/>
    <n v="510934000"/>
    <n v="475999000"/>
  </r>
  <r>
    <x v="320"/>
    <s v="Year 3"/>
    <d v="2014-12-31T00:00:00"/>
    <n v="7747229000"/>
    <n v="6578435000"/>
    <n v="705477000"/>
    <n v="0"/>
    <n v="34257000"/>
    <x v="0"/>
    <s v="Industrial Conglomerates"/>
    <n v="1168794000"/>
    <n v="739734000"/>
    <n v="429060000"/>
  </r>
  <r>
    <x v="320"/>
    <s v="Year 4"/>
    <d v="2015-12-31T00:00:00"/>
    <n v="7572436000"/>
    <n v="6648771000"/>
    <n v="592863000"/>
    <n v="0"/>
    <n v="34848000"/>
    <x v="0"/>
    <s v="Industrial Conglomerates"/>
    <n v="923665000"/>
    <n v="627711000"/>
    <n v="295954000"/>
  </r>
  <r>
    <x v="321"/>
    <s v="Year 1"/>
    <d v="2012-12-31T00:00:00"/>
    <n v="11224000000"/>
    <n v="6396000000"/>
    <n v="1227000000"/>
    <n v="98000000"/>
    <n v="1001000000"/>
    <x v="8"/>
    <s v="Industrial Gases"/>
    <n v="4828000000"/>
    <n v="2326000000"/>
    <n v="2502000000"/>
  </r>
  <r>
    <x v="321"/>
    <s v="Year 2"/>
    <d v="2013-12-31T00:00:00"/>
    <n v="11925000000"/>
    <n v="6744000000"/>
    <n v="1349000000"/>
    <n v="98000000"/>
    <n v="1109000000"/>
    <x v="8"/>
    <s v="Industrial Gases"/>
    <n v="5181000000"/>
    <n v="2556000000"/>
    <n v="2625000000"/>
  </r>
  <r>
    <x v="321"/>
    <s v="Year 3"/>
    <d v="2014-12-31T00:00:00"/>
    <n v="12273000000"/>
    <n v="6962000000"/>
    <n v="1437000000"/>
    <n v="96000000"/>
    <n v="1170000000"/>
    <x v="8"/>
    <s v="Industrial Gases"/>
    <n v="5311000000"/>
    <n v="2703000000"/>
    <n v="2608000000"/>
  </r>
  <r>
    <x v="321"/>
    <s v="Year 4"/>
    <d v="2015-12-31T00:00:00"/>
    <n v="10776000000"/>
    <n v="5960000000"/>
    <n v="1296000000"/>
    <n v="93000000"/>
    <n v="1106000000"/>
    <x v="8"/>
    <s v="Industrial Gases"/>
    <n v="4816000000"/>
    <n v="2495000000"/>
    <n v="2321000000"/>
  </r>
  <r>
    <x v="322"/>
    <s v="Year 1"/>
    <d v="2013-09-29T00:00:00"/>
    <n v="24866000000"/>
    <n v="9820000000"/>
    <n v="2849000000"/>
    <n v="4967000000"/>
    <n v="0"/>
    <x v="2"/>
    <s v="Semiconductors"/>
    <n v="15046000000"/>
    <n v="7816000000"/>
    <n v="7230000000"/>
  </r>
  <r>
    <x v="322"/>
    <s v="Year 2"/>
    <d v="2014-09-28T00:00:00"/>
    <n v="26487000000"/>
    <n v="10686000000"/>
    <n v="2774000000"/>
    <n v="5477000000"/>
    <n v="0"/>
    <x v="2"/>
    <s v="Semiconductors"/>
    <n v="15801000000"/>
    <n v="8251000000"/>
    <n v="7550000000"/>
  </r>
  <r>
    <x v="322"/>
    <s v="Year 3"/>
    <d v="2015-09-27T00:00:00"/>
    <n v="25281000000"/>
    <n v="10378000000"/>
    <n v="3637000000"/>
    <n v="5490000000"/>
    <n v="0"/>
    <x v="2"/>
    <s v="Semiconductors"/>
    <n v="14903000000"/>
    <n v="9127000000"/>
    <n v="5776000000"/>
  </r>
  <r>
    <x v="322"/>
    <s v="Year 4"/>
    <d v="2016-09-25T00:00:00"/>
    <n v="23554000000"/>
    <n v="9749000000"/>
    <n v="2159000000"/>
    <n v="5151000000"/>
    <n v="0"/>
    <x v="2"/>
    <s v="Semiconductors"/>
    <n v="13805000000"/>
    <n v="7310000000"/>
    <n v="6495000000"/>
  </r>
  <r>
    <x v="323"/>
    <s v="Year 1"/>
    <d v="2014-03-29T00:00:00"/>
    <n v="1148231000"/>
    <n v="743304000"/>
    <n v="180317000"/>
    <n v="197269000"/>
    <n v="0"/>
    <x v="2"/>
    <s v="Semiconductors"/>
    <n v="404927000"/>
    <n v="377586000"/>
    <n v="27341000"/>
  </r>
  <r>
    <x v="323"/>
    <s v="Year 2"/>
    <d v="2015-03-28T00:00:00"/>
    <n v="1710966000"/>
    <n v="1021658000"/>
    <n v="309348000"/>
    <n v="257494000"/>
    <n v="0"/>
    <x v="2"/>
    <s v="Semiconductors"/>
    <n v="689308000"/>
    <n v="566842000"/>
    <n v="122466000"/>
  </r>
  <r>
    <x v="323"/>
    <s v="Year 3"/>
    <d v="2016-04-02T00:00:00"/>
    <n v="2610726000"/>
    <n v="1561173000"/>
    <n v="588822000"/>
    <n v="448763000"/>
    <n v="0"/>
    <x v="2"/>
    <s v="Semiconductors"/>
    <n v="1049553000"/>
    <n v="1037585000"/>
    <n v="11968000"/>
  </r>
  <r>
    <x v="324"/>
    <s v="Year 1"/>
    <d v="2013-12-31T00:00:00"/>
    <n v="6419285000"/>
    <n v="5099484000"/>
    <n v="922340000"/>
    <n v="0"/>
    <n v="0"/>
    <x v="0"/>
    <s v="Industrial Conglomerates"/>
    <n v="1319801000"/>
    <n v="922340000"/>
    <n v="397461000"/>
  </r>
  <r>
    <x v="324"/>
    <s v="Year 2"/>
    <d v="2014-12-31T00:00:00"/>
    <n v="6638774000"/>
    <n v="5253040000"/>
    <n v="1030014000"/>
    <n v="0"/>
    <n v="0"/>
    <x v="0"/>
    <s v="Industrial Conglomerates"/>
    <n v="1385734000"/>
    <n v="1030014000"/>
    <n v="355720000"/>
  </r>
  <r>
    <x v="324"/>
    <s v="Year 3"/>
    <d v="2015-12-31T00:00:00"/>
    <n v="6571893000"/>
    <n v="5086449000"/>
    <n v="961579000"/>
    <n v="0"/>
    <n v="0"/>
    <x v="0"/>
    <s v="Industrial Conglomerates"/>
    <n v="1485444000"/>
    <n v="961579000"/>
    <n v="523865000"/>
  </r>
  <r>
    <x v="324"/>
    <s v="Year 4"/>
    <d v="2016-12-31T00:00:00"/>
    <n v="6786984000"/>
    <n v="5285568000"/>
    <n v="956158000"/>
    <n v="0"/>
    <n v="0"/>
    <x v="0"/>
    <s v="Industrial Conglomerates"/>
    <n v="1501416000"/>
    <n v="956158000"/>
    <n v="545258000"/>
  </r>
  <r>
    <x v="325"/>
    <s v="Year 1"/>
    <d v="2012-12-31T00:00:00"/>
    <n v="7688024000"/>
    <n v="5157434000"/>
    <n v="1011543000"/>
    <n v="0"/>
    <n v="730493000"/>
    <x v="1"/>
    <s v="Hotels, Resorts &amp; Cruise Lines"/>
    <n v="2530590000"/>
    <n v="1742036000"/>
    <n v="788554000"/>
  </r>
  <r>
    <x v="325"/>
    <s v="Year 2"/>
    <d v="2013-12-31T00:00:00"/>
    <n v="7959894000"/>
    <n v="5305270000"/>
    <n v="1044819000"/>
    <n v="0"/>
    <n v="754711000"/>
    <x v="1"/>
    <s v="Hotels, Resorts &amp; Cruise Lines"/>
    <n v="2654624000"/>
    <n v="1799530000"/>
    <n v="855094000"/>
  </r>
  <r>
    <x v="325"/>
    <s v="Year 3"/>
    <d v="2014-12-31T00:00:00"/>
    <n v="8073855000"/>
    <n v="5306281000"/>
    <n v="1048952000"/>
    <n v="0"/>
    <n v="772445000"/>
    <x v="1"/>
    <s v="Hotels, Resorts &amp; Cruise Lines"/>
    <n v="2767574000"/>
    <n v="1821397000"/>
    <n v="946177000"/>
  </r>
  <r>
    <x v="325"/>
    <s v="Year 4"/>
    <d v="2015-12-31T00:00:00"/>
    <n v="8299074000"/>
    <n v="5099393000"/>
    <n v="1086504000"/>
    <n v="0"/>
    <n v="827008000"/>
    <x v="1"/>
    <s v="Hotels, Resorts &amp; Cruise Lines"/>
    <n v="3199681000"/>
    <n v="1913512000"/>
    <n v="1286169000"/>
  </r>
  <r>
    <x v="326"/>
    <s v="Year 1"/>
    <d v="2013-12-31T00:00:00"/>
    <n v="2104745000"/>
    <n v="155355000"/>
    <n v="346393000"/>
    <n v="859947000"/>
    <n v="0"/>
    <x v="3"/>
    <s v="Biotechnology"/>
    <n v="1949390000"/>
    <n v="1206340000"/>
    <n v="743050000"/>
  </r>
  <r>
    <x v="326"/>
    <s v="Year 2"/>
    <d v="2014-12-31T00:00:00"/>
    <n v="2819557000"/>
    <n v="205018000"/>
    <n v="519267000"/>
    <n v="1271353000"/>
    <n v="0"/>
    <x v="3"/>
    <s v="Biotechnology"/>
    <n v="2614539000"/>
    <n v="1790620000"/>
    <n v="823919000"/>
  </r>
  <r>
    <x v="326"/>
    <s v="Year 3"/>
    <d v="2015-12-31T00:00:00"/>
    <n v="4103728000"/>
    <n v="392709000"/>
    <n v="838526000"/>
    <n v="1620577000"/>
    <n v="0"/>
    <x v="3"/>
    <s v="Biotechnology"/>
    <n v="3711019000"/>
    <n v="2459103000"/>
    <n v="1251916000"/>
  </r>
  <r>
    <x v="326"/>
    <s v="Year 4"/>
    <d v="2016-12-31T00:00:00"/>
    <n v="4860427000"/>
    <n v="299694000"/>
    <n v="1177697000"/>
    <n v="2052295000"/>
    <n v="0"/>
    <x v="3"/>
    <s v="Biotechnology"/>
    <n v="4560733000"/>
    <n v="3229992000"/>
    <n v="1330741000"/>
  </r>
  <r>
    <x v="327"/>
    <s v="Year 1"/>
    <d v="2013-12-31T00:00:00"/>
    <n v="4245895000"/>
    <n v="2522803000"/>
    <n v="1324815000"/>
    <n v="0"/>
    <n v="1700000"/>
    <x v="0"/>
    <s v="Human Resource &amp; Employment Services"/>
    <n v="1723092000"/>
    <n v="1326515000"/>
    <n v="396577000"/>
  </r>
  <r>
    <x v="327"/>
    <s v="Year 2"/>
    <d v="2014-12-31T00:00:00"/>
    <n v="4695014000"/>
    <n v="2772098000"/>
    <n v="1425734000"/>
    <n v="0"/>
    <n v="557000"/>
    <x v="0"/>
    <s v="Human Resource &amp; Employment Services"/>
    <n v="1922916000"/>
    <n v="1426291000"/>
    <n v="496625000"/>
  </r>
  <r>
    <x v="327"/>
    <s v="Year 3"/>
    <d v="2015-12-31T00:00:00"/>
    <n v="5094933000"/>
    <n v="2980462000"/>
    <n v="1533799000"/>
    <n v="0"/>
    <n v="192000"/>
    <x v="0"/>
    <s v="Human Resource &amp; Employment Services"/>
    <n v="2114471000"/>
    <n v="1533991000"/>
    <n v="580480000"/>
  </r>
  <r>
    <x v="327"/>
    <s v="Year 4"/>
    <d v="2016-12-31T00:00:00"/>
    <n v="5250399000"/>
    <n v="3089723000"/>
    <n v="1606217000"/>
    <n v="0"/>
    <n v="1237000"/>
    <x v="0"/>
    <s v="Human Resource &amp; Employment Services"/>
    <n v="2160676000"/>
    <n v="1607454000"/>
    <n v="553222000"/>
  </r>
  <r>
    <x v="328"/>
    <s v="Year 1"/>
    <d v="2013-02-28T00:00:00"/>
    <n v="1328817000"/>
    <n v="200600000"/>
    <n v="660887000"/>
    <n v="263150000"/>
    <n v="0"/>
    <x v="2"/>
    <s v="Systems Software"/>
    <n v="1128217000"/>
    <n v="924037000"/>
    <n v="204180000"/>
  </r>
  <r>
    <x v="328"/>
    <s v="Year 2"/>
    <d v="2014-02-28T00:00:00"/>
    <n v="1534615000"/>
    <n v="232600000"/>
    <n v="750292000"/>
    <n v="317263000"/>
    <n v="0"/>
    <x v="2"/>
    <s v="Systems Software"/>
    <n v="1302015000"/>
    <n v="1067555000"/>
    <n v="234460000"/>
  </r>
  <r>
    <x v="328"/>
    <s v="Year 3"/>
    <d v="2015-02-28T00:00:00"/>
    <n v="1789489000"/>
    <n v="273199000"/>
    <n v="898440000"/>
    <n v="367856000"/>
    <n v="0"/>
    <x v="2"/>
    <s v="Systems Software"/>
    <n v="1516290000"/>
    <n v="1266296000"/>
    <n v="249994000"/>
  </r>
  <r>
    <x v="328"/>
    <s v="Year 4"/>
    <d v="2016-02-29T00:00:00"/>
    <n v="2052230000"/>
    <n v="309629000"/>
    <n v="1041231000"/>
    <n v="413322000"/>
    <n v="0"/>
    <x v="2"/>
    <s v="Systems Software"/>
    <n v="1742601000"/>
    <n v="1454553000"/>
    <n v="288048000"/>
  </r>
  <r>
    <x v="329"/>
    <s v="Year 1"/>
    <d v="2013-03-30T00:00:00"/>
    <n v="6945000000"/>
    <n v="2789000000"/>
    <n v="2971000000"/>
    <n v="0"/>
    <n v="27000000"/>
    <x v="1"/>
    <s v="Apparel, Accessories &amp; Luxury Goods"/>
    <n v="4156000000"/>
    <n v="2998000000"/>
    <n v="1158000000"/>
  </r>
  <r>
    <x v="329"/>
    <s v="Year 2"/>
    <d v="2014-03-29T00:00:00"/>
    <n v="7450000000"/>
    <n v="3140000000"/>
    <n v="3142000000"/>
    <n v="0"/>
    <n v="35000000"/>
    <x v="1"/>
    <s v="Apparel, Accessories &amp; Luxury Goods"/>
    <n v="4310000000"/>
    <n v="3177000000"/>
    <n v="1133000000"/>
  </r>
  <r>
    <x v="329"/>
    <s v="Year 3"/>
    <d v="2015-03-28T00:00:00"/>
    <n v="7620000000"/>
    <n v="3242000000"/>
    <n v="3301000000"/>
    <n v="0"/>
    <n v="25000000"/>
    <x v="1"/>
    <s v="Apparel, Accessories &amp; Luxury Goods"/>
    <n v="4378000000"/>
    <n v="3326000000"/>
    <n v="1052000000"/>
  </r>
  <r>
    <x v="329"/>
    <s v="Year 4"/>
    <d v="2016-04-02T00:00:00"/>
    <n v="7405000000"/>
    <n v="3218000000"/>
    <n v="3389000000"/>
    <n v="0"/>
    <n v="24000000"/>
    <x v="1"/>
    <s v="Apparel, Accessories &amp; Luxury Goods"/>
    <n v="4187000000"/>
    <n v="3413000000"/>
    <n v="774000000"/>
  </r>
  <r>
    <x v="330"/>
    <s v="Year 1"/>
    <d v="2013-09-30T00:00:00"/>
    <n v="6351900000"/>
    <n v="3778100000"/>
    <n v="1537700000"/>
    <n v="0"/>
    <n v="0"/>
    <x v="0"/>
    <s v="Industrial Conglomerates"/>
    <n v="2573800000"/>
    <n v="1537700000"/>
    <n v="1036100000"/>
  </r>
  <r>
    <x v="330"/>
    <s v="Year 2"/>
    <d v="2014-09-30T00:00:00"/>
    <n v="6623500000"/>
    <n v="3869600000"/>
    <n v="1570100000"/>
    <n v="0"/>
    <n v="0"/>
    <x v="0"/>
    <s v="Industrial Conglomerates"/>
    <n v="2753900000"/>
    <n v="1570100000"/>
    <n v="1183800000"/>
  </r>
  <r>
    <x v="330"/>
    <s v="Year 3"/>
    <d v="2015-09-30T00:00:00"/>
    <n v="6307900000"/>
    <n v="3604800000"/>
    <n v="1506400000"/>
    <n v="0"/>
    <n v="0"/>
    <x v="0"/>
    <s v="Industrial Conglomerates"/>
    <n v="2703100000"/>
    <n v="1506400000"/>
    <n v="1196700000"/>
  </r>
  <r>
    <x v="330"/>
    <s v="Year 4"/>
    <d v="2016-09-30T00:00:00"/>
    <n v="5879500000"/>
    <n v="3404000000"/>
    <n v="1467400000"/>
    <n v="0"/>
    <n v="0"/>
    <x v="0"/>
    <s v="Industrial Conglomerates"/>
    <n v="2475500000"/>
    <n v="1467400000"/>
    <n v="1008100000"/>
  </r>
  <r>
    <x v="331"/>
    <s v="Year 1"/>
    <d v="2012-12-31T00:00:00"/>
    <n v="2993489000"/>
    <n v="1321772000"/>
    <n v="914130000"/>
    <n v="0"/>
    <n v="0"/>
    <x v="0"/>
    <s v="Industrial Conglomerates"/>
    <n v="1671717000"/>
    <n v="914130000"/>
    <n v="757587000"/>
  </r>
  <r>
    <x v="331"/>
    <s v="Year 2"/>
    <d v="2013-12-31T00:00:00"/>
    <n v="3238128000"/>
    <n v="1355200000"/>
    <n v="1040567000"/>
    <n v="0"/>
    <n v="0"/>
    <x v="0"/>
    <s v="Industrial Conglomerates"/>
    <n v="1882928000"/>
    <n v="1040567000"/>
    <n v="842361000"/>
  </r>
  <r>
    <x v="331"/>
    <s v="Year 3"/>
    <d v="2014-12-31T00:00:00"/>
    <n v="3549494000"/>
    <n v="1447595000"/>
    <n v="1102426000"/>
    <n v="0"/>
    <n v="0"/>
    <x v="0"/>
    <s v="Industrial Conglomerates"/>
    <n v="2101899000"/>
    <n v="1102426000"/>
    <n v="999473000"/>
  </r>
  <r>
    <x v="331"/>
    <s v="Year 4"/>
    <d v="2015-12-31T00:00:00"/>
    <n v="3582395000"/>
    <n v="1417749000"/>
    <n v="1136728000"/>
    <n v="0"/>
    <n v="0"/>
    <x v="0"/>
    <s v="Industrial Conglomerates"/>
    <n v="2164646000"/>
    <n v="1136728000"/>
    <n v="1027918000"/>
  </r>
  <r>
    <x v="332"/>
    <s v="Year 1"/>
    <d v="2013-02-02T00:00:00"/>
    <n v="9721065000"/>
    <n v="7011428000"/>
    <n v="1437886000"/>
    <n v="0"/>
    <n v="0"/>
    <x v="1"/>
    <s v="Apparel Retail"/>
    <n v="2709637000"/>
    <n v="1437886000"/>
    <n v="1271751000"/>
  </r>
  <r>
    <x v="332"/>
    <s v="Year 2"/>
    <d v="2014-02-01T00:00:00"/>
    <n v="10230353000"/>
    <n v="7360924000"/>
    <n v="1526366000"/>
    <n v="0"/>
    <n v="0"/>
    <x v="1"/>
    <s v="Apparel Retail"/>
    <n v="2869429000"/>
    <n v="1526366000"/>
    <n v="1343063000"/>
  </r>
  <r>
    <x v="332"/>
    <s v="Year 3"/>
    <d v="2015-01-31T00:00:00"/>
    <n v="11041677000"/>
    <n v="7937956000"/>
    <n v="1615371000"/>
    <n v="0"/>
    <n v="0"/>
    <x v="1"/>
    <s v="Apparel Retail"/>
    <n v="3103721000"/>
    <n v="1615371000"/>
    <n v="1488350000"/>
  </r>
  <r>
    <x v="332"/>
    <s v="Year 4"/>
    <d v="2016-01-30T00:00:00"/>
    <n v="11939999000"/>
    <n v="8576873000"/>
    <n v="1738755000"/>
    <n v="0"/>
    <n v="0"/>
    <x v="1"/>
    <s v="Apparel Retail"/>
    <n v="3363126000"/>
    <n v="1738755000"/>
    <n v="1624371000"/>
  </r>
  <r>
    <x v="333"/>
    <s v="Year 1"/>
    <d v="2012-12-31T00:00:00"/>
    <n v="1367135000"/>
    <n v="328784000"/>
    <n v="248136000"/>
    <n v="0"/>
    <n v="445228000"/>
    <x v="9"/>
    <s v="Oil &amp; Gas Exploration &amp; Production"/>
    <n v="1038351000"/>
    <n v="693364000"/>
    <n v="344987000"/>
  </r>
  <r>
    <x v="333"/>
    <s v="Year 2"/>
    <d v="2013-12-31T00:00:00"/>
    <n v="1832253000"/>
    <n v="516119000"/>
    <n v="391707000"/>
    <n v="0"/>
    <n v="492397000"/>
    <x v="9"/>
    <s v="Oil &amp; Gas Exploration &amp; Production"/>
    <n v="1316134000"/>
    <n v="884104000"/>
    <n v="432030000"/>
  </r>
  <r>
    <x v="333"/>
    <s v="Year 3"/>
    <d v="2014-12-31T00:00:00"/>
    <n v="2042537000"/>
    <n v="605752000"/>
    <n v="191802000"/>
    <n v="0"/>
    <n v="551032000"/>
    <x v="9"/>
    <s v="Oil &amp; Gas Exploration &amp; Production"/>
    <n v="1436785000"/>
    <n v="742834000"/>
    <n v="693951000"/>
  </r>
  <r>
    <x v="333"/>
    <s v="Year 4"/>
    <d v="2015-12-31T00:00:00"/>
    <n v="1181704000"/>
    <n v="648968000"/>
    <n v="165318000"/>
    <n v="0"/>
    <n v="581155000"/>
    <x v="9"/>
    <s v="Oil &amp; Gas Exploration &amp; Production"/>
    <n v="532736000"/>
    <n v="746473000"/>
    <n v="-213737000"/>
  </r>
  <r>
    <x v="334"/>
    <s v="Year 1"/>
    <d v="2013-12-31T00:00:00"/>
    <n v="8417200000"/>
    <n v="5234700000"/>
    <n v="1088100000"/>
    <n v="0"/>
    <n v="877400000"/>
    <x v="0"/>
    <s v="Industrial Conglomerates"/>
    <n v="3182500000"/>
    <n v="1965500000"/>
    <n v="1217000000"/>
  </r>
  <r>
    <x v="334"/>
    <s v="Year 2"/>
    <d v="2014-12-31T00:00:00"/>
    <n v="8803300000"/>
    <n v="5643100000"/>
    <n v="998400000"/>
    <n v="0"/>
    <n v="906900000"/>
    <x v="0"/>
    <s v="Industrial Conglomerates"/>
    <n v="3160200000"/>
    <n v="1905300000"/>
    <n v="1254900000"/>
  </r>
  <r>
    <x v="334"/>
    <s v="Year 3"/>
    <d v="2015-12-31T00:00:00"/>
    <n v="9115000000"/>
    <n v="5518600000"/>
    <n v="1067000000"/>
    <n v="0"/>
    <n v="970600000"/>
    <x v="0"/>
    <s v="Industrial Conglomerates"/>
    <n v="3596400000"/>
    <n v="2037600000"/>
    <n v="1558800000"/>
  </r>
  <r>
    <x v="334"/>
    <s v="Year 4"/>
    <d v="2016-12-31T00:00:00"/>
    <n v="9387700000"/>
    <n v="5764000000"/>
    <n v="1054500000"/>
    <n v="0"/>
    <n v="991100000"/>
    <x v="0"/>
    <s v="Industrial Conglomerates"/>
    <n v="3623700000"/>
    <n v="2045600000"/>
    <n v="1578100000"/>
  </r>
  <r>
    <x v="335"/>
    <s v="Year 1"/>
    <d v="2013-09-29T00:00:00"/>
    <n v="14866800000"/>
    <n v="6382300000"/>
    <n v="5655800000"/>
    <n v="0"/>
    <n v="621400000"/>
    <x v="1"/>
    <s v="Restaurants"/>
    <n v="8484500000"/>
    <n v="6277200000"/>
    <n v="2207300000"/>
  </r>
  <r>
    <x v="335"/>
    <s v="Year 2"/>
    <d v="2014-09-28T00:00:00"/>
    <n v="16447800000"/>
    <n v="6858800000"/>
    <n v="6086800000"/>
    <n v="0"/>
    <n v="709600000"/>
    <x v="1"/>
    <s v="Restaurants"/>
    <n v="9589000000"/>
    <n v="6796400000"/>
    <n v="2792600000"/>
  </r>
  <r>
    <x v="335"/>
    <s v="Year 3"/>
    <d v="2015-09-27T00:00:00"/>
    <n v="19162700000"/>
    <n v="7787500000"/>
    <n v="7130200000"/>
    <n v="0"/>
    <n v="893900000"/>
    <x v="1"/>
    <s v="Restaurants"/>
    <n v="11375200000"/>
    <n v="8024100000"/>
    <n v="3351100000"/>
  </r>
  <r>
    <x v="335"/>
    <s v="Year 4"/>
    <d v="2016-10-02T00:00:00"/>
    <n v="21315900000"/>
    <n v="8511100000"/>
    <n v="7970300000"/>
    <n v="0"/>
    <n v="980800000"/>
    <x v="1"/>
    <s v="Restaurants"/>
    <n v="12804800000"/>
    <n v="8951100000"/>
    <n v="3853700000"/>
  </r>
  <r>
    <x v="336"/>
    <s v="Year 1"/>
    <d v="2012-12-31T00:00:00"/>
    <n v="4176000000"/>
    <n v="2754000000"/>
    <n v="207000000"/>
    <n v="0"/>
    <n v="356000000"/>
    <x v="5"/>
    <s v="MultiUtilities"/>
    <n v="1422000000"/>
    <n v="563000000"/>
    <n v="859000000"/>
  </r>
  <r>
    <x v="336"/>
    <s v="Year 2"/>
    <d v="2013-12-31T00:00:00"/>
    <n v="4495000000"/>
    <n v="2987000000"/>
    <n v="220000000"/>
    <n v="0"/>
    <n v="378000000"/>
    <x v="5"/>
    <s v="MultiUtilities"/>
    <n v="1508000000"/>
    <n v="598000000"/>
    <n v="910000000"/>
  </r>
  <r>
    <x v="336"/>
    <s v="Year 3"/>
    <d v="2014-12-31T00:00:00"/>
    <n v="4951000000"/>
    <n v="3331000000"/>
    <n v="229000000"/>
    <n v="0"/>
    <n v="384000000"/>
    <x v="5"/>
    <s v="MultiUtilities"/>
    <n v="1620000000"/>
    <n v="613000000"/>
    <n v="1007000000"/>
  </r>
  <r>
    <x v="336"/>
    <s v="Year 4"/>
    <d v="2015-12-31T00:00:00"/>
    <n v="4380000000"/>
    <n v="2714000000"/>
    <n v="234000000"/>
    <n v="0"/>
    <n v="358000000"/>
    <x v="5"/>
    <s v="MultiUtilities"/>
    <n v="1666000000"/>
    <n v="592000000"/>
    <n v="1074000000"/>
  </r>
  <r>
    <x v="337"/>
    <s v="Year 1"/>
    <d v="2012-12-31T00:00:00"/>
    <n v="5075000000"/>
    <n v="2417000000"/>
    <n v="337000000"/>
    <n v="0"/>
    <n v="746000000"/>
    <x v="9"/>
    <s v="Oil &amp; Gas Refining &amp; Marketing &amp; Transportation"/>
    <n v="2658000000"/>
    <n v="1083000000"/>
    <n v="1575000000"/>
  </r>
  <r>
    <x v="337"/>
    <s v="Year 2"/>
    <d v="2013-12-31T00:00:00"/>
    <n v="5518000000"/>
    <n v="2707000000"/>
    <n v="373000000"/>
    <n v="0"/>
    <n v="772000000"/>
    <x v="9"/>
    <s v="Oil &amp; Gas Refining &amp; Marketing &amp; Transportation"/>
    <n v="2811000000"/>
    <n v="1145000000"/>
    <n v="1666000000"/>
  </r>
  <r>
    <x v="337"/>
    <s v="Year 3"/>
    <d v="2014-12-31T00:00:00"/>
    <n v="5903000000"/>
    <n v="2790000000"/>
    <n v="393000000"/>
    <n v="0"/>
    <n v="796000000"/>
    <x v="9"/>
    <s v="Oil &amp; Gas Refining &amp; Marketing &amp; Transportation"/>
    <n v="3113000000"/>
    <n v="1189000000"/>
    <n v="1924000000"/>
  </r>
  <r>
    <x v="337"/>
    <s v="Year 4"/>
    <d v="2015-12-31T00:00:00"/>
    <n v="5234000000"/>
    <n v="2335000000"/>
    <n v="353000000"/>
    <n v="0"/>
    <n v="764000000"/>
    <x v="9"/>
    <s v="Oil &amp; Gas Refining &amp; Marketing &amp; Transportation"/>
    <n v="2899000000"/>
    <n v="1117000000"/>
    <n v="1782000000"/>
  </r>
  <r>
    <x v="338"/>
    <s v="Year 1"/>
    <d v="2013-12-31T00:00:00"/>
    <n v="7690800000"/>
    <n v="5100900000"/>
    <n v="1788300000"/>
    <n v="0"/>
    <n v="123200000"/>
    <x v="8"/>
    <s v="Paper Packaging"/>
    <n v="2589900000"/>
    <n v="1911500000"/>
    <n v="678400000"/>
  </r>
  <r>
    <x v="338"/>
    <s v="Year 2"/>
    <d v="2014-12-31T00:00:00"/>
    <n v="7750500000"/>
    <n v="5062900000"/>
    <n v="1849400000"/>
    <n v="0"/>
    <n v="118900000"/>
    <x v="8"/>
    <s v="Paper Packaging"/>
    <n v="2687600000"/>
    <n v="1968300000"/>
    <n v="719300000"/>
  </r>
  <r>
    <x v="338"/>
    <s v="Year 3"/>
    <d v="2015-12-31T00:00:00"/>
    <n v="7031500000"/>
    <n v="4444900000"/>
    <n v="1656200000"/>
    <n v="0"/>
    <n v="88700000"/>
    <x v="8"/>
    <s v="Paper Packaging"/>
    <n v="2586600000"/>
    <n v="1744900000"/>
    <n v="841700000"/>
  </r>
  <r>
    <x v="338"/>
    <s v="Year 4"/>
    <d v="2016-12-31T00:00:00"/>
    <n v="6778300000"/>
    <n v="4246700000"/>
    <n v="1604400000"/>
    <n v="0"/>
    <n v="94900000"/>
    <x v="8"/>
    <s v="Paper Packaging"/>
    <n v="2531600000"/>
    <n v="1699300000"/>
    <n v="832300000"/>
  </r>
  <r>
    <x v="339"/>
    <s v="Year 1"/>
    <d v="2012-12-31T00:00:00"/>
    <n v="9534462000"/>
    <n v="5328236000"/>
    <n v="3264896000"/>
    <n v="0"/>
    <n v="0"/>
    <x v="8"/>
    <s v="Specialty Chemicals"/>
    <n v="4206226000"/>
    <n v="3264896000"/>
    <n v="941330000"/>
  </r>
  <r>
    <x v="339"/>
    <s v="Year 2"/>
    <d v="2013-12-31T00:00:00"/>
    <n v="10185532000"/>
    <n v="5568966000"/>
    <n v="3470200000"/>
    <n v="0"/>
    <n v="0"/>
    <x v="8"/>
    <s v="Specialty Chemicals"/>
    <n v="4616566000"/>
    <n v="3470200000"/>
    <n v="1146366000"/>
  </r>
  <r>
    <x v="339"/>
    <s v="Year 3"/>
    <d v="2014-12-31T00:00:00"/>
    <n v="11129533000"/>
    <n v="5965049000"/>
    <n v="3860448000"/>
    <n v="0"/>
    <n v="0"/>
    <x v="8"/>
    <s v="Specialty Chemicals"/>
    <n v="5164484000"/>
    <n v="3860448000"/>
    <n v="1304036000"/>
  </r>
  <r>
    <x v="339"/>
    <s v="Year 4"/>
    <d v="2015-12-31T00:00:00"/>
    <n v="11339304000"/>
    <n v="5780078000"/>
    <n v="3943786000"/>
    <n v="0"/>
    <n v="0"/>
    <x v="8"/>
    <s v="Specialty Chemicals"/>
    <n v="5559226000"/>
    <n v="3943786000"/>
    <n v="1615440000"/>
  </r>
  <r>
    <x v="340"/>
    <s v="Year 1"/>
    <d v="2013-02-02T00:00:00"/>
    <n v="3983400000"/>
    <n v="2446000000"/>
    <n v="976900000"/>
    <n v="0"/>
    <n v="0"/>
    <x v="1"/>
    <s v="Specialty Stores"/>
    <n v="1537400000"/>
    <n v="976900000"/>
    <n v="560500000"/>
  </r>
  <r>
    <x v="340"/>
    <s v="Year 2"/>
    <d v="2014-02-01T00:00:00"/>
    <n v="4209200000"/>
    <n v="2628700000"/>
    <n v="1010000000"/>
    <n v="0"/>
    <n v="0"/>
    <x v="1"/>
    <s v="Specialty Stores"/>
    <n v="1580500000"/>
    <n v="1010000000"/>
    <n v="570500000"/>
  </r>
  <r>
    <x v="340"/>
    <s v="Year 3"/>
    <d v="2015-02-02T00:00:00"/>
    <n v="5736300000"/>
    <n v="3662100000"/>
    <n v="1497600000"/>
    <n v="0"/>
    <n v="0"/>
    <x v="1"/>
    <s v="Specialty Stores"/>
    <n v="2074200000"/>
    <n v="1497600000"/>
    <n v="576600000"/>
  </r>
  <r>
    <x v="340"/>
    <s v="Year 4"/>
    <d v="2016-01-30T00:00:00"/>
    <n v="6550200000"/>
    <n v="4109800000"/>
    <n v="1736700000"/>
    <n v="0"/>
    <n v="0"/>
    <x v="1"/>
    <s v="Specialty Stores"/>
    <n v="2440400000"/>
    <n v="1736700000"/>
    <n v="703700000"/>
  </r>
  <r>
    <x v="341"/>
    <s v="Year 1"/>
    <d v="2013-04-30T00:00:00"/>
    <n v="5897700000"/>
    <n v="3870100000"/>
    <n v="1020400000"/>
    <n v="0"/>
    <n v="96800000"/>
    <x v="4"/>
    <s v="Packaged Foods &amp; Meats"/>
    <n v="2027600000"/>
    <n v="1117200000"/>
    <n v="910400000"/>
  </r>
  <r>
    <x v="341"/>
    <s v="Year 2"/>
    <d v="2014-04-30T00:00:00"/>
    <n v="5610600000"/>
    <n v="3579600000"/>
    <n v="1013100000"/>
    <n v="0"/>
    <n v="98900000"/>
    <x v="4"/>
    <s v="Packaged Foods &amp; Meats"/>
    <n v="2031000000"/>
    <n v="1112000000"/>
    <n v="919000000"/>
  </r>
  <r>
    <x v="341"/>
    <s v="Year 3"/>
    <d v="2015-04-30T00:00:00"/>
    <n v="5692700000"/>
    <n v="3724000000"/>
    <n v="1085800000"/>
    <n v="0"/>
    <n v="110900000"/>
    <x v="4"/>
    <s v="Packaged Foods &amp; Meats"/>
    <n v="1968700000"/>
    <n v="1196700000"/>
    <n v="772000000"/>
  </r>
  <r>
    <x v="341"/>
    <s v="Year 4"/>
    <d v="2016-04-30T00:00:00"/>
    <n v="7811200000"/>
    <n v="4843400000"/>
    <n v="1614100000"/>
    <n v="0"/>
    <n v="208400000"/>
    <x v="4"/>
    <s v="Packaged Foods &amp; Meats"/>
    <n v="2967800000"/>
    <n v="1822500000"/>
    <n v="1145300000"/>
  </r>
  <r>
    <x v="342"/>
    <s v="Year 1"/>
    <d v="2012-12-31T00:00:00"/>
    <n v="1290052000"/>
    <n v="470243000"/>
    <n v="120310000"/>
    <n v="0"/>
    <n v="330418000"/>
    <x v="7"/>
    <s v="Office REITs"/>
    <n v="819809000"/>
    <n v="450728000"/>
    <n v="369081000"/>
  </r>
  <r>
    <x v="342"/>
    <s v="Year 2"/>
    <d v="2013-12-31T00:00:00"/>
    <n v="1371065000"/>
    <n v="479665000"/>
    <n v="122128000"/>
    <n v="0"/>
    <n v="340316000"/>
    <x v="7"/>
    <s v="Office REITs"/>
    <n v="891400000"/>
    <n v="462444000"/>
    <n v="428956000"/>
  </r>
  <r>
    <x v="342"/>
    <s v="Year 3"/>
    <d v="2014-12-31T00:00:00"/>
    <n v="1519978000"/>
    <n v="500126000"/>
    <n v="133502000"/>
    <n v="0"/>
    <n v="393987000"/>
    <x v="7"/>
    <s v="Office REITs"/>
    <n v="1019852000"/>
    <n v="527489000"/>
    <n v="492363000"/>
  </r>
  <r>
    <x v="342"/>
    <s v="Year 4"/>
    <d v="2015-12-31T00:00:00"/>
    <n v="1662829000"/>
    <n v="534326000"/>
    <n v="139137000"/>
    <n v="0"/>
    <n v="588235000"/>
    <x v="7"/>
    <s v="Office REITs"/>
    <n v="1128503000"/>
    <n v="727372000"/>
    <n v="401131000"/>
  </r>
  <r>
    <x v="343"/>
    <s v="Year 1"/>
    <d v="2013-12-31T00:00:00"/>
    <n v="3237500000"/>
    <n v="1638900000"/>
    <n v="1012400000"/>
    <n v="0"/>
    <n v="0"/>
    <x v="1"/>
    <s v="Household Appliances"/>
    <n v="1598600000"/>
    <n v="1012400000"/>
    <n v="586200000"/>
  </r>
  <r>
    <x v="343"/>
    <s v="Year 2"/>
    <d v="2015-01-03T00:00:00"/>
    <n v="3492600000"/>
    <n v="1759200000"/>
    <n v="1048700000"/>
    <n v="0"/>
    <n v="0"/>
    <x v="1"/>
    <s v="Household Appliances"/>
    <n v="1733400000"/>
    <n v="1048700000"/>
    <n v="684700000"/>
  </r>
  <r>
    <x v="343"/>
    <s v="Year 3"/>
    <d v="2016-01-02T00:00:00"/>
    <n v="3593100000"/>
    <n v="1774600000"/>
    <n v="1053700000"/>
    <n v="0"/>
    <n v="0"/>
    <x v="1"/>
    <s v="Household Appliances"/>
    <n v="1818500000"/>
    <n v="1053700000"/>
    <n v="764800000"/>
  </r>
  <r>
    <x v="343"/>
    <s v="Year 4"/>
    <d v="2016-12-31T00:00:00"/>
    <n v="3711800000"/>
    <n v="1803500000"/>
    <n v="1054100000"/>
    <n v="0"/>
    <n v="0"/>
    <x v="1"/>
    <s v="Household Appliances"/>
    <n v="1908300000"/>
    <n v="1054100000"/>
    <n v="854200000"/>
  </r>
  <r>
    <x v="344"/>
    <s v="Year 1"/>
    <d v="2012-12-31T00:00:00"/>
    <n v="2307182000"/>
    <n v="610836000"/>
    <n v="655473000"/>
    <n v="0"/>
    <n v="107591000"/>
    <x v="1"/>
    <s v="Broadcasting &amp; Cable TV"/>
    <n v="1696346000"/>
    <n v="763064000"/>
    <n v="933282000"/>
  </r>
  <r>
    <x v="344"/>
    <s v="Year 2"/>
    <d v="2013-12-31T00:00:00"/>
    <n v="2530809000"/>
    <n v="699294000"/>
    <n v="729055000"/>
    <n v="0"/>
    <n v="117580000"/>
    <x v="1"/>
    <s v="Broadcasting &amp; Cable TV"/>
    <n v="1831515000"/>
    <n v="846635000"/>
    <n v="984880000"/>
  </r>
  <r>
    <x v="344"/>
    <s v="Year 3"/>
    <d v="2014-12-31T00:00:00"/>
    <n v="2665456000"/>
    <n v="778896000"/>
    <n v="764799000"/>
    <n v="0"/>
    <n v="128582000"/>
    <x v="1"/>
    <s v="Broadcasting &amp; Cable TV"/>
    <n v="1886560000"/>
    <n v="893381000"/>
    <n v="993179000"/>
  </r>
  <r>
    <x v="344"/>
    <s v="Year 4"/>
    <d v="2015-12-31T00:00:00"/>
    <n v="3018227000"/>
    <n v="987357000"/>
    <n v="785179000"/>
    <n v="0"/>
    <n v="137596000"/>
    <x v="1"/>
    <s v="Broadcasting &amp; Cable TV"/>
    <n v="2030870000"/>
    <n v="922775000"/>
    <n v="1108095000"/>
  </r>
  <r>
    <x v="345"/>
    <s v="Year 1"/>
    <d v="2012-12-31T00:00:00"/>
    <n v="16537000000"/>
    <n v="9373000000"/>
    <n v="914000000"/>
    <n v="0"/>
    <n v="1787000000"/>
    <x v="5"/>
    <s v="Electric Utilities"/>
    <n v="7164000000"/>
    <n v="2701000000"/>
    <n v="4463000000"/>
  </r>
  <r>
    <x v="345"/>
    <s v="Year 2"/>
    <d v="2013-12-31T00:00:00"/>
    <n v="17087000000"/>
    <n v="9817000000"/>
    <n v="934000000"/>
    <n v="0"/>
    <n v="1901000000"/>
    <x v="5"/>
    <s v="Electric Utilities"/>
    <n v="7270000000"/>
    <n v="2835000000"/>
    <n v="4435000000"/>
  </r>
  <r>
    <x v="345"/>
    <s v="Year 3"/>
    <d v="2014-12-31T00:00:00"/>
    <n v="18467000000"/>
    <n v="11031000000"/>
    <n v="981000000"/>
    <n v="0"/>
    <n v="1945000000"/>
    <x v="5"/>
    <s v="Electric Utilities"/>
    <n v="7436000000"/>
    <n v="2926000000"/>
    <n v="4510000000"/>
  </r>
  <r>
    <x v="345"/>
    <s v="Year 4"/>
    <d v="2015-12-31T00:00:00"/>
    <n v="17489000000"/>
    <n v="9811000000"/>
    <n v="997000000"/>
    <n v="0"/>
    <n v="2034000000"/>
    <x v="5"/>
    <s v="Electric Utilities"/>
    <n v="7678000000"/>
    <n v="3031000000"/>
    <n v="4647000000"/>
  </r>
  <r>
    <x v="346"/>
    <s v="Year 1"/>
    <d v="2012-12-31T00:00:00"/>
    <n v="4256157000"/>
    <n v="800380000"/>
    <n v="376687000"/>
    <n v="0"/>
    <n v="1068382000"/>
    <x v="7"/>
    <s v="REITs"/>
    <n v="3455777000"/>
    <n v="1445069000"/>
    <n v="2010708000"/>
  </r>
  <r>
    <x v="346"/>
    <s v="Year 2"/>
    <d v="2013-12-31T00:00:00"/>
    <n v="4543849000"/>
    <n v="837946000"/>
    <n v="402369000"/>
    <n v="0"/>
    <n v="1107700000"/>
    <x v="7"/>
    <s v="REITs"/>
    <n v="3705903000"/>
    <n v="1510069000"/>
    <n v="2195834000"/>
  </r>
  <r>
    <x v="346"/>
    <s v="Year 3"/>
    <d v="2014-12-31T00:00:00"/>
    <n v="4870818000"/>
    <n v="882803000"/>
    <n v="446845000"/>
    <n v="0"/>
    <n v="1143827000"/>
    <x v="7"/>
    <s v="REITs"/>
    <n v="3988015000"/>
    <n v="1590672000"/>
    <n v="2397343000"/>
  </r>
  <r>
    <x v="346"/>
    <s v="Year 4"/>
    <d v="2015-12-31T00:00:00"/>
    <n v="5266103000"/>
    <n v="960192000"/>
    <n v="452835000"/>
    <n v="0"/>
    <n v="1177568000"/>
    <x v="7"/>
    <s v="REITs"/>
    <n v="4305911000"/>
    <n v="1630403000"/>
    <n v="2675508000"/>
  </r>
  <r>
    <x v="347"/>
    <s v="Year 1"/>
    <d v="2013-02-02T00:00:00"/>
    <n v="24380510000"/>
    <n v="17889249000"/>
    <n v="4884284000"/>
    <n v="0"/>
    <n v="78900000"/>
    <x v="1"/>
    <s v="Specialty Stores"/>
    <n v="6491261000"/>
    <n v="4963184000"/>
    <n v="1528077000"/>
  </r>
  <r>
    <x v="347"/>
    <s v="Year 2"/>
    <d v="2014-02-01T00:00:00"/>
    <n v="23114000000"/>
    <n v="17082000000"/>
    <n v="4735000000"/>
    <n v="0"/>
    <n v="55000000"/>
    <x v="1"/>
    <s v="Specialty Stores"/>
    <n v="6032000000"/>
    <n v="4790000000"/>
    <n v="1242000000"/>
  </r>
  <r>
    <x v="347"/>
    <s v="Year 3"/>
    <d v="2015-01-31T00:00:00"/>
    <n v="22492000000"/>
    <n v="16691000000"/>
    <n v="4816000000"/>
    <n v="0"/>
    <n v="62000000"/>
    <x v="1"/>
    <s v="Specialty Stores"/>
    <n v="5801000000"/>
    <n v="4878000000"/>
    <n v="923000000"/>
  </r>
  <r>
    <x v="347"/>
    <s v="Year 4"/>
    <d v="2016-01-30T00:00:00"/>
    <n v="21059000000"/>
    <n v="15545000000"/>
    <n v="4600000000"/>
    <n v="0"/>
    <n v="67000000"/>
    <x v="1"/>
    <s v="Specialty Stores"/>
    <n v="5514000000"/>
    <n v="4667000000"/>
    <n v="847000000"/>
  </r>
  <r>
    <x v="348"/>
    <s v="Year 1"/>
    <d v="2012-12-31T00:00:00"/>
    <n v="1913149000"/>
    <n v="1055844000"/>
    <n v="356817000"/>
    <n v="0"/>
    <n v="31652000"/>
    <x v="0"/>
    <s v="Industrial Conglomerates"/>
    <n v="857305000"/>
    <n v="388469000"/>
    <n v="468836000"/>
  </r>
  <r>
    <x v="348"/>
    <s v="Year 2"/>
    <d v="2013-12-31T00:00:00"/>
    <n v="2142807000"/>
    <n v="1178173000"/>
    <n v="390610000"/>
    <n v="0"/>
    <n v="38405000"/>
    <x v="0"/>
    <s v="Industrial Conglomerates"/>
    <n v="964634000"/>
    <n v="429015000"/>
    <n v="535619000"/>
  </r>
  <r>
    <x v="348"/>
    <s v="Year 3"/>
    <d v="2014-12-31T00:00:00"/>
    <n v="2555601000"/>
    <n v="1461190000"/>
    <n v="489937000"/>
    <n v="0"/>
    <n v="48138000"/>
    <x v="0"/>
    <s v="Industrial Conglomerates"/>
    <n v="1094411000"/>
    <n v="538075000"/>
    <n v="556336000"/>
  </r>
  <r>
    <x v="348"/>
    <s v="Year 4"/>
    <d v="2015-12-31T00:00:00"/>
    <n v="2985908000"/>
    <n v="1719723000"/>
    <n v="712803000"/>
    <n v="0"/>
    <n v="65770000"/>
    <x v="0"/>
    <s v="Industrial Conglomerates"/>
    <n v="1266185000"/>
    <n v="778573000"/>
    <n v="487612000"/>
  </r>
  <r>
    <x v="349"/>
    <s v="Year 1"/>
    <d v="2012-12-31T00:00:00"/>
    <n v="9647000000"/>
    <n v="6646000000"/>
    <n v="359000000"/>
    <n v="0"/>
    <n v="1090000000"/>
    <x v="5"/>
    <s v="MultiUtilities"/>
    <n v="3001000000"/>
    <n v="1449000000"/>
    <n v="1552000000"/>
  </r>
  <r>
    <x v="349"/>
    <s v="Year 2"/>
    <d v="2013-12-31T00:00:00"/>
    <n v="10557000000"/>
    <n v="7186000000"/>
    <n v="574000000"/>
    <n v="0"/>
    <n v="1113000000"/>
    <x v="5"/>
    <s v="MultiUtilities"/>
    <n v="3371000000"/>
    <n v="1687000000"/>
    <n v="1684000000"/>
  </r>
  <r>
    <x v="349"/>
    <s v="Year 3"/>
    <d v="2014-12-31T00:00:00"/>
    <n v="11035000000"/>
    <n v="7689000000"/>
    <n v="414000000"/>
    <n v="0"/>
    <n v="1156000000"/>
    <x v="5"/>
    <s v="MultiUtilities"/>
    <n v="3346000000"/>
    <n v="1570000000"/>
    <n v="1776000000"/>
  </r>
  <r>
    <x v="349"/>
    <s v="Year 4"/>
    <d v="2015-12-31T00:00:00"/>
    <n v="10231000000"/>
    <n v="6648000000"/>
    <n v="397000000"/>
    <n v="0"/>
    <n v="1250000000"/>
    <x v="5"/>
    <s v="MultiUtilities"/>
    <n v="3583000000"/>
    <n v="1647000000"/>
    <n v="1936000000"/>
  </r>
  <r>
    <x v="350"/>
    <s v="Year 1"/>
    <d v="2012-12-31T00:00:00"/>
    <n v="11240000000"/>
    <n v="429000000"/>
    <n v="6073000000"/>
    <n v="0"/>
    <n v="1441000000"/>
    <x v="6"/>
    <s v="Banks"/>
    <n v="10811000000"/>
    <n v="7514000000"/>
    <n v="3297000000"/>
  </r>
  <r>
    <x v="350"/>
    <s v="Year 2"/>
    <d v="2013-12-31T00:00:00"/>
    <n v="8602000000"/>
    <n v="291000000"/>
    <n v="5808000000"/>
    <n v="0"/>
    <n v="576000000"/>
    <x v="6"/>
    <s v="Banks"/>
    <n v="8311000000"/>
    <n v="6384000000"/>
    <n v="1927000000"/>
  </r>
  <r>
    <x v="350"/>
    <s v="Year 3"/>
    <d v="2014-12-31T00:00:00"/>
    <n v="8707000000"/>
    <n v="235000000"/>
    <n v="5518000000"/>
    <n v="0"/>
    <n v="367000000"/>
    <x v="6"/>
    <s v="Banks"/>
    <n v="8472000000"/>
    <n v="5885000000"/>
    <n v="2587000000"/>
  </r>
  <r>
    <x v="350"/>
    <s v="Year 4"/>
    <d v="2015-12-31T00:00:00"/>
    <n v="8533000000"/>
    <n v="219000000"/>
    <n v="5120000000"/>
    <n v="0"/>
    <n v="205000000"/>
    <x v="6"/>
    <s v="Banks"/>
    <n v="8314000000"/>
    <n v="5325000000"/>
    <n v="2989000000"/>
  </r>
  <r>
    <x v="351"/>
    <s v="Year 1"/>
    <d v="2013-06-28T00:00:00"/>
    <n v="14351000000"/>
    <n v="10411000000"/>
    <n v="635000000"/>
    <n v="1133000000"/>
    <n v="79000000"/>
    <x v="2"/>
    <s v="Computer Storage &amp; Peripherals"/>
    <n v="3940000000"/>
    <n v="1847000000"/>
    <n v="2093000000"/>
  </r>
  <r>
    <x v="351"/>
    <s v="Year 2"/>
    <d v="2014-06-27T00:00:00"/>
    <n v="13724000000"/>
    <n v="9878000000"/>
    <n v="722000000"/>
    <n v="1226000000"/>
    <n v="98000000"/>
    <x v="2"/>
    <s v="Computer Storage &amp; Peripherals"/>
    <n v="3846000000"/>
    <n v="2046000000"/>
    <n v="1800000000"/>
  </r>
  <r>
    <x v="351"/>
    <s v="Year 3"/>
    <d v="2015-07-03T00:00:00"/>
    <n v="13739000000"/>
    <n v="9930000000"/>
    <n v="237000000"/>
    <n v="1353000000"/>
    <n v="129000000"/>
    <x v="2"/>
    <s v="Computer Storage &amp; Peripherals"/>
    <n v="3809000000"/>
    <n v="1719000000"/>
    <n v="2090000000"/>
  </r>
  <r>
    <x v="351"/>
    <s v="Year 4"/>
    <d v="2016-07-01T00:00:00"/>
    <n v="11160000000"/>
    <n v="8545000000"/>
    <n v="635000000"/>
    <n v="1237000000"/>
    <n v="123000000"/>
    <x v="2"/>
    <s v="Computer Storage &amp; Peripherals"/>
    <n v="2615000000"/>
    <n v="1995000000"/>
    <n v="620000000"/>
  </r>
  <r>
    <x v="352"/>
    <s v="Year 1"/>
    <d v="2013-02-28T00:00:00"/>
    <n v="2796100000"/>
    <n v="1687800000"/>
    <n v="585400000"/>
    <n v="0"/>
    <n v="0"/>
    <x v="4"/>
    <s v="Distillers &amp; Vintners"/>
    <n v="1108300000"/>
    <n v="585400000"/>
    <n v="522900000"/>
  </r>
  <r>
    <x v="352"/>
    <s v="Year 2"/>
    <d v="2014-02-28T00:00:00"/>
    <n v="4867700000"/>
    <n v="2876000000"/>
    <n v="895100000"/>
    <n v="0"/>
    <n v="0"/>
    <x v="4"/>
    <s v="Distillers &amp; Vintners"/>
    <n v="1991700000"/>
    <n v="895100000"/>
    <n v="1096600000"/>
  </r>
  <r>
    <x v="352"/>
    <s v="Year 3"/>
    <d v="2015-02-28T00:00:00"/>
    <n v="6028000000"/>
    <n v="3449400000"/>
    <n v="1078400000"/>
    <n v="0"/>
    <n v="0"/>
    <x v="4"/>
    <s v="Distillers &amp; Vintners"/>
    <n v="2578600000"/>
    <n v="1078400000"/>
    <n v="1500200000"/>
  </r>
  <r>
    <x v="352"/>
    <s v="Year 4"/>
    <d v="2016-02-29T00:00:00"/>
    <n v="6548400000"/>
    <n v="3606100000"/>
    <n v="1177200000"/>
    <n v="0"/>
    <n v="0"/>
    <x v="4"/>
    <s v="Distillers &amp; Vintners"/>
    <n v="2942300000"/>
    <n v="1177200000"/>
    <n v="1765100000"/>
  </r>
  <r>
    <x v="353"/>
    <s v="Year 1"/>
    <d v="2013-12-28T00:00:00"/>
    <n v="10889500000"/>
    <n v="6985800000"/>
    <n v="2960300000"/>
    <n v="0"/>
    <n v="0"/>
    <x v="1"/>
    <s v="Household Appliances"/>
    <n v="3903700000"/>
    <n v="2960300000"/>
    <n v="943400000"/>
  </r>
  <r>
    <x v="353"/>
    <s v="Year 2"/>
    <d v="2015-01-03T00:00:00"/>
    <n v="11338600000"/>
    <n v="7235900000"/>
    <n v="2814600000"/>
    <n v="0"/>
    <n v="0"/>
    <x v="1"/>
    <s v="Household Appliances"/>
    <n v="4102700000"/>
    <n v="2814600000"/>
    <n v="1288100000"/>
  </r>
  <r>
    <x v="353"/>
    <s v="Year 3"/>
    <d v="2016-01-02T00:00:00"/>
    <n v="11171800000"/>
    <n v="7099800000"/>
    <n v="2681100000"/>
    <n v="0"/>
    <n v="0"/>
    <x v="1"/>
    <s v="Household Appliances"/>
    <n v="4072000000"/>
    <n v="2681100000"/>
    <n v="1390900000"/>
  </r>
  <r>
    <x v="353"/>
    <s v="Year 4"/>
    <d v="2016-12-31T00:00:00"/>
    <n v="11406900000"/>
    <n v="7139700000"/>
    <n v="2798900000"/>
    <n v="0"/>
    <n v="0"/>
    <x v="1"/>
    <s v="Household Appliances"/>
    <n v="4267200000"/>
    <n v="2798900000"/>
    <n v="1468300000"/>
  </r>
  <r>
    <x v="354"/>
    <s v="Year 1"/>
    <d v="2013-09-27T00:00:00"/>
    <n v="1792000000"/>
    <n v="1025400000"/>
    <n v="159700000"/>
    <n v="226300000"/>
    <n v="29100000"/>
    <x v="2"/>
    <s v="Semiconductors"/>
    <n v="766600000"/>
    <n v="415100000"/>
    <n v="351500000"/>
  </r>
  <r>
    <x v="354"/>
    <s v="Year 2"/>
    <d v="2014-10-03T00:00:00"/>
    <n v="2291500000"/>
    <n v="1268800000"/>
    <n v="179100000"/>
    <n v="252200000"/>
    <n v="25900000"/>
    <x v="2"/>
    <s v="Semiconductors"/>
    <n v="1022700000"/>
    <n v="457200000"/>
    <n v="565500000"/>
  </r>
  <r>
    <x v="354"/>
    <s v="Year 3"/>
    <d v="2015-10-02T00:00:00"/>
    <n v="3258400000"/>
    <n v="1703900000"/>
    <n v="191300000"/>
    <n v="303200000"/>
    <n v="33500000"/>
    <x v="2"/>
    <s v="Semiconductors"/>
    <n v="1554500000"/>
    <n v="528000000"/>
    <n v="1026500000"/>
  </r>
  <r>
    <x v="354"/>
    <s v="Year 4"/>
    <d v="2016-09-30T00:00:00"/>
    <n v="3289000000"/>
    <n v="1623800000"/>
    <n v="195900000"/>
    <n v="312400000"/>
    <n v="33400000"/>
    <x v="2"/>
    <s v="Semiconductors"/>
    <n v="1665200000"/>
    <n v="541700000"/>
    <n v="1123500000"/>
  </r>
  <r>
    <x v="355"/>
    <s v="Year 1"/>
    <d v="2012-12-31T00:00:00"/>
    <n v="2730000000"/>
    <n v="245000000"/>
    <n v="835000000"/>
    <n v="0"/>
    <n v="811000000"/>
    <x v="9"/>
    <s v="Oil &amp; Gas Exploration &amp; Production"/>
    <n v="2485000000"/>
    <n v="1646000000"/>
    <n v="839000000"/>
  </r>
  <r>
    <x v="355"/>
    <s v="Year 2"/>
    <d v="2013-12-31T00:00:00"/>
    <n v="3371000000"/>
    <n v="328000000"/>
    <n v="1052000000"/>
    <n v="0"/>
    <n v="787000000"/>
    <x v="9"/>
    <s v="Oil &amp; Gas Exploration &amp; Production"/>
    <n v="3043000000"/>
    <n v="1839000000"/>
    <n v="1204000000"/>
  </r>
  <r>
    <x v="355"/>
    <s v="Year 3"/>
    <d v="2014-12-31T00:00:00"/>
    <n v="4038000000"/>
    <n v="427000000"/>
    <n v="1296000000"/>
    <n v="0"/>
    <n v="942000000"/>
    <x v="9"/>
    <s v="Oil &amp; Gas Exploration &amp; Production"/>
    <n v="3611000000"/>
    <n v="2238000000"/>
    <n v="1373000000"/>
  </r>
  <r>
    <x v="355"/>
    <s v="Year 4"/>
    <d v="2015-12-31T00:00:00"/>
    <n v="3133000000"/>
    <n v="689000000"/>
    <n v="1208000000"/>
    <n v="0"/>
    <n v="1091000000"/>
    <x v="9"/>
    <s v="Oil &amp; Gas Exploration &amp; Production"/>
    <n v="2444000000"/>
    <n v="2299000000"/>
    <n v="145000000"/>
  </r>
  <r>
    <x v="356"/>
    <s v="Year 1"/>
    <d v="2012-12-31T00:00:00"/>
    <n v="10793000000"/>
    <n v="362000000"/>
    <n v="2123000000"/>
    <n v="0"/>
    <n v="4549000000"/>
    <x v="6"/>
    <s v="Consumer Finance"/>
    <n v="10431000000"/>
    <n v="6672000000"/>
    <n v="3759000000"/>
  </r>
  <r>
    <x v="356"/>
    <s v="Year 2"/>
    <d v="2013-12-31T00:00:00"/>
    <n v="11813000000"/>
    <n v="374000000"/>
    <n v="2484000000"/>
    <n v="0"/>
    <n v="5445000000"/>
    <x v="6"/>
    <s v="Consumer Finance"/>
    <n v="11439000000"/>
    <n v="7929000000"/>
    <n v="3510000000"/>
  </r>
  <r>
    <x v="356"/>
    <s v="Year 3"/>
    <d v="2014-12-31T00:00:00"/>
    <n v="12727000000"/>
    <n v="470000000"/>
    <n v="2927000000"/>
    <n v="0"/>
    <n v="5492000000"/>
    <x v="6"/>
    <s v="Consumer Finance"/>
    <n v="12257000000"/>
    <n v="8419000000"/>
    <n v="3838000000"/>
  </r>
  <r>
    <x v="356"/>
    <s v="Year 4"/>
    <d v="2015-12-31T00:00:00"/>
    <n v="13620000000"/>
    <n v="607000000"/>
    <n v="3264000000"/>
    <n v="0"/>
    <n v="5690000000"/>
    <x v="6"/>
    <s v="Consumer Finance"/>
    <n v="13013000000"/>
    <n v="8954000000"/>
    <n v="4059000000"/>
  </r>
  <r>
    <x v="357"/>
    <s v="Year 1"/>
    <d v="2013-12-31T00:00:00"/>
    <n v="9021000000"/>
    <n v="3002000000"/>
    <n v="4089000000"/>
    <n v="536000000"/>
    <n v="138000000"/>
    <x v="3"/>
    <s v="Health Care Equipment"/>
    <n v="6019000000"/>
    <n v="4763000000"/>
    <n v="1256000000"/>
  </r>
  <r>
    <x v="357"/>
    <s v="Year 2"/>
    <d v="2014-12-31T00:00:00"/>
    <n v="9675000000"/>
    <n v="3319000000"/>
    <n v="4308000000"/>
    <n v="614000000"/>
    <n v="188000000"/>
    <x v="3"/>
    <s v="Health Care Equipment"/>
    <n v="6356000000"/>
    <n v="5110000000"/>
    <n v="1246000000"/>
  </r>
  <r>
    <x v="357"/>
    <s v="Year 3"/>
    <d v="2015-12-31T00:00:00"/>
    <n v="9946000000"/>
    <n v="3344000000"/>
    <n v="3906000000"/>
    <n v="625000000"/>
    <n v="210000000"/>
    <x v="3"/>
    <s v="Health Care Equipment"/>
    <n v="6602000000"/>
    <n v="4741000000"/>
    <n v="1861000000"/>
  </r>
  <r>
    <x v="357"/>
    <s v="Year 4"/>
    <d v="2016-12-31T00:00:00"/>
    <n v="11325000000"/>
    <n v="3830000000"/>
    <n v="4295000000"/>
    <n v="715000000"/>
    <n v="319000000"/>
    <x v="3"/>
    <s v="Health Care Equipment"/>
    <n v="7495000000"/>
    <n v="5329000000"/>
    <n v="2166000000"/>
  </r>
  <r>
    <x v="358"/>
    <s v="Year 1"/>
    <d v="2013-03-29T00:00:00"/>
    <n v="6906000000"/>
    <n v="1175000000"/>
    <n v="3236000000"/>
    <n v="1026000000"/>
    <n v="286000000"/>
    <x v="2"/>
    <s v="Application Software"/>
    <n v="5731000000"/>
    <n v="4548000000"/>
    <n v="1183000000"/>
  </r>
  <r>
    <x v="358"/>
    <s v="Year 2"/>
    <d v="2014-03-28T00:00:00"/>
    <n v="4183000000"/>
    <n v="791000000"/>
    <n v="2186000000"/>
    <n v="722000000"/>
    <n v="93000000"/>
    <x v="2"/>
    <s v="Application Software"/>
    <n v="3392000000"/>
    <n v="3001000000"/>
    <n v="391000000"/>
  </r>
  <r>
    <x v="358"/>
    <s v="Year 3"/>
    <d v="2015-04-03T00:00:00"/>
    <n v="3956000000"/>
    <n v="727000000"/>
    <n v="2012000000"/>
    <n v="812000000"/>
    <n v="87000000"/>
    <x v="2"/>
    <s v="Application Software"/>
    <n v="3229000000"/>
    <n v="2911000000"/>
    <n v="318000000"/>
  </r>
  <r>
    <x v="358"/>
    <s v="Year 4"/>
    <d v="2016-04-01T00:00:00"/>
    <n v="3600000000"/>
    <n v="615000000"/>
    <n v="1587000000"/>
    <n v="748000000"/>
    <n v="57000000"/>
    <x v="2"/>
    <s v="Application Software"/>
    <n v="2985000000"/>
    <n v="2392000000"/>
    <n v="593000000"/>
  </r>
  <r>
    <x v="359"/>
    <s v="Year 1"/>
    <d v="2013-06-29T00:00:00"/>
    <n v="44411233000"/>
    <n v="36414626000"/>
    <n v="6338129000"/>
    <n v="0"/>
    <n v="0"/>
    <x v="4"/>
    <s v="Food Distributors"/>
    <n v="7996607000"/>
    <n v="6338129000"/>
    <n v="1658478000"/>
  </r>
  <r>
    <x v="359"/>
    <s v="Year 2"/>
    <d v="2014-06-28T00:00:00"/>
    <n v="46516712000"/>
    <n v="38335677000"/>
    <n v="0"/>
    <n v="0"/>
    <n v="0"/>
    <x v="4"/>
    <s v="Food Distributors"/>
    <n v="8181035000"/>
    <n v="0"/>
    <n v="8181035000"/>
  </r>
  <r>
    <x v="359"/>
    <s v="Year 3"/>
    <d v="2015-06-27T00:00:00"/>
    <n v="48680752000"/>
    <n v="40129236000"/>
    <n v="0"/>
    <n v="0"/>
    <n v="0"/>
    <x v="4"/>
    <s v="Food Distributors"/>
    <n v="8551516000"/>
    <n v="0"/>
    <n v="8551516000"/>
  </r>
  <r>
    <x v="359"/>
    <s v="Year 4"/>
    <d v="2016-07-02T00:00:00"/>
    <n v="50366919000"/>
    <n v="41326447000"/>
    <n v="0"/>
    <n v="0"/>
    <n v="0"/>
    <x v="4"/>
    <s v="Food Distributors"/>
    <n v="9040472000"/>
    <n v="0"/>
    <n v="9040472000"/>
  </r>
  <r>
    <x v="360"/>
    <s v="Year 1"/>
    <d v="2012-12-31T00:00:00"/>
    <n v="127434000000"/>
    <n v="55228000000"/>
    <n v="41066000000"/>
    <n v="0"/>
    <n v="18143000000"/>
    <x v="10"/>
    <s v="Integrated Telecommunications Services"/>
    <n v="72206000000"/>
    <n v="59209000000"/>
    <n v="12997000000"/>
  </r>
  <r>
    <x v="360"/>
    <s v="Year 2"/>
    <d v="2013-12-31T00:00:00"/>
    <n v="128752000000"/>
    <n v="51191000000"/>
    <n v="28414000000"/>
    <n v="0"/>
    <n v="18395000000"/>
    <x v="10"/>
    <s v="Integrated Telecommunications Services"/>
    <n v="77561000000"/>
    <n v="46809000000"/>
    <n v="30752000000"/>
  </r>
  <r>
    <x v="360"/>
    <s v="Year 3"/>
    <d v="2014-12-31T00:00:00"/>
    <n v="132447000000"/>
    <n v="60145000000"/>
    <n v="41817000000"/>
    <n v="0"/>
    <n v="18273000000"/>
    <x v="10"/>
    <s v="Integrated Telecommunications Services"/>
    <n v="72302000000"/>
    <n v="60090000000"/>
    <n v="12212000000"/>
  </r>
  <r>
    <x v="360"/>
    <s v="Year 4"/>
    <d v="2015-12-31T00:00:00"/>
    <n v="146801000000"/>
    <n v="67046000000"/>
    <n v="32954000000"/>
    <n v="0"/>
    <n v="22016000000"/>
    <x v="10"/>
    <s v="Integrated Telecommunications Services"/>
    <n v="79755000000"/>
    <n v="54970000000"/>
    <n v="24785000000"/>
  </r>
  <r>
    <x v="361"/>
    <s v="Year 1"/>
    <d v="2013-12-31T00:00:00"/>
    <n v="4206100000"/>
    <n v="2545600000"/>
    <n v="1193800000"/>
    <n v="0"/>
    <n v="0"/>
    <x v="4"/>
    <s v="Brewers"/>
    <n v="1660500000"/>
    <n v="1193800000"/>
    <n v="466700000"/>
  </r>
  <r>
    <x v="361"/>
    <s v="Year 2"/>
    <d v="2014-12-31T00:00:00"/>
    <n v="4146300000"/>
    <n v="2493300000"/>
    <n v="1163900000"/>
    <n v="0"/>
    <n v="0"/>
    <x v="4"/>
    <s v="Brewers"/>
    <n v="1653000000"/>
    <n v="1163900000"/>
    <n v="489100000"/>
  </r>
  <r>
    <x v="361"/>
    <s v="Year 3"/>
    <d v="2015-12-31T00:00:00"/>
    <n v="3567500000"/>
    <n v="2163500000"/>
    <n v="1051800000"/>
    <n v="0"/>
    <n v="0"/>
    <x v="4"/>
    <s v="Brewers"/>
    <n v="1404000000"/>
    <n v="1051800000"/>
    <n v="352200000"/>
  </r>
  <r>
    <x v="361"/>
    <s v="Year 4"/>
    <d v="2016-12-31T00:00:00"/>
    <n v="4885000000"/>
    <n v="3003100000"/>
    <n v="1597300000"/>
    <n v="0"/>
    <n v="0"/>
    <x v="4"/>
    <s v="Brewers"/>
    <n v="1881900000"/>
    <n v="1597300000"/>
    <n v="284600000"/>
  </r>
  <r>
    <x v="362"/>
    <s v="Year 1"/>
    <d v="2012-12-31T00:00:00"/>
    <n v="2665000000"/>
    <n v="1174000000"/>
    <n v="728000000"/>
    <n v="183000000"/>
    <n v="0"/>
    <x v="2"/>
    <s v="Application Software"/>
    <n v="1491000000"/>
    <n v="911000000"/>
    <n v="580000000"/>
  </r>
  <r>
    <x v="362"/>
    <s v="Year 2"/>
    <d v="2013-12-31T00:00:00"/>
    <n v="2692000000"/>
    <n v="1219000000"/>
    <n v="757000000"/>
    <n v="184000000"/>
    <n v="0"/>
    <x v="2"/>
    <s v="Application Software"/>
    <n v="1473000000"/>
    <n v="941000000"/>
    <n v="532000000"/>
  </r>
  <r>
    <x v="362"/>
    <s v="Year 3"/>
    <d v="2014-12-31T00:00:00"/>
    <n v="2732000000"/>
    <n v="1253000000"/>
    <n v="770000000"/>
    <n v="206000000"/>
    <n v="0"/>
    <x v="2"/>
    <s v="Application Software"/>
    <n v="1479000000"/>
    <n v="976000000"/>
    <n v="503000000"/>
  </r>
  <r>
    <x v="362"/>
    <s v="Year 4"/>
    <d v="2015-12-31T00:00:00"/>
    <n v="2530000000"/>
    <n v="1254000000"/>
    <n v="765000000"/>
    <n v="228000000"/>
    <n v="0"/>
    <x v="2"/>
    <s v="Application Software"/>
    <n v="1276000000"/>
    <n v="993000000"/>
    <n v="283000000"/>
  </r>
  <r>
    <x v="363"/>
    <s v="Year 1"/>
    <d v="2013-09-30T00:00:00"/>
    <n v="1924400000"/>
    <n v="874838000"/>
    <n v="254468000"/>
    <n v="0"/>
    <n v="45639000"/>
    <x v="0"/>
    <s v="Aerospace &amp; Defense"/>
    <n v="1049562000"/>
    <n v="300107000"/>
    <n v="749455000"/>
  </r>
  <r>
    <x v="363"/>
    <s v="Year 2"/>
    <d v="2014-09-30T00:00:00"/>
    <n v="2372906000"/>
    <n v="1105032000"/>
    <n v="276446000"/>
    <n v="0"/>
    <n v="63608000"/>
    <x v="0"/>
    <s v="Aerospace &amp; Defense"/>
    <n v="1267874000"/>
    <n v="340054000"/>
    <n v="927820000"/>
  </r>
  <r>
    <x v="363"/>
    <s v="Year 3"/>
    <d v="2015-09-30T00:00:00"/>
    <n v="2707115000"/>
    <n v="1257270000"/>
    <n v="321624000"/>
    <n v="0"/>
    <n v="54219000"/>
    <x v="0"/>
    <s v="Aerospace &amp; Defense"/>
    <n v="1449845000"/>
    <n v="375843000"/>
    <n v="1074002000"/>
  </r>
  <r>
    <x v="363"/>
    <s v="Year 4"/>
    <d v="2016-09-30T00:00:00"/>
    <n v="3171411000"/>
    <n v="1443348000"/>
    <n v="382858000"/>
    <n v="0"/>
    <n v="77445000"/>
    <x v="0"/>
    <s v="Aerospace &amp; Defense"/>
    <n v="1728063000"/>
    <n v="460303000"/>
    <n v="1267760000"/>
  </r>
  <r>
    <x v="364"/>
    <s v="Year 1"/>
    <d v="2013-09-27T00:00:00"/>
    <n v="11390000000"/>
    <n v="7739000000"/>
    <n v="1440000000"/>
    <n v="590000000"/>
    <n v="0"/>
    <x v="2"/>
    <s v="Electronic Manufacturing Services"/>
    <n v="3651000000"/>
    <n v="2030000000"/>
    <n v="1621000000"/>
  </r>
  <r>
    <x v="364"/>
    <s v="Year 2"/>
    <d v="2014-09-26T00:00:00"/>
    <n v="11973000000"/>
    <n v="8001000000"/>
    <n v="1534000000"/>
    <n v="583000000"/>
    <n v="0"/>
    <x v="2"/>
    <s v="Electronic Manufacturing Services"/>
    <n v="3972000000"/>
    <n v="2117000000"/>
    <n v="1855000000"/>
  </r>
  <r>
    <x v="364"/>
    <s v="Year 3"/>
    <d v="2015-09-25T00:00:00"/>
    <n v="12233000000"/>
    <n v="8146000000"/>
    <n v="1504000000"/>
    <n v="627000000"/>
    <n v="0"/>
    <x v="2"/>
    <s v="Electronic Manufacturing Services"/>
    <n v="4087000000"/>
    <n v="2131000000"/>
    <n v="1956000000"/>
  </r>
  <r>
    <x v="364"/>
    <s v="Year 4"/>
    <d v="2016-09-30T00:00:00"/>
    <n v="12238000000"/>
    <n v="8205000000"/>
    <n v="1463000000"/>
    <n v="644000000"/>
    <n v="0"/>
    <x v="2"/>
    <s v="Electronic Manufacturing Services"/>
    <n v="4033000000"/>
    <n v="2107000000"/>
    <n v="1926000000"/>
  </r>
  <r>
    <x v="365"/>
    <s v="Year 1"/>
    <d v="2012-12-30T00:00:00"/>
    <n v="5353197000"/>
    <n v="2943847000"/>
    <n v="1303427000"/>
    <n v="0"/>
    <n v="194039000"/>
    <x v="1"/>
    <s v="Publishing"/>
    <n v="2409350000"/>
    <n v="1497466000"/>
    <n v="911884000"/>
  </r>
  <r>
    <x v="365"/>
    <s v="Year 2"/>
    <d v="2013-12-29T00:00:00"/>
    <n v="1603123000"/>
    <n v="662769000"/>
    <n v="531932000"/>
    <n v="0"/>
    <n v="74833000"/>
    <x v="1"/>
    <s v="Publishing"/>
    <n v="940354000"/>
    <n v="606765000"/>
    <n v="333589000"/>
  </r>
  <r>
    <x v="365"/>
    <s v="Year 3"/>
    <d v="2014-12-31T00:00:00"/>
    <n v="2626141000"/>
    <n v="954990000"/>
    <n v="766854000"/>
    <n v="0"/>
    <n v="151837000"/>
    <x v="1"/>
    <s v="Publishing"/>
    <n v="1671151000"/>
    <n v="918691000"/>
    <n v="752460000"/>
  </r>
  <r>
    <x v="365"/>
    <s v="Year 4"/>
    <d v="2015-12-31T00:00:00"/>
    <n v="3050945000"/>
    <n v="923336000"/>
    <n v="1068221000"/>
    <n v="0"/>
    <n v="205087000"/>
    <x v="1"/>
    <s v="Publishing"/>
    <n v="2127609000"/>
    <n v="1273308000"/>
    <n v="854301000"/>
  </r>
  <r>
    <x v="366"/>
    <s v="Year 1"/>
    <d v="2013-02-02T00:00:00"/>
    <n v="73301000000"/>
    <n v="50568000000"/>
    <n v="15110000000"/>
    <n v="0"/>
    <n v="2044000000"/>
    <x v="1"/>
    <s v="General Merchandise Stores"/>
    <n v="22733000000"/>
    <n v="17154000000"/>
    <n v="5579000000"/>
  </r>
  <r>
    <x v="366"/>
    <s v="Year 2"/>
    <d v="2014-02-01T00:00:00"/>
    <n v="71279000000"/>
    <n v="50039000000"/>
    <n v="14465000000"/>
    <n v="0"/>
    <n v="1996000000"/>
    <x v="1"/>
    <s v="General Merchandise Stores"/>
    <n v="21240000000"/>
    <n v="16461000000"/>
    <n v="4779000000"/>
  </r>
  <r>
    <x v="366"/>
    <s v="Year 3"/>
    <d v="2015-01-31T00:00:00"/>
    <n v="72618000000"/>
    <n v="51278000000"/>
    <n v="14676000000"/>
    <n v="0"/>
    <n v="2129000000"/>
    <x v="1"/>
    <s v="General Merchandise Stores"/>
    <n v="21340000000"/>
    <n v="16805000000"/>
    <n v="4535000000"/>
  </r>
  <r>
    <x v="366"/>
    <s v="Year 4"/>
    <d v="2016-01-30T00:00:00"/>
    <n v="73785000000"/>
    <n v="51997000000"/>
    <n v="14665000000"/>
    <n v="0"/>
    <n v="2213000000"/>
    <x v="1"/>
    <s v="General Merchandise Stores"/>
    <n v="21788000000"/>
    <n v="16878000000"/>
    <n v="4910000000"/>
  </r>
  <r>
    <x v="367"/>
    <s v="Year 1"/>
    <d v="2013-01-31T00:00:00"/>
    <n v="3794249000"/>
    <n v="1630965000"/>
    <n v="1466067000"/>
    <n v="0"/>
    <n v="0"/>
    <x v="1"/>
    <s v="Apparel, Accessories &amp; Luxury Goods"/>
    <n v="2163284000"/>
    <n v="1466067000"/>
    <n v="697217000"/>
  </r>
  <r>
    <x v="367"/>
    <s v="Year 2"/>
    <d v="2014-01-31T00:00:00"/>
    <n v="4031100000"/>
    <n v="1690700000"/>
    <n v="2036100000"/>
    <n v="0"/>
    <n v="0"/>
    <x v="1"/>
    <s v="Apparel, Accessories &amp; Luxury Goods"/>
    <n v="2340400000"/>
    <n v="2036100000"/>
    <n v="304300000"/>
  </r>
  <r>
    <x v="367"/>
    <s v="Year 3"/>
    <d v="2015-01-31T00:00:00"/>
    <n v="4249900000"/>
    <n v="1712700000"/>
    <n v="1645800000"/>
    <n v="0"/>
    <n v="0"/>
    <x v="1"/>
    <s v="Apparel, Accessories &amp; Luxury Goods"/>
    <n v="2537200000"/>
    <n v="1645800000"/>
    <n v="891400000"/>
  </r>
  <r>
    <x v="367"/>
    <s v="Year 4"/>
    <d v="2016-01-31T00:00:00"/>
    <n v="4104900000"/>
    <n v="1613600000"/>
    <n v="1731200000"/>
    <n v="0"/>
    <n v="0"/>
    <x v="1"/>
    <s v="Apparel, Accessories &amp; Luxury Goods"/>
    <n v="2491300000"/>
    <n v="1731200000"/>
    <n v="760100000"/>
  </r>
  <r>
    <x v="368"/>
    <s v="Year 1"/>
    <d v="2013-02-02T00:00:00"/>
    <n v="25878372000"/>
    <n v="18521400000"/>
    <n v="4250446000"/>
    <n v="0"/>
    <n v="0"/>
    <x v="1"/>
    <s v="Apparel Retail"/>
    <n v="7356972000"/>
    <n v="4250446000"/>
    <n v="3106526000"/>
  </r>
  <r>
    <x v="368"/>
    <s v="Year 2"/>
    <d v="2014-02-01T00:00:00"/>
    <n v="27422696000"/>
    <n v="19605037000"/>
    <n v="4467089000"/>
    <n v="0"/>
    <n v="0"/>
    <x v="1"/>
    <s v="Apparel Retail"/>
    <n v="7817659000"/>
    <n v="4467089000"/>
    <n v="3350570000"/>
  </r>
  <r>
    <x v="368"/>
    <s v="Year 3"/>
    <d v="2015-01-31T00:00:00"/>
    <n v="29078407000"/>
    <n v="20776522000"/>
    <n v="4695384000"/>
    <n v="0"/>
    <n v="0"/>
    <x v="1"/>
    <s v="Apparel Retail"/>
    <n v="8301885000"/>
    <n v="4695384000"/>
    <n v="3606501000"/>
  </r>
  <r>
    <x v="368"/>
    <s v="Year 4"/>
    <d v="2016-01-30T00:00:00"/>
    <n v="30944938000"/>
    <n v="22034523000"/>
    <n v="5205715000"/>
    <n v="0"/>
    <n v="0"/>
    <x v="1"/>
    <s v="Apparel Retail"/>
    <n v="8910415000"/>
    <n v="5205715000"/>
    <n v="3704700000"/>
  </r>
  <r>
    <x v="369"/>
    <s v="Year 1"/>
    <d v="2012-12-31T00:00:00"/>
    <n v="3589516000"/>
    <n v="1955682000"/>
    <n v="0"/>
    <n v="0"/>
    <n v="787329000"/>
    <x v="6"/>
    <s v="Life &amp; Health Insurance"/>
    <n v="1633834000"/>
    <n v="787329000"/>
    <n v="846505000"/>
  </r>
  <r>
    <x v="369"/>
    <s v="Year 2"/>
    <d v="2013-12-31T00:00:00"/>
    <n v="3494253000"/>
    <n v="1838766000"/>
    <n v="0"/>
    <n v="0"/>
    <n v="819711000"/>
    <x v="6"/>
    <s v="Life &amp; Health Insurance"/>
    <n v="1655487000"/>
    <n v="819711000"/>
    <n v="835776000"/>
  </r>
  <r>
    <x v="369"/>
    <s v="Year 3"/>
    <d v="2014-12-31T00:00:00"/>
    <n v="3620095000"/>
    <n v="1903384000"/>
    <n v="0"/>
    <n v="0"/>
    <n v="855908000"/>
    <x v="6"/>
    <s v="Life &amp; Health Insurance"/>
    <n v="1716711000"/>
    <n v="855908000"/>
    <n v="860803000"/>
  </r>
  <r>
    <x v="369"/>
    <s v="Year 4"/>
    <d v="2015-12-31T00:00:00"/>
    <n v="3766065000"/>
    <n v="2016212000"/>
    <n v="0"/>
    <n v="0"/>
    <n v="907024000"/>
    <x v="6"/>
    <s v="Life &amp; Health Insurance"/>
    <n v="1749853000"/>
    <n v="907024000"/>
    <n v="842829000"/>
  </r>
  <r>
    <x v="370"/>
    <s v="Year 1"/>
    <d v="2012-12-31T00:00:00"/>
    <n v="12509900000"/>
    <n v="7214400000"/>
    <n v="3354900000"/>
    <n v="376400000"/>
    <n v="0"/>
    <x v="3"/>
    <s v="Health Care Equipment"/>
    <n v="5295500000"/>
    <n v="3731300000"/>
    <n v="1564200000"/>
  </r>
  <r>
    <x v="370"/>
    <s v="Year 2"/>
    <d v="2013-12-31T00:00:00"/>
    <n v="13090300000"/>
    <n v="7561200000"/>
    <n v="3446300000"/>
    <n v="395500000"/>
    <n v="0"/>
    <x v="3"/>
    <s v="Health Care Equipment"/>
    <n v="5529100000"/>
    <n v="3841800000"/>
    <n v="1687300000"/>
  </r>
  <r>
    <x v="370"/>
    <s v="Year 3"/>
    <d v="2014-12-31T00:00:00"/>
    <n v="16889600000"/>
    <n v="9397600000"/>
    <n v="4896100000"/>
    <n v="691100000"/>
    <n v="0"/>
    <x v="3"/>
    <s v="Health Care Equipment"/>
    <n v="7492000000"/>
    <n v="5587200000"/>
    <n v="1904800000"/>
  </r>
  <r>
    <x v="370"/>
    <s v="Year 4"/>
    <d v="2015-12-31T00:00:00"/>
    <n v="16965400000"/>
    <n v="9209500000"/>
    <n v="4612100000"/>
    <n v="692300000"/>
    <n v="0"/>
    <x v="3"/>
    <s v="Health Care Equipment"/>
    <n v="7755900000"/>
    <n v="5304400000"/>
    <n v="2451500000"/>
  </r>
  <r>
    <x v="371"/>
    <s v="Year 1"/>
    <d v="2012-12-31T00:00:00"/>
    <n v="763000000"/>
    <n v="12000000"/>
    <n v="429000000"/>
    <n v="0"/>
    <n v="26000000"/>
    <x v="1"/>
    <s v="Internet &amp; Direct Marketing Retail"/>
    <n v="751000000"/>
    <n v="455000000"/>
    <n v="296000000"/>
  </r>
  <r>
    <x v="371"/>
    <s v="Year 2"/>
    <d v="2013-12-31T00:00:00"/>
    <n v="945000000"/>
    <n v="18000000"/>
    <n v="597000000"/>
    <n v="0"/>
    <n v="36000000"/>
    <x v="1"/>
    <s v="Internet &amp; Direct Marketing Retail"/>
    <n v="927000000"/>
    <n v="633000000"/>
    <n v="294000000"/>
  </r>
  <r>
    <x v="371"/>
    <s v="Year 3"/>
    <d v="2014-12-31T00:00:00"/>
    <n v="1246000000"/>
    <n v="40000000"/>
    <n v="801000000"/>
    <n v="0"/>
    <n v="65000000"/>
    <x v="1"/>
    <s v="Internet &amp; Direct Marketing Retail"/>
    <n v="1206000000"/>
    <n v="866000000"/>
    <n v="340000000"/>
  </r>
  <r>
    <x v="371"/>
    <s v="Year 4"/>
    <d v="2015-12-31T00:00:00"/>
    <n v="1492000000"/>
    <n v="58000000"/>
    <n v="1109000000"/>
    <n v="0"/>
    <n v="93000000"/>
    <x v="1"/>
    <s v="Internet &amp; Direct Marketing Retail"/>
    <n v="1434000000"/>
    <n v="1202000000"/>
    <n v="232000000"/>
  </r>
  <r>
    <x v="372"/>
    <s v="Year 1"/>
    <d v="2013-12-31T00:00:00"/>
    <n v="26191000000"/>
    <n v="13307000000"/>
    <n v="3757000000"/>
    <n v="0"/>
    <n v="3821000000"/>
    <x v="6"/>
    <s v="Property &amp; Casualty Insurance"/>
    <n v="12884000000"/>
    <n v="7578000000"/>
    <n v="5306000000"/>
  </r>
  <r>
    <x v="372"/>
    <s v="Year 2"/>
    <d v="2014-12-31T00:00:00"/>
    <n v="27174000000"/>
    <n v="13870000000"/>
    <n v="3964000000"/>
    <n v="0"/>
    <n v="3882000000"/>
    <x v="6"/>
    <s v="Property &amp; Casualty Insurance"/>
    <n v="13304000000"/>
    <n v="7846000000"/>
    <n v="5458000000"/>
  </r>
  <r>
    <x v="372"/>
    <s v="Year 3"/>
    <d v="2015-12-31T00:00:00"/>
    <n v="26815000000"/>
    <n v="13723000000"/>
    <n v="4094000000"/>
    <n v="0"/>
    <n v="3885000000"/>
    <x v="6"/>
    <s v="Property &amp; Casualty Insurance"/>
    <n v="13092000000"/>
    <n v="7979000000"/>
    <n v="5113000000"/>
  </r>
  <r>
    <x v="372"/>
    <s v="Year 4"/>
    <d v="2016-12-31T00:00:00"/>
    <n v="27625000000"/>
    <n v="15070000000"/>
    <n v="4154000000"/>
    <n v="0"/>
    <n v="3985000000"/>
    <x v="6"/>
    <s v="Property &amp; Casualty Insurance"/>
    <n v="12555000000"/>
    <n v="8139000000"/>
    <n v="4416000000"/>
  </r>
  <r>
    <x v="373"/>
    <s v="Year 1"/>
    <d v="2012-12-29T00:00:00"/>
    <n v="4664120000"/>
    <n v="3098066000"/>
    <n v="1040287000"/>
    <n v="0"/>
    <n v="88975000"/>
    <x v="1"/>
    <s v="Specialty Retail"/>
    <n v="1566054000"/>
    <n v="1129262000"/>
    <n v="436792000"/>
  </r>
  <r>
    <x v="373"/>
    <s v="Year 2"/>
    <d v="2013-12-28T00:00:00"/>
    <n v="5164784000"/>
    <n v="3411175000"/>
    <n v="1138934000"/>
    <n v="0"/>
    <n v="100025000"/>
    <x v="1"/>
    <s v="Specialty Retail"/>
    <n v="1753609000"/>
    <n v="1238959000"/>
    <n v="514650000"/>
  </r>
  <r>
    <x v="373"/>
    <s v="Year 3"/>
    <d v="2014-12-27T00:00:00"/>
    <n v="5711715000"/>
    <n v="3761300000"/>
    <n v="1246308000"/>
    <n v="0"/>
    <n v="114635000"/>
    <x v="1"/>
    <s v="Specialty Retail"/>
    <n v="1950415000"/>
    <n v="1360943000"/>
    <n v="589472000"/>
  </r>
  <r>
    <x v="373"/>
    <s v="Year 4"/>
    <d v="2015-12-26T00:00:00"/>
    <n v="6226507000"/>
    <n v="4083333000"/>
    <n v="1369097000"/>
    <n v="0"/>
    <n v="123569000"/>
    <x v="1"/>
    <s v="Specialty Retail"/>
    <n v="2143174000"/>
    <n v="1492666000"/>
    <n v="650508000"/>
  </r>
  <r>
    <x v="374"/>
    <s v="Year 1"/>
    <d v="2013-10-03T00:00:00"/>
    <n v="34374000000"/>
    <n v="32016000000"/>
    <n v="983000000"/>
    <n v="0"/>
    <n v="0"/>
    <x v="4"/>
    <s v="Packaged Foods &amp; Meats"/>
    <n v="2358000000"/>
    <n v="983000000"/>
    <n v="1375000000"/>
  </r>
  <r>
    <x v="374"/>
    <s v="Year 2"/>
    <d v="2014-10-03T00:00:00"/>
    <n v="37580000000"/>
    <n v="34895000000"/>
    <n v="1255000000"/>
    <n v="0"/>
    <n v="0"/>
    <x v="4"/>
    <s v="Packaged Foods &amp; Meats"/>
    <n v="2685000000"/>
    <n v="1255000000"/>
    <n v="1430000000"/>
  </r>
  <r>
    <x v="374"/>
    <s v="Year 3"/>
    <d v="2015-10-03T00:00:00"/>
    <n v="41373000000"/>
    <n v="37456000000"/>
    <n v="1748000000"/>
    <n v="0"/>
    <n v="0"/>
    <x v="4"/>
    <s v="Packaged Foods &amp; Meats"/>
    <n v="3917000000"/>
    <n v="1748000000"/>
    <n v="2169000000"/>
  </r>
  <r>
    <x v="374"/>
    <s v="Year 4"/>
    <d v="2016-10-01T00:00:00"/>
    <n v="36881000000"/>
    <n v="32184000000"/>
    <n v="1864000000"/>
    <n v="0"/>
    <n v="0"/>
    <x v="4"/>
    <s v="Packaged Foods &amp; Meats"/>
    <n v="4697000000"/>
    <n v="1864000000"/>
    <n v="2833000000"/>
  </r>
  <r>
    <x v="375"/>
    <s v="Year 1"/>
    <d v="2012-12-31T00:00:00"/>
    <n v="29809000000"/>
    <n v="26045000000"/>
    <n v="1702000000"/>
    <n v="0"/>
    <n v="418000000"/>
    <x v="9"/>
    <s v="Oil &amp; Gas Refining &amp; Marketing &amp; Transportation"/>
    <n v="3764000000"/>
    <n v="2120000000"/>
    <n v="1644000000"/>
  </r>
  <r>
    <x v="375"/>
    <s v="Year 2"/>
    <d v="2013-12-31T00:00:00"/>
    <n v="37601000000"/>
    <n v="34085000000"/>
    <n v="2248000000"/>
    <n v="0"/>
    <n v="489000000"/>
    <x v="9"/>
    <s v="Oil &amp; Gas Refining &amp; Marketing &amp; Transportation"/>
    <n v="3516000000"/>
    <n v="2737000000"/>
    <n v="779000000"/>
  </r>
  <r>
    <x v="375"/>
    <s v="Year 3"/>
    <d v="2014-12-31T00:00:00"/>
    <n v="40633000000"/>
    <n v="35673000000"/>
    <n v="2762000000"/>
    <n v="0"/>
    <n v="562000000"/>
    <x v="9"/>
    <s v="Oil &amp; Gas Refining &amp; Marketing &amp; Transportation"/>
    <n v="4960000000"/>
    <n v="3324000000"/>
    <n v="1636000000"/>
  </r>
  <r>
    <x v="375"/>
    <s v="Year 4"/>
    <d v="2015-12-31T00:00:00"/>
    <n v="28711000000"/>
    <n v="22466000000"/>
    <n v="2620000000"/>
    <n v="0"/>
    <n v="756000000"/>
    <x v="9"/>
    <s v="Oil &amp; Gas Refining &amp; Marketing &amp; Transportation"/>
    <n v="6245000000"/>
    <n v="3376000000"/>
    <n v="2869000000"/>
  </r>
  <r>
    <x v="376"/>
    <s v="Year 1"/>
    <d v="2012-12-31T00:00:00"/>
    <n v="1793557000"/>
    <n v="1189341000"/>
    <n v="247597000"/>
    <n v="0"/>
    <n v="0"/>
    <x v="2"/>
    <s v="Internet Software &amp; Services"/>
    <n v="604216000"/>
    <n v="247597000"/>
    <n v="356619000"/>
  </r>
  <r>
    <x v="376"/>
    <s v="Year 2"/>
    <d v="2013-12-31T00:00:00"/>
    <n v="2064305000"/>
    <n v="1369438000"/>
    <n v="312367000"/>
    <n v="0"/>
    <n v="0"/>
    <x v="2"/>
    <s v="Internet Software &amp; Services"/>
    <n v="694867000"/>
    <n v="312367000"/>
    <n v="382500000"/>
  </r>
  <r>
    <x v="376"/>
    <s v="Year 3"/>
    <d v="2014-12-31T00:00:00"/>
    <n v="2446877000"/>
    <n v="1668892000"/>
    <n v="346345000"/>
    <n v="0"/>
    <n v="0"/>
    <x v="2"/>
    <s v="Internet Software &amp; Services"/>
    <n v="777985000"/>
    <n v="346345000"/>
    <n v="431640000"/>
  </r>
  <r>
    <x v="376"/>
    <s v="Year 4"/>
    <d v="2015-12-31T00:00:00"/>
    <n v="2779541000"/>
    <n v="1855181000"/>
    <n v="390253000"/>
    <n v="0"/>
    <n v="0"/>
    <x v="2"/>
    <s v="Internet Software &amp; Services"/>
    <n v="924360000"/>
    <n v="390253000"/>
    <n v="534107000"/>
  </r>
  <r>
    <x v="377"/>
    <s v="Year 1"/>
    <d v="2012-12-31T00:00:00"/>
    <n v="12825000000"/>
    <n v="6457000000"/>
    <n v="1804000000"/>
    <n v="1877000000"/>
    <n v="0"/>
    <x v="2"/>
    <s v="Semiconductors"/>
    <n v="6368000000"/>
    <n v="3681000000"/>
    <n v="2687000000"/>
  </r>
  <r>
    <x v="377"/>
    <s v="Year 2"/>
    <d v="2013-12-31T00:00:00"/>
    <n v="12205000000"/>
    <n v="5841000000"/>
    <n v="1858000000"/>
    <n v="1522000000"/>
    <n v="0"/>
    <x v="2"/>
    <s v="Semiconductors"/>
    <n v="6364000000"/>
    <n v="3380000000"/>
    <n v="2984000000"/>
  </r>
  <r>
    <x v="377"/>
    <s v="Year 3"/>
    <d v="2014-12-31T00:00:00"/>
    <n v="13045000000"/>
    <n v="5618000000"/>
    <n v="1843000000"/>
    <n v="1358000000"/>
    <n v="0"/>
    <x v="2"/>
    <s v="Semiconductors"/>
    <n v="7427000000"/>
    <n v="3201000000"/>
    <n v="4226000000"/>
  </r>
  <r>
    <x v="377"/>
    <s v="Year 4"/>
    <d v="2015-12-31T00:00:00"/>
    <n v="13000000000"/>
    <n v="5440000000"/>
    <n v="1748000000"/>
    <n v="1280000000"/>
    <n v="0"/>
    <x v="2"/>
    <s v="Semiconductors"/>
    <n v="7560000000"/>
    <n v="3028000000"/>
    <n v="4532000000"/>
  </r>
  <r>
    <x v="378"/>
    <s v="Year 1"/>
    <d v="2012-12-29T00:00:00"/>
    <n v="12237000000"/>
    <n v="10019000000"/>
    <n v="1165000000"/>
    <n v="0"/>
    <n v="0"/>
    <x v="0"/>
    <s v="Industrial Conglomerates"/>
    <n v="2218000000"/>
    <n v="1165000000"/>
    <n v="1053000000"/>
  </r>
  <r>
    <x v="378"/>
    <s v="Year 2"/>
    <d v="2013-12-28T00:00:00"/>
    <n v="12104000000"/>
    <n v="10131000000"/>
    <n v="1126000000"/>
    <n v="0"/>
    <n v="0"/>
    <x v="0"/>
    <s v="Industrial Conglomerates"/>
    <n v="1973000000"/>
    <n v="1126000000"/>
    <n v="847000000"/>
  </r>
  <r>
    <x v="378"/>
    <s v="Year 3"/>
    <d v="2015-01-03T00:00:00"/>
    <n v="13878000000"/>
    <n v="11421000000"/>
    <n v="1361000000"/>
    <n v="0"/>
    <n v="0"/>
    <x v="0"/>
    <s v="Industrial Conglomerates"/>
    <n v="2457000000"/>
    <n v="1361000000"/>
    <n v="1096000000"/>
  </r>
  <r>
    <x v="378"/>
    <s v="Year 4"/>
    <d v="2016-01-02T00:00:00"/>
    <n v="13423000000"/>
    <n v="10979000000"/>
    <n v="1304000000"/>
    <n v="0"/>
    <n v="0"/>
    <x v="0"/>
    <s v="Industrial Conglomerates"/>
    <n v="2444000000"/>
    <n v="1304000000"/>
    <n v="1140000000"/>
  </r>
  <r>
    <x v="379"/>
    <s v="Year 1"/>
    <d v="2012-12-31T00:00:00"/>
    <n v="1834921000"/>
    <n v="955624000"/>
    <n v="670602000"/>
    <n v="0"/>
    <n v="0"/>
    <x v="1"/>
    <s v="Apparel, Accessories &amp; Luxury Goods"/>
    <n v="879297000"/>
    <n v="670602000"/>
    <n v="208695000"/>
  </r>
  <r>
    <x v="379"/>
    <s v="Year 2"/>
    <d v="2013-12-31T00:00:00"/>
    <n v="2332051000"/>
    <n v="1195381000"/>
    <n v="871572000"/>
    <n v="0"/>
    <n v="0"/>
    <x v="1"/>
    <s v="Apparel, Accessories &amp; Luxury Goods"/>
    <n v="1136670000"/>
    <n v="871572000"/>
    <n v="265098000"/>
  </r>
  <r>
    <x v="379"/>
    <s v="Year 3"/>
    <d v="2014-12-31T00:00:00"/>
    <n v="3084370000"/>
    <n v="1572164000"/>
    <n v="1158251000"/>
    <n v="0"/>
    <n v="0"/>
    <x v="1"/>
    <s v="Apparel, Accessories &amp; Luxury Goods"/>
    <n v="1512206000"/>
    <n v="1158251000"/>
    <n v="353955000"/>
  </r>
  <r>
    <x v="379"/>
    <s v="Year 4"/>
    <d v="2015-12-31T00:00:00"/>
    <n v="3963313000"/>
    <n v="2057766000"/>
    <n v="1497000000"/>
    <n v="0"/>
    <n v="0"/>
    <x v="1"/>
    <s v="Apparel, Accessories &amp; Luxury Goods"/>
    <n v="1905547000"/>
    <n v="1497000000"/>
    <n v="408547000"/>
  </r>
  <r>
    <x v="380"/>
    <s v="Year 1"/>
    <d v="2012-12-31T00:00:00"/>
    <n v="1834921000"/>
    <n v="955624000"/>
    <n v="670602000"/>
    <n v="0"/>
    <n v="0"/>
    <x v="1"/>
    <s v="Apparel, Accessories &amp; Luxury Goods"/>
    <n v="879297000"/>
    <n v="670602000"/>
    <n v="208695000"/>
  </r>
  <r>
    <x v="380"/>
    <s v="Year 2"/>
    <d v="2013-12-31T00:00:00"/>
    <n v="2332051000"/>
    <n v="1195381000"/>
    <n v="871572000"/>
    <n v="0"/>
    <n v="0"/>
    <x v="1"/>
    <s v="Apparel, Accessories &amp; Luxury Goods"/>
    <n v="1136670000"/>
    <n v="871572000"/>
    <n v="265098000"/>
  </r>
  <r>
    <x v="380"/>
    <s v="Year 3"/>
    <d v="2014-12-31T00:00:00"/>
    <n v="3084370000"/>
    <n v="1572164000"/>
    <n v="1158251000"/>
    <n v="0"/>
    <n v="0"/>
    <x v="1"/>
    <s v="Apparel, Accessories &amp; Luxury Goods"/>
    <n v="1512206000"/>
    <n v="1158251000"/>
    <n v="353955000"/>
  </r>
  <r>
    <x v="380"/>
    <s v="Year 4"/>
    <d v="2015-12-31T00:00:00"/>
    <n v="3963313000"/>
    <n v="2057766000"/>
    <n v="1497000000"/>
    <n v="0"/>
    <n v="0"/>
    <x v="1"/>
    <s v="Apparel, Accessories &amp; Luxury Goods"/>
    <n v="1905547000"/>
    <n v="1497000000"/>
    <n v="408547000"/>
  </r>
  <r>
    <x v="381"/>
    <s v="Year 1"/>
    <d v="2012-12-31T00:00:00"/>
    <n v="37152000000"/>
    <n v="17820000000"/>
    <n v="16448000000"/>
    <n v="0"/>
    <n v="1522000000"/>
    <x v="0"/>
    <s v="Airlines"/>
    <n v="19332000000"/>
    <n v="17970000000"/>
    <n v="1362000000"/>
  </r>
  <r>
    <x v="381"/>
    <s v="Year 2"/>
    <d v="2013-12-31T00:00:00"/>
    <n v="38279000000"/>
    <n v="17192000000"/>
    <n v="17629000000"/>
    <n v="0"/>
    <n v="1689000000"/>
    <x v="0"/>
    <s v="Airlines"/>
    <n v="21087000000"/>
    <n v="19318000000"/>
    <n v="1769000000"/>
  </r>
  <r>
    <x v="381"/>
    <s v="Year 3"/>
    <d v="2014-12-31T00:00:00"/>
    <n v="38901000000"/>
    <n v="16611000000"/>
    <n v="17795000000"/>
    <n v="0"/>
    <n v="1679000000"/>
    <x v="0"/>
    <s v="Airlines"/>
    <n v="22290000000"/>
    <n v="19474000000"/>
    <n v="2816000000"/>
  </r>
  <r>
    <x v="381"/>
    <s v="Year 4"/>
    <d v="2015-12-31T00:00:00"/>
    <n v="37864000000"/>
    <n v="12130000000"/>
    <n v="18423000000"/>
    <n v="0"/>
    <n v="1819000000"/>
    <x v="0"/>
    <s v="Airlines"/>
    <n v="25734000000"/>
    <n v="20242000000"/>
    <n v="5492000000"/>
  </r>
  <r>
    <x v="382"/>
    <s v="Year 1"/>
    <d v="2012-12-31T00:00:00"/>
    <n v="716612000"/>
    <n v="245316000"/>
    <n v="58005000"/>
    <n v="0"/>
    <n v="346031000"/>
    <x v="7"/>
    <s v="Residential REITs"/>
    <n v="471296000"/>
    <n v="404036000"/>
    <n v="67260000"/>
  </r>
  <r>
    <x v="382"/>
    <s v="Year 2"/>
    <d v="2013-12-31T00:00:00"/>
    <n v="758926000"/>
    <n v="258612000"/>
    <n v="37121000"/>
    <n v="0"/>
    <n v="346273000"/>
    <x v="7"/>
    <s v="Residential REITs"/>
    <n v="500314000"/>
    <n v="383394000"/>
    <n v="116920000"/>
  </r>
  <r>
    <x v="382"/>
    <s v="Year 3"/>
    <d v="2014-12-31T00:00:00"/>
    <n v="818046000"/>
    <n v="270741000"/>
    <n v="56612000"/>
    <n v="0"/>
    <n v="363929000"/>
    <x v="7"/>
    <s v="Residential REITs"/>
    <n v="547305000"/>
    <n v="420541000"/>
    <n v="126764000"/>
  </r>
  <r>
    <x v="382"/>
    <s v="Year 4"/>
    <d v="2015-12-31T00:00:00"/>
    <n v="894638000"/>
    <n v="282037000"/>
    <n v="71733000"/>
    <n v="0"/>
    <n v="381277000"/>
    <x v="7"/>
    <s v="Residential REITs"/>
    <n v="612601000"/>
    <n v="453010000"/>
    <n v="159591000"/>
  </r>
  <r>
    <x v="383"/>
    <s v="Year 1"/>
    <d v="2013-02-02T00:00:00"/>
    <n v="2220256000"/>
    <n v="1436582000"/>
    <n v="488880000"/>
    <n v="0"/>
    <n v="0"/>
    <x v="1"/>
    <s v="Specialty Stores"/>
    <n v="783674000"/>
    <n v="488880000"/>
    <n v="294794000"/>
  </r>
  <r>
    <x v="383"/>
    <s v="Year 2"/>
    <d v="2014-02-02T00:00:00"/>
    <n v="2670573000"/>
    <n v="1729325000"/>
    <n v="596390000"/>
    <n v="0"/>
    <n v="0"/>
    <x v="1"/>
    <s v="Specialty Stores"/>
    <n v="941248000"/>
    <n v="596390000"/>
    <n v="344858000"/>
  </r>
  <r>
    <x v="383"/>
    <s v="Year 3"/>
    <d v="2015-01-31T00:00:00"/>
    <n v="3241369000"/>
    <n v="2104582000"/>
    <n v="712006000"/>
    <n v="0"/>
    <n v="0"/>
    <x v="1"/>
    <s v="Specialty Stores"/>
    <n v="1136787000"/>
    <n v="712006000"/>
    <n v="424781000"/>
  </r>
  <r>
    <x v="383"/>
    <s v="Year 4"/>
    <d v="2016-01-31T00:00:00"/>
    <n v="3924116000"/>
    <n v="2539783000"/>
    <n v="863354000"/>
    <n v="0"/>
    <n v="0"/>
    <x v="1"/>
    <s v="Specialty Stores"/>
    <n v="1384333000"/>
    <n v="863354000"/>
    <n v="520979000"/>
  </r>
  <r>
    <x v="384"/>
    <s v="Year 1"/>
    <d v="2013-12-31T00:00:00"/>
    <n v="122489000000"/>
    <n v="89659000000"/>
    <n v="0"/>
    <n v="0"/>
    <n v="23207000000"/>
    <x v="3"/>
    <s v="Managed Health Care"/>
    <n v="32830000000"/>
    <n v="23207000000"/>
    <n v="9623000000"/>
  </r>
  <r>
    <x v="384"/>
    <s v="Year 2"/>
    <d v="2014-12-31T00:00:00"/>
    <n v="130474000000"/>
    <n v="93633000000"/>
    <n v="0"/>
    <n v="0"/>
    <n v="26567000000"/>
    <x v="3"/>
    <s v="Managed Health Care"/>
    <n v="36841000000"/>
    <n v="26567000000"/>
    <n v="10274000000"/>
  </r>
  <r>
    <x v="384"/>
    <s v="Year 3"/>
    <d v="2015-12-31T00:00:00"/>
    <n v="157107000000"/>
    <n v="103875000000"/>
    <n v="0"/>
    <n v="0"/>
    <n v="42211000000"/>
    <x v="3"/>
    <s v="Managed Health Care"/>
    <n v="53232000000"/>
    <n v="42211000000"/>
    <n v="11021000000"/>
  </r>
  <r>
    <x v="384"/>
    <s v="Year 4"/>
    <d v="2016-12-31T00:00:00"/>
    <n v="184840000000"/>
    <n v="117038000000"/>
    <n v="0"/>
    <n v="0"/>
    <n v="54872000000"/>
    <x v="3"/>
    <s v="Managed Health Care"/>
    <n v="67802000000"/>
    <n v="54872000000"/>
    <n v="12930000000"/>
  </r>
  <r>
    <x v="385"/>
    <s v="Year 1"/>
    <d v="2012-12-31T00:00:00"/>
    <n v="10515400000"/>
    <n v="7172100000"/>
    <n v="786800000"/>
    <n v="0"/>
    <n v="1161600000"/>
    <x v="6"/>
    <s v="Diversified Financial Services"/>
    <n v="3343300000"/>
    <n v="1948400000"/>
    <n v="1394900000"/>
  </r>
  <r>
    <x v="385"/>
    <s v="Year 2"/>
    <d v="2013-12-31T00:00:00"/>
    <n v="10368600000"/>
    <n v="7038400000"/>
    <n v="790400000"/>
    <n v="0"/>
    <n v="1170400000"/>
    <x v="6"/>
    <s v="Diversified Financial Services"/>
    <n v="3330200000"/>
    <n v="1960800000"/>
    <n v="1369400000"/>
  </r>
  <r>
    <x v="385"/>
    <s v="Year 3"/>
    <d v="2014-12-31T00:00:00"/>
    <n v="10524500000"/>
    <n v="7722100000"/>
    <n v="820900000"/>
    <n v="0"/>
    <n v="1272000000"/>
    <x v="6"/>
    <s v="Diversified Financial Services"/>
    <n v="2802400000"/>
    <n v="2092900000"/>
    <n v="709500000"/>
  </r>
  <r>
    <x v="385"/>
    <s v="Year 4"/>
    <d v="2015-12-31T00:00:00"/>
    <n v="10731300000"/>
    <n v="7209400000"/>
    <n v="835100000"/>
    <n v="0"/>
    <n v="1295700000"/>
    <x v="6"/>
    <s v="Diversified Financial Services"/>
    <n v="3521900000"/>
    <n v="2130800000"/>
    <n v="1391100000"/>
  </r>
  <r>
    <x v="386"/>
    <s v="Year 1"/>
    <d v="2013-12-31T00:00:00"/>
    <n v="21963000000"/>
    <n v="5849000000"/>
    <n v="6891000000"/>
    <n v="0"/>
    <n v="1777000000"/>
    <x v="0"/>
    <s v="Railroads"/>
    <n v="16114000000"/>
    <n v="8668000000"/>
    <n v="7446000000"/>
  </r>
  <r>
    <x v="386"/>
    <s v="Year 2"/>
    <d v="2014-12-31T00:00:00"/>
    <n v="23988000000"/>
    <n v="6097000000"/>
    <n v="7234000000"/>
    <n v="0"/>
    <n v="1904000000"/>
    <x v="0"/>
    <s v="Railroads"/>
    <n v="17891000000"/>
    <n v="9138000000"/>
    <n v="8753000000"/>
  </r>
  <r>
    <x v="386"/>
    <s v="Year 3"/>
    <d v="2015-12-31T00:00:00"/>
    <n v="21813000000"/>
    <n v="4434000000"/>
    <n v="7315000000"/>
    <n v="0"/>
    <n v="2012000000"/>
    <x v="0"/>
    <s v="Railroads"/>
    <n v="17379000000"/>
    <n v="9327000000"/>
    <n v="8052000000"/>
  </r>
  <r>
    <x v="386"/>
    <s v="Year 4"/>
    <d v="2016-12-31T00:00:00"/>
    <n v="19941000000"/>
    <n v="3747000000"/>
    <n v="6884000000"/>
    <n v="0"/>
    <n v="2038000000"/>
    <x v="0"/>
    <s v="Railroads"/>
    <n v="16194000000"/>
    <n v="8922000000"/>
    <n v="7272000000"/>
  </r>
  <r>
    <x v="387"/>
    <s v="Year 1"/>
    <d v="2012-12-31T00:00:00"/>
    <n v="54127000000"/>
    <n v="13574000000"/>
    <n v="37352000000"/>
    <n v="0"/>
    <n v="1858000000"/>
    <x v="0"/>
    <s v="Air Freight &amp; Logistics"/>
    <n v="40553000000"/>
    <n v="39210000000"/>
    <n v="1343000000"/>
  </r>
  <r>
    <x v="387"/>
    <s v="Year 2"/>
    <d v="2013-12-31T00:00:00"/>
    <n v="55438000000"/>
    <n v="13703000000"/>
    <n v="32834000000"/>
    <n v="0"/>
    <n v="1867000000"/>
    <x v="0"/>
    <s v="Air Freight &amp; Logistics"/>
    <n v="41735000000"/>
    <n v="34701000000"/>
    <n v="7034000000"/>
  </r>
  <r>
    <x v="387"/>
    <s v="Year 3"/>
    <d v="2014-12-31T00:00:00"/>
    <n v="58232000000"/>
    <n v="14758000000"/>
    <n v="36583000000"/>
    <n v="0"/>
    <n v="1923000000"/>
    <x v="0"/>
    <s v="Air Freight &amp; Logistics"/>
    <n v="43474000000"/>
    <n v="38506000000"/>
    <n v="4968000000"/>
  </r>
  <r>
    <x v="387"/>
    <s v="Year 4"/>
    <d v="2015-12-31T00:00:00"/>
    <n v="58363000000"/>
    <n v="12947000000"/>
    <n v="35664000000"/>
    <n v="0"/>
    <n v="2084000000"/>
    <x v="0"/>
    <s v="Air Freight &amp; Logistics"/>
    <n v="45416000000"/>
    <n v="37748000000"/>
    <n v="7668000000"/>
  </r>
  <r>
    <x v="388"/>
    <s v="Year 1"/>
    <d v="2013-01-31T00:00:00"/>
    <n v="2794925000"/>
    <n v="1763394000"/>
    <n v="657246000"/>
    <n v="0"/>
    <n v="0"/>
    <x v="1"/>
    <s v="Apparel Retail"/>
    <n v="1031531000"/>
    <n v="657246000"/>
    <n v="374285000"/>
  </r>
  <r>
    <x v="388"/>
    <s v="Year 2"/>
    <d v="2014-01-31T00:00:00"/>
    <n v="3086608000"/>
    <n v="1925266000"/>
    <n v="734511000"/>
    <n v="0"/>
    <n v="0"/>
    <x v="1"/>
    <s v="Apparel Retail"/>
    <n v="1161342000"/>
    <n v="734511000"/>
    <n v="426831000"/>
  </r>
  <r>
    <x v="388"/>
    <s v="Year 3"/>
    <d v="2015-01-31T00:00:00"/>
    <n v="3323077000"/>
    <n v="2148147000"/>
    <n v="809545000"/>
    <n v="0"/>
    <n v="0"/>
    <x v="1"/>
    <s v="Apparel Retail"/>
    <n v="1174930000"/>
    <n v="809545000"/>
    <n v="365385000"/>
  </r>
  <r>
    <x v="388"/>
    <s v="Year 4"/>
    <d v="2016-01-31T00:00:00"/>
    <n v="3445134000"/>
    <n v="2243232000"/>
    <n v="848323000"/>
    <n v="0"/>
    <n v="0"/>
    <x v="1"/>
    <s v="Apparel Retail"/>
    <n v="1201902000"/>
    <n v="848323000"/>
    <n v="353579000"/>
  </r>
  <r>
    <x v="389"/>
    <s v="Year 1"/>
    <d v="2013-07-31T00:00:00"/>
    <n v="2436948000"/>
    <n v="1589821000"/>
    <n v="441168000"/>
    <n v="62630000"/>
    <n v="0"/>
    <x v="6"/>
    <s v="Banks"/>
    <n v="847127000"/>
    <n v="503798000"/>
    <n v="343329000"/>
  </r>
  <r>
    <x v="389"/>
    <s v="Year 2"/>
    <d v="2014-07-31T00:00:00"/>
    <n v="2473500000"/>
    <n v="1595700000"/>
    <n v="460300000"/>
    <n v="61800000"/>
    <n v="0"/>
    <x v="6"/>
    <s v="Banks"/>
    <n v="877800000"/>
    <n v="522100000"/>
    <n v="355700000"/>
  </r>
  <r>
    <x v="389"/>
    <s v="Year 3"/>
    <d v="2015-07-31T00:00:00"/>
    <n v="2371200000"/>
    <n v="1562600000"/>
    <n v="460100000"/>
    <n v="60200000"/>
    <n v="0"/>
    <x v="6"/>
    <s v="Banks"/>
    <n v="808600000"/>
    <n v="520300000"/>
    <n v="288300000"/>
  </r>
  <r>
    <x v="389"/>
    <s v="Year 4"/>
    <d v="2016-07-31T00:00:00"/>
    <n v="2220300000"/>
    <n v="1465500000"/>
    <n v="425100000"/>
    <n v="55500000"/>
    <n v="0"/>
    <x v="6"/>
    <s v="Banks"/>
    <n v="754800000"/>
    <n v="480600000"/>
    <n v="274200000"/>
  </r>
  <r>
    <x v="390"/>
    <s v="Year 1"/>
    <d v="2013-12-31T00:00:00"/>
    <n v="56600000000"/>
    <n v="40468000000"/>
    <n v="5241000000"/>
    <n v="2342000000"/>
    <n v="0"/>
    <x v="0"/>
    <s v="Industrial Conglomerates"/>
    <n v="16132000000"/>
    <n v="7583000000"/>
    <n v="8549000000"/>
  </r>
  <r>
    <x v="390"/>
    <s v="Year 2"/>
    <d v="2014-12-31T00:00:00"/>
    <n v="57900000000"/>
    <n v="40898000000"/>
    <n v="4934000000"/>
    <n v="2475000000"/>
    <n v="0"/>
    <x v="0"/>
    <s v="Industrial Conglomerates"/>
    <n v="17002000000"/>
    <n v="7409000000"/>
    <n v="9593000000"/>
  </r>
  <r>
    <x v="390"/>
    <s v="Year 3"/>
    <d v="2015-12-31T00:00:00"/>
    <n v="56098000000"/>
    <n v="40431000000"/>
    <n v="6097000000"/>
    <n v="2279000000"/>
    <n v="0"/>
    <x v="0"/>
    <s v="Industrial Conglomerates"/>
    <n v="15667000000"/>
    <n v="8376000000"/>
    <n v="7291000000"/>
  </r>
  <r>
    <x v="390"/>
    <s v="Year 4"/>
    <d v="2016-12-31T00:00:00"/>
    <n v="57244000000"/>
    <n v="41460000000"/>
    <n v="5275000000"/>
    <n v="2337000000"/>
    <n v="0"/>
    <x v="0"/>
    <s v="Industrial Conglomerates"/>
    <n v="15784000000"/>
    <n v="7612000000"/>
    <n v="8172000000"/>
  </r>
  <r>
    <x v="391"/>
    <s v="Year 1"/>
    <d v="2013-09-30T00:00:00"/>
    <n v="11778000000"/>
    <n v="1932000000"/>
    <n v="2207000000"/>
    <n v="0"/>
    <n v="397000000"/>
    <x v="2"/>
    <s v="Internet Software &amp; Services"/>
    <n v="9846000000"/>
    <n v="2604000000"/>
    <n v="7242000000"/>
  </r>
  <r>
    <x v="391"/>
    <s v="Year 2"/>
    <d v="2014-09-30T00:00:00"/>
    <n v="12702000000"/>
    <n v="1875000000"/>
    <n v="2242000000"/>
    <n v="0"/>
    <n v="435000000"/>
    <x v="2"/>
    <s v="Internet Software &amp; Services"/>
    <n v="10827000000"/>
    <n v="2677000000"/>
    <n v="8150000000"/>
  </r>
  <r>
    <x v="391"/>
    <s v="Year 3"/>
    <d v="2015-09-30T00:00:00"/>
    <n v="13880000000"/>
    <n v="2079000000"/>
    <n v="2229000000"/>
    <n v="0"/>
    <n v="494000000"/>
    <x v="2"/>
    <s v="Internet Software &amp; Services"/>
    <n v="11801000000"/>
    <n v="2723000000"/>
    <n v="9078000000"/>
  </r>
  <r>
    <x v="391"/>
    <s v="Year 4"/>
    <d v="2016-09-30T00:00:00"/>
    <n v="15082000000"/>
    <n v="2226000000"/>
    <n v="4469000000"/>
    <n v="0"/>
    <n v="502000000"/>
    <x v="2"/>
    <s v="Internet Software &amp; Services"/>
    <n v="12856000000"/>
    <n v="4971000000"/>
    <n v="7885000000"/>
  </r>
  <r>
    <x v="392"/>
    <s v="Year 1"/>
    <d v="2013-09-27T00:00:00"/>
    <n v="2942897000"/>
    <n v="1693210000"/>
    <n v="432589000"/>
    <n v="208208000"/>
    <n v="0"/>
    <x v="3"/>
    <s v="Health Care Equipment"/>
    <n v="1249687000"/>
    <n v="640797000"/>
    <n v="608890000"/>
  </r>
  <r>
    <x v="392"/>
    <s v="Year 2"/>
    <d v="2014-09-26T00:00:00"/>
    <n v="3049800000"/>
    <n v="1748100000"/>
    <n v="470600000"/>
    <n v="234800000"/>
    <n v="0"/>
    <x v="3"/>
    <s v="Health Care Equipment"/>
    <n v="1301700000"/>
    <n v="705400000"/>
    <n v="596300000"/>
  </r>
  <r>
    <x v="392"/>
    <s v="Year 3"/>
    <d v="2015-10-02T00:00:00"/>
    <n v="3099100000"/>
    <n v="1816400000"/>
    <n v="488500000"/>
    <n v="245200000"/>
    <n v="0"/>
    <x v="3"/>
    <s v="Health Care Equipment"/>
    <n v="1282700000"/>
    <n v="733700000"/>
    <n v="549000000"/>
  </r>
  <r>
    <x v="392"/>
    <s v="Year 4"/>
    <d v="2016-09-30T00:00:00"/>
    <n v="3217800000"/>
    <n v="1856500000"/>
    <n v="557000000"/>
    <n v="253500000"/>
    <n v="0"/>
    <x v="3"/>
    <s v="Health Care Equipment"/>
    <n v="1361300000"/>
    <n v="810500000"/>
    <n v="550800000"/>
  </r>
  <r>
    <x v="393"/>
    <s v="Year 1"/>
    <d v="2012-12-31T00:00:00"/>
    <n v="10879855000"/>
    <n v="5817880000"/>
    <n v="3596708000"/>
    <n v="0"/>
    <n v="0"/>
    <x v="1"/>
    <s v="Apparel, Accessories &amp; Luxury Goods"/>
    <n v="5061975000"/>
    <n v="3596708000"/>
    <n v="1465267000"/>
  </r>
  <r>
    <x v="393"/>
    <s v="Year 2"/>
    <d v="2013-12-31T00:00:00"/>
    <n v="11419648000"/>
    <n v="5931469000"/>
    <n v="3841032000"/>
    <n v="0"/>
    <n v="0"/>
    <x v="1"/>
    <s v="Apparel, Accessories &amp; Luxury Goods"/>
    <n v="5488179000"/>
    <n v="3841032000"/>
    <n v="1647147000"/>
  </r>
  <r>
    <x v="393"/>
    <s v="Year 3"/>
    <d v="2015-01-03T00:00:00"/>
    <n v="12282161000"/>
    <n v="6288190000"/>
    <n v="4159885000"/>
    <n v="0"/>
    <n v="0"/>
    <x v="1"/>
    <s v="Apparel, Accessories &amp; Luxury Goods"/>
    <n v="5993971000"/>
    <n v="4159885000"/>
    <n v="1834086000"/>
  </r>
  <r>
    <x v="393"/>
    <s v="Year 4"/>
    <d v="2016-01-02T00:00:00"/>
    <n v="12376744000"/>
    <n v="6393800000"/>
    <n v="4178386000"/>
    <n v="0"/>
    <n v="0"/>
    <x v="1"/>
    <s v="Apparel, Accessories &amp; Luxury Goods"/>
    <n v="5982944000"/>
    <n v="4178386000"/>
    <n v="1804558000"/>
  </r>
  <r>
    <x v="394"/>
    <s v="Year 1"/>
    <d v="2013-09-30T00:00:00"/>
    <n v="13794000000"/>
    <n v="6799000000"/>
    <n v="2829000000"/>
    <n v="0"/>
    <n v="237000000"/>
    <x v="1"/>
    <s v="Broadcasting &amp; Cable TV"/>
    <n v="6995000000"/>
    <n v="3066000000"/>
    <n v="3929000000"/>
  </r>
  <r>
    <x v="394"/>
    <s v="Year 2"/>
    <d v="2014-09-30T00:00:00"/>
    <n v="13783000000"/>
    <n v="6542000000"/>
    <n v="2899000000"/>
    <n v="0"/>
    <n v="217000000"/>
    <x v="1"/>
    <s v="Broadcasting &amp; Cable TV"/>
    <n v="7241000000"/>
    <n v="3116000000"/>
    <n v="4125000000"/>
  </r>
  <r>
    <x v="394"/>
    <s v="Year 3"/>
    <d v="2015-09-30T00:00:00"/>
    <n v="13268000000"/>
    <n v="6868000000"/>
    <n v="2860000000"/>
    <n v="0"/>
    <n v="222000000"/>
    <x v="1"/>
    <s v="Broadcasting &amp; Cable TV"/>
    <n v="6400000000"/>
    <n v="3082000000"/>
    <n v="3318000000"/>
  </r>
  <r>
    <x v="394"/>
    <s v="Year 4"/>
    <d v="2016-09-30T00:00:00"/>
    <n v="12488000000"/>
    <n v="6684000000"/>
    <n v="2851000000"/>
    <n v="0"/>
    <n v="221000000"/>
    <x v="1"/>
    <s v="Broadcasting &amp; Cable TV"/>
    <n v="5804000000"/>
    <n v="3072000000"/>
    <n v="2732000000"/>
  </r>
  <r>
    <x v="395"/>
    <s v="Year 1"/>
    <d v="2012-12-31T00:00:00"/>
    <n v="138393000000"/>
    <n v="126485000000"/>
    <n v="5229000000"/>
    <n v="0"/>
    <n v="1549000000"/>
    <x v="9"/>
    <s v="Oil &amp; Gas Refining &amp; Marketing &amp; Transportation"/>
    <n v="11908000000"/>
    <n v="6778000000"/>
    <n v="5130000000"/>
  </r>
  <r>
    <x v="395"/>
    <s v="Year 2"/>
    <d v="2013-12-31T00:00:00"/>
    <n v="138074000000"/>
    <n v="127316000000"/>
    <n v="5081000000"/>
    <n v="0"/>
    <n v="1720000000"/>
    <x v="9"/>
    <s v="Oil &amp; Gas Refining &amp; Marketing &amp; Transportation"/>
    <n v="10758000000"/>
    <n v="6801000000"/>
    <n v="3957000000"/>
  </r>
  <r>
    <x v="395"/>
    <s v="Year 3"/>
    <d v="2014-12-31T00:00:00"/>
    <n v="130844000000"/>
    <n v="118141000000"/>
    <n v="5111000000"/>
    <n v="0"/>
    <n v="1690000000"/>
    <x v="9"/>
    <s v="Oil &amp; Gas Refining &amp; Marketing &amp; Transportation"/>
    <n v="12703000000"/>
    <n v="6801000000"/>
    <n v="5902000000"/>
  </r>
  <r>
    <x v="395"/>
    <s v="Year 4"/>
    <d v="2015-12-31T00:00:00"/>
    <n v="87804000000"/>
    <n v="74651000000"/>
    <n v="4953000000"/>
    <n v="0"/>
    <n v="1842000000"/>
    <x v="9"/>
    <s v="Oil &amp; Gas Refining &amp; Marketing &amp; Transportation"/>
    <n v="13153000000"/>
    <n v="6795000000"/>
    <n v="6358000000"/>
  </r>
  <r>
    <x v="396"/>
    <s v="Year 1"/>
    <d v="2012-12-31T00:00:00"/>
    <n v="2567310000"/>
    <n v="2233284000"/>
    <n v="308143000"/>
    <n v="0"/>
    <n v="0"/>
    <x v="8"/>
    <s v="Construction Materials"/>
    <n v="334026000"/>
    <n v="308143000"/>
    <n v="25883000"/>
  </r>
  <r>
    <x v="396"/>
    <s v="Year 2"/>
    <d v="2013-12-31T00:00:00"/>
    <n v="2770709000"/>
    <n v="2343829000"/>
    <n v="274217000"/>
    <n v="0"/>
    <n v="0"/>
    <x v="8"/>
    <s v="Construction Materials"/>
    <n v="426880000"/>
    <n v="274217000"/>
    <n v="152663000"/>
  </r>
  <r>
    <x v="396"/>
    <s v="Year 3"/>
    <d v="2014-12-31T00:00:00"/>
    <n v="2994169000"/>
    <n v="2406587000"/>
    <n v="292358000"/>
    <n v="0"/>
    <n v="0"/>
    <x v="8"/>
    <s v="Construction Materials"/>
    <n v="587582000"/>
    <n v="292358000"/>
    <n v="295224000"/>
  </r>
  <r>
    <x v="396"/>
    <s v="Year 4"/>
    <d v="2015-12-31T00:00:00"/>
    <n v="3422181000"/>
    <n v="2564648000"/>
    <n v="312694000"/>
    <n v="0"/>
    <n v="0"/>
    <x v="8"/>
    <s v="Construction Materials"/>
    <n v="857533000"/>
    <n v="312694000"/>
    <n v="544839000"/>
  </r>
  <r>
    <x v="397"/>
    <s v="Year 1"/>
    <d v="2013-12-31T00:00:00"/>
    <n v="2299176000"/>
    <n v="928565000"/>
    <n v="177366000"/>
    <n v="32210000"/>
    <n v="461627000"/>
    <x v="7"/>
    <s v="REITs"/>
    <n v="1370611000"/>
    <n v="671203000"/>
    <n v="699408000"/>
  </r>
  <r>
    <x v="397"/>
    <s v="Year 2"/>
    <d v="2014-12-31T00:00:00"/>
    <n v="2312512000"/>
    <n v="953611000"/>
    <n v="169270000"/>
    <n v="0"/>
    <n v="481303000"/>
    <x v="7"/>
    <s v="REITs"/>
    <n v="1358901000"/>
    <n v="650573000"/>
    <n v="708328000"/>
  </r>
  <r>
    <x v="397"/>
    <s v="Year 3"/>
    <d v="2015-12-31T00:00:00"/>
    <n v="2502267000"/>
    <n v="1011249000"/>
    <n v="175307000"/>
    <n v="0"/>
    <n v="542952000"/>
    <x v="7"/>
    <s v="REITs"/>
    <n v="1491018000"/>
    <n v="718259000"/>
    <n v="772759000"/>
  </r>
  <r>
    <x v="397"/>
    <s v="Year 4"/>
    <d v="2016-12-31T00:00:00"/>
    <n v="2506202000"/>
    <n v="1024336000"/>
    <n v="179279000"/>
    <n v="0"/>
    <n v="565059000"/>
    <x v="7"/>
    <s v="REITs"/>
    <n v="1481866000"/>
    <n v="744338000"/>
    <n v="737528000"/>
  </r>
  <r>
    <x v="398"/>
    <s v="Year 1"/>
    <d v="2012-12-31T00:00:00"/>
    <n v="1407848000"/>
    <n v="516708000"/>
    <n v="220068000"/>
    <n v="0"/>
    <n v="98844000"/>
    <x v="0"/>
    <s v="Research &amp; Consulting Services"/>
    <n v="891140000"/>
    <n v="318912000"/>
    <n v="572228000"/>
  </r>
  <r>
    <x v="398"/>
    <s v="Year 2"/>
    <d v="2013-12-31T00:00:00"/>
    <n v="1595703000"/>
    <n v="622523000"/>
    <n v="228982000"/>
    <n v="0"/>
    <n v="129931000"/>
    <x v="0"/>
    <s v="Research &amp; Consulting Services"/>
    <n v="973180000"/>
    <n v="358913000"/>
    <n v="614267000"/>
  </r>
  <r>
    <x v="398"/>
    <s v="Year 3"/>
    <d v="2014-12-31T00:00:00"/>
    <n v="1746726000"/>
    <n v="716598000"/>
    <n v="227306000"/>
    <n v="0"/>
    <n v="142376000"/>
    <x v="0"/>
    <s v="Research &amp; Consulting Services"/>
    <n v="1030128000"/>
    <n v="369682000"/>
    <n v="660446000"/>
  </r>
  <r>
    <x v="398"/>
    <s v="Year 4"/>
    <d v="2015-12-31T00:00:00"/>
    <n v="2068010000"/>
    <n v="803274000"/>
    <n v="312690000"/>
    <n v="0"/>
    <n v="215484000"/>
    <x v="0"/>
    <s v="Research &amp; Consulting Services"/>
    <n v="1264736000"/>
    <n v="528174000"/>
    <n v="736562000"/>
  </r>
  <r>
    <x v="399"/>
    <s v="Year 1"/>
    <d v="2012-12-31T00:00:00"/>
    <n v="873592000"/>
    <n v="167600000"/>
    <n v="186971000"/>
    <n v="61694000"/>
    <n v="0"/>
    <x v="2"/>
    <s v="Internet Software &amp; Services"/>
    <n v="705992000"/>
    <n v="248665000"/>
    <n v="457327000"/>
  </r>
  <r>
    <x v="399"/>
    <s v="Year 2"/>
    <d v="2013-12-31T00:00:00"/>
    <n v="965087000"/>
    <n v="187013000"/>
    <n v="179545000"/>
    <n v="70297000"/>
    <n v="0"/>
    <x v="2"/>
    <s v="Internet Software &amp; Services"/>
    <n v="778074000"/>
    <n v="249842000"/>
    <n v="528232000"/>
  </r>
  <r>
    <x v="399"/>
    <s v="Year 3"/>
    <d v="2014-12-31T00:00:00"/>
    <n v="1010117000"/>
    <n v="188425000"/>
    <n v="189488000"/>
    <n v="67777000"/>
    <n v="0"/>
    <x v="2"/>
    <s v="Internet Software &amp; Services"/>
    <n v="821692000"/>
    <n v="257265000"/>
    <n v="564427000"/>
  </r>
  <r>
    <x v="399"/>
    <s v="Year 4"/>
    <d v="2015-12-31T00:00:00"/>
    <n v="1059366000"/>
    <n v="192788000"/>
    <n v="196914000"/>
    <n v="63718000"/>
    <n v="0"/>
    <x v="2"/>
    <s v="Internet Software &amp; Services"/>
    <n v="866578000"/>
    <n v="260632000"/>
    <n v="605946000"/>
  </r>
  <r>
    <x v="400"/>
    <s v="Year 1"/>
    <d v="2012-12-31T00:00:00"/>
    <n v="1527042000"/>
    <n v="279885000"/>
    <n v="432681000"/>
    <n v="765905000"/>
    <n v="0"/>
    <x v="3"/>
    <s v="Biotechnology"/>
    <n v="1247157000"/>
    <n v="1198586000"/>
    <n v="48571000"/>
  </r>
  <r>
    <x v="400"/>
    <s v="Year 2"/>
    <d v="2013-12-31T00:00:00"/>
    <n v="1211975000"/>
    <n v="130277000"/>
    <n v="356188000"/>
    <n v="882097000"/>
    <n v="0"/>
    <x v="3"/>
    <s v="Biotechnology"/>
    <n v="1081698000"/>
    <n v="1238285000"/>
    <n v="-156587000"/>
  </r>
  <r>
    <x v="400"/>
    <s v="Year 3"/>
    <d v="2014-12-31T00:00:00"/>
    <n v="580415000"/>
    <n v="60987000"/>
    <n v="305409000"/>
    <n v="855506000"/>
    <n v="0"/>
    <x v="3"/>
    <s v="Biotechnology"/>
    <n v="519428000"/>
    <n v="1160915000"/>
    <n v="-641487000"/>
  </r>
  <r>
    <x v="400"/>
    <s v="Year 4"/>
    <d v="2015-12-31T00:00:00"/>
    <n v="1032336000"/>
    <n v="124512000"/>
    <n v="376575000"/>
    <n v="995922000"/>
    <n v="0"/>
    <x v="3"/>
    <s v="Biotechnology"/>
    <n v="907824000"/>
    <n v="1372497000"/>
    <n v="-464673000"/>
  </r>
  <r>
    <x v="401"/>
    <s v="Year 1"/>
    <d v="2013-12-31T00:00:00"/>
    <n v="2514595000"/>
    <n v="1118240000"/>
    <n v="132447000"/>
    <n v="0"/>
    <n v="629908000"/>
    <x v="7"/>
    <s v="REITs"/>
    <n v="1396355000"/>
    <n v="762355000"/>
    <n v="634000000"/>
  </r>
  <r>
    <x v="401"/>
    <s v="Year 2"/>
    <d v="2014-12-31T00:00:00"/>
    <n v="2772550000"/>
    <n v="1212480000"/>
    <n v="147481000"/>
    <n v="0"/>
    <n v="725216000"/>
    <x v="7"/>
    <s v="REITs"/>
    <n v="1560070000"/>
    <n v="872697000"/>
    <n v="687373000"/>
  </r>
  <r>
    <x v="401"/>
    <s v="Year 3"/>
    <d v="2015-12-31T00:00:00"/>
    <n v="3285346000"/>
    <n v="1410205000"/>
    <n v="145992000"/>
    <n v="0"/>
    <n v="894057000"/>
    <x v="7"/>
    <s v="REITs"/>
    <n v="1875141000"/>
    <n v="1040049000"/>
    <n v="835092000"/>
  </r>
  <r>
    <x v="401"/>
    <s v="Year 4"/>
    <d v="2016-12-31T00:00:00"/>
    <n v="3442646000"/>
    <n v="1442073000"/>
    <n v="136863000"/>
    <n v="0"/>
    <n v="898924000"/>
    <x v="7"/>
    <s v="REITs"/>
    <n v="2000573000"/>
    <n v="1035787000"/>
    <n v="964786000"/>
  </r>
  <r>
    <x v="402"/>
    <s v="Year 1"/>
    <d v="2012-12-31T00:00:00"/>
    <n v="115846000000"/>
    <n v="46275000000"/>
    <n v="39951000000"/>
    <n v="0"/>
    <n v="16460000000"/>
    <x v="10"/>
    <s v="Integrated Telecommunications Services"/>
    <n v="69571000000"/>
    <n v="56411000000"/>
    <n v="13160000000"/>
  </r>
  <r>
    <x v="402"/>
    <s v="Year 2"/>
    <d v="2013-12-31T00:00:00"/>
    <n v="120550000000"/>
    <n v="44887000000"/>
    <n v="27089000000"/>
    <n v="0"/>
    <n v="16606000000"/>
    <x v="10"/>
    <s v="Integrated Telecommunications Services"/>
    <n v="75663000000"/>
    <n v="43695000000"/>
    <n v="31968000000"/>
  </r>
  <r>
    <x v="402"/>
    <s v="Year 3"/>
    <d v="2014-12-31T00:00:00"/>
    <n v="127079000000"/>
    <n v="49931000000"/>
    <n v="41016000000"/>
    <n v="0"/>
    <n v="16533000000"/>
    <x v="10"/>
    <s v="Integrated Telecommunications Services"/>
    <n v="77148000000"/>
    <n v="57549000000"/>
    <n v="19599000000"/>
  </r>
  <r>
    <x v="402"/>
    <s v="Year 4"/>
    <d v="2015-12-31T00:00:00"/>
    <n v="131620000000"/>
    <n v="52557000000"/>
    <n v="29986000000"/>
    <n v="0"/>
    <n v="16017000000"/>
    <x v="10"/>
    <s v="Integrated Telecommunications Services"/>
    <n v="79063000000"/>
    <n v="46003000000"/>
    <n v="33060000000"/>
  </r>
  <r>
    <x v="403"/>
    <s v="Year 1"/>
    <d v="2012-12-31T00:00:00"/>
    <n v="1843641000"/>
    <n v="737614000"/>
    <n v="477270000"/>
    <n v="96004000"/>
    <n v="13829000"/>
    <x v="3"/>
    <s v="Health Care Distributors"/>
    <n v="1106027000"/>
    <n v="587103000"/>
    <n v="518924000"/>
  </r>
  <r>
    <x v="403"/>
    <s v="Year 2"/>
    <d v="2013-12-31T00:00:00"/>
    <n v="1904218000"/>
    <n v="783456000"/>
    <n v="492965000"/>
    <n v="100536000"/>
    <n v="9918000"/>
    <x v="3"/>
    <s v="Health Care Distributors"/>
    <n v="1120762000"/>
    <n v="603419000"/>
    <n v="517343000"/>
  </r>
  <r>
    <x v="403"/>
    <s v="Year 3"/>
    <d v="2014-12-31T00:00:00"/>
    <n v="1989344000"/>
    <n v="824913000"/>
    <n v="512707000"/>
    <n v="107726000"/>
    <n v="10634000"/>
    <x v="3"/>
    <s v="Health Care Distributors"/>
    <n v="1164431000"/>
    <n v="631067000"/>
    <n v="533364000"/>
  </r>
  <r>
    <x v="403"/>
    <s v="Year 4"/>
    <d v="2015-12-31T00:00:00"/>
    <n v="2042332000"/>
    <n v="842672000"/>
    <n v="495747000"/>
    <n v="118545000"/>
    <n v="10123000"/>
    <x v="3"/>
    <s v="Health Care Distributors"/>
    <n v="1199660000"/>
    <n v="624415000"/>
    <n v="575245000"/>
  </r>
  <r>
    <x v="404"/>
    <s v="Year 1"/>
    <d v="2013-06-28T00:00:00"/>
    <n v="15351000000"/>
    <n v="10988000000"/>
    <n v="1525000000"/>
    <n v="1572000000"/>
    <n v="0"/>
    <x v="2"/>
    <s v="Computer Storage &amp; Peripherals"/>
    <n v="4363000000"/>
    <n v="3097000000"/>
    <n v="1266000000"/>
  </r>
  <r>
    <x v="404"/>
    <s v="Year 2"/>
    <d v="2014-06-27T00:00:00"/>
    <n v="15130000000"/>
    <n v="10770000000"/>
    <n v="908000000"/>
    <n v="1661000000"/>
    <n v="0"/>
    <x v="2"/>
    <s v="Computer Storage &amp; Peripherals"/>
    <n v="4360000000"/>
    <n v="2569000000"/>
    <n v="1791000000"/>
  </r>
  <r>
    <x v="404"/>
    <s v="Year 3"/>
    <d v="2015-07-03T00:00:00"/>
    <n v="14572000000"/>
    <n v="10351000000"/>
    <n v="964000000"/>
    <n v="1646000000"/>
    <n v="0"/>
    <x v="2"/>
    <s v="Computer Storage &amp; Peripherals"/>
    <n v="4221000000"/>
    <n v="2610000000"/>
    <n v="1611000000"/>
  </r>
  <r>
    <x v="404"/>
    <s v="Year 4"/>
    <d v="2016-07-01T00:00:00"/>
    <n v="12994000000"/>
    <n v="9559000000"/>
    <n v="1342000000"/>
    <n v="1627000000"/>
    <n v="0"/>
    <x v="2"/>
    <s v="Computer Storage &amp; Peripherals"/>
    <n v="3435000000"/>
    <n v="2969000000"/>
    <n v="466000000"/>
  </r>
  <r>
    <x v="405"/>
    <s v="Year 1"/>
    <d v="2012-12-31T00:00:00"/>
    <n v="4246400000"/>
    <n v="2760500000"/>
    <n v="121400000"/>
    <n v="0"/>
    <n v="364200000"/>
    <x v="5"/>
    <s v="Electric Utilities"/>
    <n v="1485900000"/>
    <n v="485600000"/>
    <n v="1000300000"/>
  </r>
  <r>
    <x v="405"/>
    <s v="Year 2"/>
    <d v="2013-12-31T00:00:00"/>
    <n v="4519000000"/>
    <n v="2982100000"/>
    <n v="116700000"/>
    <n v="0"/>
    <n v="340100000"/>
    <x v="5"/>
    <s v="Electric Utilities"/>
    <n v="1536900000"/>
    <n v="456800000"/>
    <n v="1080100000"/>
  </r>
  <r>
    <x v="405"/>
    <s v="Year 3"/>
    <d v="2014-12-31T00:00:00"/>
    <n v="4997100000"/>
    <n v="3371800000"/>
    <n v="121800000"/>
    <n v="0"/>
    <n v="391400000"/>
    <x v="5"/>
    <s v="Electric Utilities"/>
    <n v="1625300000"/>
    <n v="513200000"/>
    <n v="1112100000"/>
  </r>
  <r>
    <x v="405"/>
    <s v="Year 4"/>
    <d v="2015-12-31T00:00:00"/>
    <n v="5926100000"/>
    <n v="3949400000"/>
    <n v="164400000"/>
    <n v="0"/>
    <n v="561800000"/>
    <x v="5"/>
    <s v="Electric Utilities"/>
    <n v="1976700000"/>
    <n v="726200000"/>
    <n v="1250500000"/>
  </r>
  <r>
    <x v="406"/>
    <s v="Year 1"/>
    <d v="2012-12-31T00:00:00"/>
    <n v="91247000000"/>
    <n v="1727000000"/>
    <n v="48724000000"/>
    <n v="0"/>
    <n v="8891000000"/>
    <x v="6"/>
    <s v="Banks"/>
    <n v="89520000000"/>
    <n v="57615000000"/>
    <n v="31905000000"/>
  </r>
  <r>
    <x v="406"/>
    <s v="Year 2"/>
    <d v="2013-12-31T00:00:00"/>
    <n v="88069000000"/>
    <n v="1337000000"/>
    <n v="47338000000"/>
    <n v="0"/>
    <n v="3813000000"/>
    <x v="6"/>
    <s v="Banks"/>
    <n v="86732000000"/>
    <n v="51151000000"/>
    <n v="35581000000"/>
  </r>
  <r>
    <x v="406"/>
    <s v="Year 3"/>
    <d v="2014-12-31T00:00:00"/>
    <n v="88372000000"/>
    <n v="1096000000"/>
    <n v="47667000000"/>
    <n v="0"/>
    <n v="2765000000"/>
    <x v="6"/>
    <s v="Banks"/>
    <n v="87276000000"/>
    <n v="50432000000"/>
    <n v="36844000000"/>
  </r>
  <r>
    <x v="406"/>
    <s v="Year 4"/>
    <d v="2015-12-31T00:00:00"/>
    <n v="90033000000"/>
    <n v="963000000"/>
    <n v="48728000000"/>
    <n v="0"/>
    <n v="3688000000"/>
    <x v="6"/>
    <s v="Banks"/>
    <n v="89070000000"/>
    <n v="52416000000"/>
    <n v="36654000000"/>
  </r>
  <r>
    <x v="407"/>
    <s v="Year 1"/>
    <d v="2013-09-29T00:00:00"/>
    <n v="12917000000"/>
    <n v="8288000000"/>
    <n v="3682000000"/>
    <n v="0"/>
    <n v="0"/>
    <x v="4"/>
    <s v="Food Retail"/>
    <n v="4629000000"/>
    <n v="3682000000"/>
    <n v="947000000"/>
  </r>
  <r>
    <x v="407"/>
    <s v="Year 2"/>
    <d v="2014-09-28T00:00:00"/>
    <n v="14194000000"/>
    <n v="9150000000"/>
    <n v="4032000000"/>
    <n v="0"/>
    <n v="0"/>
    <x v="4"/>
    <s v="Food Retail"/>
    <n v="5044000000"/>
    <n v="4032000000"/>
    <n v="1012000000"/>
  </r>
  <r>
    <x v="407"/>
    <s v="Year 3"/>
    <d v="2015-09-27T00:00:00"/>
    <n v="15389000000"/>
    <n v="9973000000"/>
    <n v="4472000000"/>
    <n v="0"/>
    <n v="0"/>
    <x v="4"/>
    <s v="Food Retail"/>
    <n v="5416000000"/>
    <n v="4472000000"/>
    <n v="944000000"/>
  </r>
  <r>
    <x v="407"/>
    <s v="Year 4"/>
    <d v="2016-09-25T00:00:00"/>
    <n v="15724000000"/>
    <n v="10313000000"/>
    <n v="4477000000"/>
    <n v="0"/>
    <n v="0"/>
    <x v="4"/>
    <s v="Food Retail"/>
    <n v="5411000000"/>
    <n v="4477000000"/>
    <n v="934000000"/>
  </r>
  <r>
    <x v="408"/>
    <s v="Year 1"/>
    <d v="2013-12-31T00:00:00"/>
    <n v="18769000000"/>
    <n v="15471000000"/>
    <n v="1828000000"/>
    <n v="0"/>
    <n v="25000000"/>
    <x v="1"/>
    <s v="Household Appliances"/>
    <n v="3298000000"/>
    <n v="1853000000"/>
    <n v="1445000000"/>
  </r>
  <r>
    <x v="408"/>
    <s v="Year 2"/>
    <d v="2014-12-31T00:00:00"/>
    <n v="19872000000"/>
    <n v="16477000000"/>
    <n v="2038000000"/>
    <n v="0"/>
    <n v="33000000"/>
    <x v="1"/>
    <s v="Household Appliances"/>
    <n v="3395000000"/>
    <n v="2071000000"/>
    <n v="1324000000"/>
  </r>
  <r>
    <x v="408"/>
    <s v="Year 3"/>
    <d v="2015-12-31T00:00:00"/>
    <n v="20891000000"/>
    <n v="17201000000"/>
    <n v="2130000000"/>
    <n v="0"/>
    <n v="74000000"/>
    <x v="1"/>
    <s v="Household Appliances"/>
    <n v="3690000000"/>
    <n v="2204000000"/>
    <n v="1486000000"/>
  </r>
  <r>
    <x v="408"/>
    <s v="Year 4"/>
    <d v="2016-12-31T00:00:00"/>
    <n v="20718000000"/>
    <n v="17036000000"/>
    <n v="2084000000"/>
    <n v="0"/>
    <n v="71000000"/>
    <x v="1"/>
    <s v="Household Appliances"/>
    <n v="3682000000"/>
    <n v="2155000000"/>
    <n v="1527000000"/>
  </r>
  <r>
    <x v="409"/>
    <s v="Year 1"/>
    <d v="2013-12-31T00:00:00"/>
    <n v="13983000000"/>
    <n v="9112000000"/>
    <n v="1468000000"/>
    <n v="0"/>
    <n v="1333000000"/>
    <x v="0"/>
    <s v="Environmental Services"/>
    <n v="4871000000"/>
    <n v="2801000000"/>
    <n v="2070000000"/>
  </r>
  <r>
    <x v="409"/>
    <s v="Year 2"/>
    <d v="2014-12-31T00:00:00"/>
    <n v="13996000000"/>
    <n v="9002000000"/>
    <n v="1481000000"/>
    <n v="0"/>
    <n v="1292000000"/>
    <x v="0"/>
    <s v="Environmental Services"/>
    <n v="4994000000"/>
    <n v="2773000000"/>
    <n v="2221000000"/>
  </r>
  <r>
    <x v="409"/>
    <s v="Year 3"/>
    <d v="2015-12-31T00:00:00"/>
    <n v="12961000000"/>
    <n v="8231000000"/>
    <n v="1343000000"/>
    <n v="0"/>
    <n v="1245000000"/>
    <x v="0"/>
    <s v="Environmental Services"/>
    <n v="4730000000"/>
    <n v="2588000000"/>
    <n v="2142000000"/>
  </r>
  <r>
    <x v="409"/>
    <s v="Year 4"/>
    <d v="2016-12-31T00:00:00"/>
    <n v="13609000000"/>
    <n v="8486000000"/>
    <n v="1410000000"/>
    <n v="0"/>
    <n v="1301000000"/>
    <x v="0"/>
    <s v="Environmental Services"/>
    <n v="5123000000"/>
    <n v="2711000000"/>
    <n v="2412000000"/>
  </r>
  <r>
    <x v="410"/>
    <s v="Year 1"/>
    <d v="2012-12-31T00:00:00"/>
    <n v="7486000000"/>
    <n v="4523000000"/>
    <n v="595000000"/>
    <n v="0"/>
    <n v="756000000"/>
    <x v="9"/>
    <s v="Oil &amp; Gas Exploration &amp; Production"/>
    <n v="2963000000"/>
    <n v="1351000000"/>
    <n v="1612000000"/>
  </r>
  <r>
    <x v="410"/>
    <s v="Year 2"/>
    <d v="2013-12-31T00:00:00"/>
    <n v="6860000000"/>
    <n v="4124000000"/>
    <n v="546000000"/>
    <n v="0"/>
    <n v="815000000"/>
    <x v="9"/>
    <s v="Oil &amp; Gas Exploration &amp; Production"/>
    <n v="2736000000"/>
    <n v="1361000000"/>
    <n v="1375000000"/>
  </r>
  <r>
    <x v="410"/>
    <s v="Year 3"/>
    <d v="2014-12-31T00:00:00"/>
    <n v="7637000000"/>
    <n v="4508000000"/>
    <n v="384000000"/>
    <n v="0"/>
    <n v="1176000000"/>
    <x v="9"/>
    <s v="Oil &amp; Gas Exploration &amp; Production"/>
    <n v="3129000000"/>
    <n v="1560000000"/>
    <n v="1569000000"/>
  </r>
  <r>
    <x v="410"/>
    <s v="Year 4"/>
    <d v="2015-12-31T00:00:00"/>
    <n v="7360000000"/>
    <n v="3434000000"/>
    <n v="864000000"/>
    <n v="0"/>
    <n v="1738000000"/>
    <x v="9"/>
    <s v="Oil &amp; Gas Exploration &amp; Production"/>
    <n v="3926000000"/>
    <n v="2602000000"/>
    <n v="1324000000"/>
  </r>
  <r>
    <x v="411"/>
    <s v="Year 1"/>
    <d v="2013-01-31T00:00:00"/>
    <n v="468651000000"/>
    <n v="352297000000"/>
    <n v="88629000000"/>
    <n v="0"/>
    <n v="0"/>
    <x v="4"/>
    <s v="Hypermarkets &amp; Super Centers"/>
    <n v="116354000000"/>
    <n v="88629000000"/>
    <n v="27725000000"/>
  </r>
  <r>
    <x v="411"/>
    <s v="Year 2"/>
    <d v="2014-01-31T00:00:00"/>
    <n v="476294000000"/>
    <n v="358069000000"/>
    <n v="91353000000"/>
    <n v="0"/>
    <n v="0"/>
    <x v="4"/>
    <s v="Hypermarkets &amp; Super Centers"/>
    <n v="118225000000"/>
    <n v="91353000000"/>
    <n v="26872000000"/>
  </r>
  <r>
    <x v="411"/>
    <s v="Year 3"/>
    <d v="2015-01-31T00:00:00"/>
    <n v="485651000000"/>
    <n v="365086000000"/>
    <n v="93418000000"/>
    <n v="0"/>
    <n v="0"/>
    <x v="4"/>
    <s v="Hypermarkets &amp; Super Centers"/>
    <n v="120565000000"/>
    <n v="93418000000"/>
    <n v="27147000000"/>
  </r>
  <r>
    <x v="411"/>
    <s v="Year 4"/>
    <d v="2016-01-31T00:00:00"/>
    <n v="482130000000"/>
    <n v="360984000000"/>
    <n v="97041000000"/>
    <n v="0"/>
    <n v="0"/>
    <x v="4"/>
    <s v="Hypermarkets &amp; Super Centers"/>
    <n v="121146000000"/>
    <n v="97041000000"/>
    <n v="24105000000"/>
  </r>
  <r>
    <x v="412"/>
    <s v="Year 1"/>
    <d v="2014-09-30T00:00:00"/>
    <n v="9895100000"/>
    <n v="7961500000"/>
    <n v="937600000"/>
    <n v="0"/>
    <n v="86000000"/>
    <x v="8"/>
    <s v="Paper Packaging"/>
    <n v="1933600000"/>
    <n v="1023600000"/>
    <n v="910000000"/>
  </r>
  <r>
    <x v="412"/>
    <s v="Year 2"/>
    <d v="2015-09-30T00:00:00"/>
    <n v="11124800000"/>
    <n v="8986500000"/>
    <n v="1026100000"/>
    <n v="0"/>
    <n v="118900000"/>
    <x v="8"/>
    <s v="Paper Packaging"/>
    <n v="2138300000"/>
    <n v="1145000000"/>
    <n v="993300000"/>
  </r>
  <r>
    <x v="412"/>
    <s v="Year 3"/>
    <d v="2016-09-30T00:00:00"/>
    <n v="14171800000"/>
    <n v="11413200000"/>
    <n v="1750100000"/>
    <n v="0"/>
    <n v="211800000"/>
    <x v="8"/>
    <s v="Paper Packaging"/>
    <n v="2758600000"/>
    <n v="1961900000"/>
    <n v="796700000"/>
  </r>
  <r>
    <x v="413"/>
    <s v="Year 1"/>
    <d v="2012-12-31T00:00:00"/>
    <n v="5664800000"/>
    <n v="3194200000"/>
    <n v="1140600000"/>
    <n v="0"/>
    <n v="0"/>
    <x v="2"/>
    <s v="Internet Software &amp; Services"/>
    <n v="2470600000"/>
    <n v="1140600000"/>
    <n v="1330000000"/>
  </r>
  <r>
    <x v="413"/>
    <s v="Year 2"/>
    <d v="2013-12-31T00:00:00"/>
    <n v="5542000000"/>
    <n v="3235000000"/>
    <n v="1199600000"/>
    <n v="0"/>
    <n v="0"/>
    <x v="2"/>
    <s v="Internet Software &amp; Services"/>
    <n v="2307000000"/>
    <n v="1199600000"/>
    <n v="1107400000"/>
  </r>
  <r>
    <x v="413"/>
    <s v="Year 3"/>
    <d v="2014-12-31T00:00:00"/>
    <n v="5607200000"/>
    <n v="3297400000"/>
    <n v="1169300000"/>
    <n v="0"/>
    <n v="0"/>
    <x v="2"/>
    <s v="Internet Software &amp; Services"/>
    <n v="2309800000"/>
    <n v="1169300000"/>
    <n v="1140500000"/>
  </r>
  <r>
    <x v="413"/>
    <s v="Year 4"/>
    <d v="2015-12-31T00:00:00"/>
    <n v="5483700000"/>
    <n v="3199400000"/>
    <n v="1174900000"/>
    <n v="0"/>
    <n v="0"/>
    <x v="2"/>
    <s v="Internet Software &amp; Services"/>
    <n v="2284300000"/>
    <n v="1174900000"/>
    <n v="1109400000"/>
  </r>
  <r>
    <x v="414"/>
    <s v="Year 1"/>
    <d v="2012-12-31T00:00:00"/>
    <n v="5989000000"/>
    <n v="4993000000"/>
    <n v="320000000"/>
    <n v="32000000"/>
    <n v="0"/>
    <x v="7"/>
    <s v="REITs"/>
    <n v="996000000"/>
    <n v="352000000"/>
    <n v="644000000"/>
  </r>
  <r>
    <x v="414"/>
    <s v="Year 2"/>
    <d v="2013-12-31T00:00:00"/>
    <n v="7254000000"/>
    <n v="5716000000"/>
    <n v="494000000"/>
    <n v="33000000"/>
    <n v="0"/>
    <x v="7"/>
    <s v="REITs"/>
    <n v="1538000000"/>
    <n v="527000000"/>
    <n v="1011000000"/>
  </r>
  <r>
    <x v="414"/>
    <s v="Year 3"/>
    <d v="2014-12-31T00:00:00"/>
    <n v="7403000000"/>
    <n v="5763000000"/>
    <n v="249000000"/>
    <n v="27000000"/>
    <n v="0"/>
    <x v="7"/>
    <s v="REITs"/>
    <n v="1640000000"/>
    <n v="276000000"/>
    <n v="1364000000"/>
  </r>
  <r>
    <x v="414"/>
    <s v="Year 4"/>
    <d v="2015-12-31T00:00:00"/>
    <n v="7082000000"/>
    <n v="5694000000"/>
    <n v="420000000"/>
    <n v="24000000"/>
    <n v="0"/>
    <x v="7"/>
    <s v="REITs"/>
    <n v="1388000000"/>
    <n v="444000000"/>
    <n v="944000000"/>
  </r>
  <r>
    <x v="415"/>
    <s v="Year 1"/>
    <d v="2012-12-31T00:00:00"/>
    <n v="4534000000"/>
    <n v="2093000000"/>
    <n v="1389000000"/>
    <n v="0"/>
    <n v="185000000"/>
    <x v="1"/>
    <s v="Hotels, Resorts &amp; Cruise Lines"/>
    <n v="2441000000"/>
    <n v="1574000000"/>
    <n v="867000000"/>
  </r>
  <r>
    <x v="415"/>
    <s v="Year 2"/>
    <d v="2013-12-31T00:00:00"/>
    <n v="5009000000"/>
    <n v="2394000000"/>
    <n v="1471000000"/>
    <n v="0"/>
    <n v="216000000"/>
    <x v="1"/>
    <s v="Hotels, Resorts &amp; Cruise Lines"/>
    <n v="2615000000"/>
    <n v="1687000000"/>
    <n v="928000000"/>
  </r>
  <r>
    <x v="415"/>
    <s v="Year 3"/>
    <d v="2014-12-31T00:00:00"/>
    <n v="5281000000"/>
    <n v="2504000000"/>
    <n v="1557000000"/>
    <n v="0"/>
    <n v="233000000"/>
    <x v="1"/>
    <s v="Hotels, Resorts &amp; Cruise Lines"/>
    <n v="2777000000"/>
    <n v="1790000000"/>
    <n v="987000000"/>
  </r>
  <r>
    <x v="415"/>
    <s v="Year 4"/>
    <d v="2015-12-31T00:00:00"/>
    <n v="5536000000"/>
    <n v="2700000000"/>
    <n v="1574000000"/>
    <n v="0"/>
    <n v="234000000"/>
    <x v="1"/>
    <s v="Hotels, Resorts &amp; Cruise Lines"/>
    <n v="2836000000"/>
    <n v="1808000000"/>
    <n v="1028000000"/>
  </r>
  <r>
    <x v="416"/>
    <s v="Year 1"/>
    <d v="2012-12-31T00:00:00"/>
    <n v="5154284000"/>
    <n v="3251575000"/>
    <n v="481677000"/>
    <n v="0"/>
    <n v="373199000"/>
    <x v="1"/>
    <s v="Casinos &amp; Gaming"/>
    <n v="1902709000"/>
    <n v="854876000"/>
    <n v="1047833000"/>
  </r>
  <r>
    <x v="416"/>
    <s v="Year 2"/>
    <d v="2013-12-31T00:00:00"/>
    <n v="5620936000"/>
    <n v="3478822000"/>
    <n v="465926000"/>
    <n v="0"/>
    <n v="371051000"/>
    <x v="1"/>
    <s v="Casinos &amp; Gaming"/>
    <n v="2142114000"/>
    <n v="836977000"/>
    <n v="1305137000"/>
  </r>
  <r>
    <x v="416"/>
    <s v="Year 3"/>
    <d v="2014-12-31T00:00:00"/>
    <n v="5433661000"/>
    <n v="3316311000"/>
    <n v="502901000"/>
    <n v="0"/>
    <n v="314119000"/>
    <x v="1"/>
    <s v="Casinos &amp; Gaming"/>
    <n v="2117350000"/>
    <n v="817020000"/>
    <n v="1300330000"/>
  </r>
  <r>
    <x v="416"/>
    <s v="Year 4"/>
    <d v="2015-12-31T00:00:00"/>
    <n v="4075883000"/>
    <n v="2530374000"/>
    <n v="475328000"/>
    <n v="0"/>
    <n v="322629000"/>
    <x v="1"/>
    <s v="Casinos &amp; Gaming"/>
    <n v="1545509000"/>
    <n v="797957000"/>
    <n v="747552000"/>
  </r>
  <r>
    <x v="417"/>
    <s v="Year 1"/>
    <d v="2012-12-31T00:00:00"/>
    <n v="1623938000"/>
    <n v="337903000"/>
    <n v="188302000"/>
    <n v="0"/>
    <n v="513916000"/>
    <x v="9"/>
    <s v="Oil &amp; Gas Exploration &amp; Production"/>
    <n v="1286035000"/>
    <n v="702218000"/>
    <n v="583817000"/>
  </r>
  <r>
    <x v="417"/>
    <s v="Year 2"/>
    <d v="2013-12-31T00:00:00"/>
    <n v="1998051000"/>
    <n v="406198000"/>
    <n v="72143000"/>
    <n v="0"/>
    <n v="615874000"/>
    <x v="9"/>
    <s v="Oil &amp; Gas Exploration &amp; Production"/>
    <n v="1591853000"/>
    <n v="688017000"/>
    <n v="903836000"/>
  </r>
  <r>
    <x v="417"/>
    <s v="Year 3"/>
    <d v="2014-12-31T00:00:00"/>
    <n v="2424176000"/>
    <n v="572831000"/>
    <n v="225070000"/>
    <n v="0"/>
    <n v="806021000"/>
    <x v="9"/>
    <s v="Oil &amp; Gas Exploration &amp; Production"/>
    <n v="1851345000"/>
    <n v="1031091000"/>
    <n v="820254000"/>
  </r>
  <r>
    <x v="417"/>
    <s v="Year 4"/>
    <d v="2015-12-31T00:00:00"/>
    <n v="1452619000"/>
    <n v="519874000"/>
    <n v="179867000"/>
    <n v="0"/>
    <n v="778923000"/>
    <x v="9"/>
    <s v="Oil &amp; Gas Exploration &amp; Production"/>
    <n v="932745000"/>
    <n v="958790000"/>
    <n v="-26045000"/>
  </r>
  <r>
    <x v="418"/>
    <s v="Year 1"/>
    <d v="2012-12-31T00:00:00"/>
    <n v="10128223000"/>
    <n v="6710036000"/>
    <n v="669451000"/>
    <n v="0"/>
    <n v="926053000"/>
    <x v="5"/>
    <s v="MultiUtilities"/>
    <n v="3418187000"/>
    <n v="1595504000"/>
    <n v="1822683000"/>
  </r>
  <r>
    <x v="418"/>
    <s v="Year 2"/>
    <d v="2013-12-31T00:00:00"/>
    <n v="10914922000"/>
    <n v="7408278000"/>
    <n v="681226000"/>
    <n v="0"/>
    <n v="977863000"/>
    <x v="5"/>
    <s v="MultiUtilities"/>
    <n v="3506644000"/>
    <n v="1659089000"/>
    <n v="1847555000"/>
  </r>
  <r>
    <x v="418"/>
    <s v="Year 3"/>
    <d v="2014-12-31T00:00:00"/>
    <n v="11686135000"/>
    <n v="7951352000"/>
    <n v="767608000"/>
    <n v="0"/>
    <n v="1019045000"/>
    <x v="5"/>
    <s v="MultiUtilities"/>
    <n v="3734783000"/>
    <n v="1786653000"/>
    <n v="1948130000"/>
  </r>
  <r>
    <x v="418"/>
    <s v="Year 4"/>
    <d v="2015-12-31T00:00:00"/>
    <n v="11024486000"/>
    <n v="7033633000"/>
    <n v="865817000"/>
    <n v="0"/>
    <n v="1124524000"/>
    <x v="5"/>
    <s v="MultiUtilities"/>
    <n v="3990853000"/>
    <n v="1990341000"/>
    <n v="2000512000"/>
  </r>
  <r>
    <x v="419"/>
    <s v="Year 1"/>
    <d v="2012-12-31T00:00:00"/>
    <n v="7232397000"/>
    <n v="5165169000"/>
    <n v="0"/>
    <n v="0"/>
    <n v="1173955000"/>
    <x v="6"/>
    <s v="Property &amp; Casualty Insurance"/>
    <n v="2067228000"/>
    <n v="1173955000"/>
    <n v="893273000"/>
  </r>
  <r>
    <x v="419"/>
    <s v="Year 2"/>
    <d v="2013-12-31T00:00:00"/>
    <n v="7541234000"/>
    <n v="5106489000"/>
    <n v="0"/>
    <n v="0"/>
    <n v="1213178000"/>
    <x v="6"/>
    <s v="Property &amp; Casualty Insurance"/>
    <n v="2434745000"/>
    <n v="1213178000"/>
    <n v="1221567000"/>
  </r>
  <r>
    <x v="419"/>
    <s v="Year 3"/>
    <d v="2014-12-31T00:00:00"/>
    <n v="6602267000"/>
    <n v="4239474000"/>
    <n v="0"/>
    <n v="0"/>
    <n v="1341315000"/>
    <x v="6"/>
    <s v="Property &amp; Casualty Insurance"/>
    <n v="2362793000"/>
    <n v="1341315000"/>
    <n v="1021478000"/>
  </r>
  <r>
    <x v="419"/>
    <s v="Year 4"/>
    <d v="2015-12-31T00:00:00"/>
    <n v="9308926000"/>
    <n v="6199645000"/>
    <n v="0"/>
    <n v="0"/>
    <n v="1966939000"/>
    <x v="6"/>
    <s v="Property &amp; Casualty Insurance"/>
    <n v="3109281000"/>
    <n v="1966939000"/>
    <n v="1142342000"/>
  </r>
  <r>
    <x v="420"/>
    <s v="Year 1"/>
    <d v="2013-03-30T00:00:00"/>
    <n v="2168652000"/>
    <n v="737206000"/>
    <n v="365684000"/>
    <n v="475522000"/>
    <n v="9508000"/>
    <x v="2"/>
    <s v="Semiconductors"/>
    <n v="1431446000"/>
    <n v="850714000"/>
    <n v="580732000"/>
  </r>
  <r>
    <x v="420"/>
    <s v="Year 2"/>
    <d v="2014-03-29T00:00:00"/>
    <n v="2382531000"/>
    <n v="743253000"/>
    <n v="378607000"/>
    <n v="492447000"/>
    <n v="9887000"/>
    <x v="2"/>
    <s v="Semiconductors"/>
    <n v="1639278000"/>
    <n v="880941000"/>
    <n v="758337000"/>
  </r>
  <r>
    <x v="420"/>
    <s v="Year 3"/>
    <d v="2015-03-28T00:00:00"/>
    <n v="2377344000"/>
    <n v="708823000"/>
    <n v="353670000"/>
    <n v="525745000"/>
    <n v="9537000"/>
    <x v="2"/>
    <s v="Semiconductors"/>
    <n v="1668521000"/>
    <n v="888952000"/>
    <n v="779569000"/>
  </r>
  <r>
    <x v="420"/>
    <s v="Year 4"/>
    <d v="2016-04-02T00:00:00"/>
    <n v="2213881000"/>
    <n v="671907000"/>
    <n v="331652000"/>
    <n v="533891000"/>
    <n v="6550000"/>
    <x v="2"/>
    <s v="Semiconductors"/>
    <n v="1541974000"/>
    <n v="872093000"/>
    <n v="669881000"/>
  </r>
  <r>
    <x v="421"/>
    <s v="Year 1"/>
    <d v="2012-12-31T00:00:00"/>
    <n v="451509000000"/>
    <n v="302056000000"/>
    <n v="81844000000"/>
    <n v="0"/>
    <n v="15888000000"/>
    <x v="9"/>
    <s v="Integrated Oil &amp; Gas"/>
    <n v="149453000000"/>
    <n v="97732000000"/>
    <n v="51721000000"/>
  </r>
  <r>
    <x v="421"/>
    <s v="Year 2"/>
    <d v="2013-12-31T00:00:00"/>
    <n v="420836000000"/>
    <n v="284681000000"/>
    <n v="76696000000"/>
    <n v="0"/>
    <n v="17182000000"/>
    <x v="9"/>
    <s v="Integrated Oil &amp; Gas"/>
    <n v="136155000000"/>
    <n v="93878000000"/>
    <n v="42277000000"/>
  </r>
  <r>
    <x v="421"/>
    <s v="Year 3"/>
    <d v="2014-12-31T00:00:00"/>
    <n v="394105000000"/>
    <n v="266831000000"/>
    <n v="74226000000"/>
    <n v="0"/>
    <n v="17297000000"/>
    <x v="9"/>
    <s v="Integrated Oil &amp; Gas"/>
    <n v="127274000000"/>
    <n v="91523000000"/>
    <n v="35751000000"/>
  </r>
  <r>
    <x v="421"/>
    <s v="Year 4"/>
    <d v="2015-12-31T00:00:00"/>
    <n v="259488000000"/>
    <n v="165590000000"/>
    <n v="61444000000"/>
    <n v="0"/>
    <n v="18048000000"/>
    <x v="9"/>
    <s v="Integrated Oil &amp; Gas"/>
    <n v="93898000000"/>
    <n v="79492000000"/>
    <n v="14406000000"/>
  </r>
  <r>
    <x v="422"/>
    <s v="Year 1"/>
    <d v="2012-12-31T00:00:00"/>
    <n v="2928429000"/>
    <n v="1372042000"/>
    <n v="1148731000"/>
    <n v="0"/>
    <n v="0"/>
    <x v="3"/>
    <s v="Health Care Supplies"/>
    <n v="1556387000"/>
    <n v="1148731000"/>
    <n v="407656000"/>
  </r>
  <r>
    <x v="422"/>
    <s v="Year 2"/>
    <d v="2013-12-31T00:00:00"/>
    <n v="2950800000"/>
    <n v="1373400000"/>
    <n v="1144800000"/>
    <n v="0"/>
    <n v="0"/>
    <x v="3"/>
    <s v="Health Care Supplies"/>
    <n v="1577400000"/>
    <n v="1144800000"/>
    <n v="432600000"/>
  </r>
  <r>
    <x v="422"/>
    <s v="Year 3"/>
    <d v="2014-12-31T00:00:00"/>
    <n v="2922600000"/>
    <n v="1322800000"/>
    <n v="1143100000"/>
    <n v="0"/>
    <n v="0"/>
    <x v="3"/>
    <s v="Health Care Supplies"/>
    <n v="1599800000"/>
    <n v="1143100000"/>
    <n v="456700000"/>
  </r>
  <r>
    <x v="422"/>
    <s v="Year 4"/>
    <d v="2015-12-31T00:00:00"/>
    <n v="2674300000"/>
    <n v="1157100000"/>
    <n v="1077300000"/>
    <n v="0"/>
    <n v="0"/>
    <x v="3"/>
    <s v="Health Care Supplies"/>
    <n v="1517200000"/>
    <n v="1077300000"/>
    <n v="439900000"/>
  </r>
  <r>
    <x v="423"/>
    <s v="Year 1"/>
    <d v="2012-12-31T00:00:00"/>
    <n v="20421000000"/>
    <n v="13634000000"/>
    <n v="4398000000"/>
    <n v="655000000"/>
    <n v="301000000"/>
    <x v="2"/>
    <s v="IT Consulting &amp; Other Services"/>
    <n v="6787000000"/>
    <n v="5354000000"/>
    <n v="1433000000"/>
  </r>
  <r>
    <x v="423"/>
    <s v="Year 2"/>
    <d v="2013-12-31T00:00:00"/>
    <n v="20006000000"/>
    <n v="13521000000"/>
    <n v="4219000000"/>
    <n v="603000000"/>
    <n v="305000000"/>
    <x v="2"/>
    <s v="IT Consulting &amp; Other Services"/>
    <n v="6485000000"/>
    <n v="5127000000"/>
    <n v="1358000000"/>
  </r>
  <r>
    <x v="423"/>
    <s v="Year 3"/>
    <d v="2014-12-31T00:00:00"/>
    <n v="19540000000"/>
    <n v="13294000000"/>
    <n v="4020000000"/>
    <n v="577000000"/>
    <n v="315000000"/>
    <x v="2"/>
    <s v="IT Consulting &amp; Other Services"/>
    <n v="6246000000"/>
    <n v="4912000000"/>
    <n v="1334000000"/>
  </r>
  <r>
    <x v="423"/>
    <s v="Year 4"/>
    <d v="2015-12-31T00:00:00"/>
    <n v="18045000000"/>
    <n v="12782000000"/>
    <n v="3792000000"/>
    <n v="563000000"/>
    <n v="310000000"/>
    <x v="2"/>
    <s v="IT Consulting &amp; Other Services"/>
    <n v="5263000000"/>
    <n v="4665000000"/>
    <n v="598000000"/>
  </r>
  <r>
    <x v="424"/>
    <s v="Year 1"/>
    <d v="2012-12-31T00:00:00"/>
    <n v="3791000000"/>
    <n v="2289000000"/>
    <n v="936000000"/>
    <n v="106000000"/>
    <n v="0"/>
    <x v="0"/>
    <s v="Industrial Conglomerates"/>
    <n v="1502000000"/>
    <n v="1042000000"/>
    <n v="460000000"/>
  </r>
  <r>
    <x v="424"/>
    <s v="Year 2"/>
    <d v="2013-12-31T00:00:00"/>
    <n v="3837000000"/>
    <n v="2338000000"/>
    <n v="990000000"/>
    <n v="104000000"/>
    <n v="0"/>
    <x v="0"/>
    <s v="Industrial Conglomerates"/>
    <n v="1499000000"/>
    <n v="1094000000"/>
    <n v="405000000"/>
  </r>
  <r>
    <x v="424"/>
    <s v="Year 3"/>
    <d v="2014-12-31T00:00:00"/>
    <n v="3916000000"/>
    <n v="2403000000"/>
    <n v="920000000"/>
    <n v="104000000"/>
    <n v="0"/>
    <x v="0"/>
    <s v="Industrial Conglomerates"/>
    <n v="1513000000"/>
    <n v="1024000000"/>
    <n v="489000000"/>
  </r>
  <r>
    <x v="424"/>
    <s v="Year 4"/>
    <d v="2015-12-31T00:00:00"/>
    <n v="3653000000"/>
    <n v="2249000000"/>
    <n v="854000000"/>
    <n v="95000000"/>
    <n v="0"/>
    <x v="0"/>
    <s v="Industrial Conglomerates"/>
    <n v="1404000000"/>
    <n v="949000000"/>
    <n v="455000000"/>
  </r>
  <r>
    <x v="425"/>
    <s v="Year 1"/>
    <d v="2012-12-31T00:00:00"/>
    <n v="4986566000"/>
    <n v="1620566000"/>
    <n v="1641819000"/>
    <n v="885824000"/>
    <n v="35819000"/>
    <x v="2"/>
    <s v="Internet Software &amp; Services"/>
    <n v="3366000000"/>
    <n v="2563462000"/>
    <n v="802538000"/>
  </r>
  <r>
    <x v="425"/>
    <s v="Year 2"/>
    <d v="2013-12-31T00:00:00"/>
    <n v="4680380000"/>
    <n v="1349380000"/>
    <n v="1751275000"/>
    <n v="957587000"/>
    <n v="44841000"/>
    <x v="2"/>
    <s v="Internet Software &amp; Services"/>
    <n v="3331000000"/>
    <n v="2753703000"/>
    <n v="577297000"/>
  </r>
  <r>
    <x v="425"/>
    <s v="Year 3"/>
    <d v="2014-12-31T00:00:00"/>
    <n v="4618133000"/>
    <n v="1387375000"/>
    <n v="1770710000"/>
    <n v="1156386000"/>
    <n v="66750000"/>
    <x v="2"/>
    <s v="Internet Software &amp; Services"/>
    <n v="3230758000"/>
    <n v="2993846000"/>
    <n v="236912000"/>
  </r>
  <r>
    <x v="425"/>
    <s v="Year 4"/>
    <d v="2015-12-31T00:00:00"/>
    <n v="4968301000"/>
    <n v="2077748000"/>
    <n v="1768522000"/>
    <n v="1177923000"/>
    <n v="79042000"/>
    <x v="2"/>
    <s v="Internet Software &amp; Services"/>
    <n v="2890553000"/>
    <n v="3025487000"/>
    <n v="-134934000"/>
  </r>
  <r>
    <x v="426"/>
    <s v="Year 1"/>
    <d v="2012-12-29T00:00:00"/>
    <n v="13633000000"/>
    <n v="9852000000"/>
    <n v="1450000000"/>
    <n v="0"/>
    <n v="0"/>
    <x v="1"/>
    <s v="Restaurants"/>
    <n v="3781000000"/>
    <n v="1450000000"/>
    <n v="2331000000"/>
  </r>
  <r>
    <x v="426"/>
    <s v="Year 2"/>
    <d v="2013-12-28T00:00:00"/>
    <n v="13084000000"/>
    <n v="9501000000"/>
    <n v="1454000000"/>
    <n v="0"/>
    <n v="0"/>
    <x v="1"/>
    <s v="Restaurants"/>
    <n v="3583000000"/>
    <n v="1454000000"/>
    <n v="2129000000"/>
  </r>
  <r>
    <x v="426"/>
    <s v="Year 3"/>
    <d v="2014-12-27T00:00:00"/>
    <n v="13279000000"/>
    <n v="9682000000"/>
    <n v="1505000000"/>
    <n v="0"/>
    <n v="0"/>
    <x v="1"/>
    <s v="Restaurants"/>
    <n v="3597000000"/>
    <n v="1505000000"/>
    <n v="2092000000"/>
  </r>
  <r>
    <x v="426"/>
    <s v="Year 4"/>
    <d v="2015-12-26T00:00:00"/>
    <n v="13105000000"/>
    <n v="9359000000"/>
    <n v="1746000000"/>
    <n v="0"/>
    <n v="0"/>
    <x v="1"/>
    <s v="Restaurants"/>
    <n v="3746000000"/>
    <n v="1746000000"/>
    <n v="2000000000"/>
  </r>
  <r>
    <x v="427"/>
    <s v="Year 1"/>
    <d v="2012-12-31T00:00:00"/>
    <n v="4471700000"/>
    <n v="1125200000"/>
    <n v="1822100000"/>
    <n v="225600000"/>
    <n v="0"/>
    <x v="3"/>
    <s v="Health Care Equipment"/>
    <n v="3346500000"/>
    <n v="2047700000"/>
    <n v="1298800000"/>
  </r>
  <r>
    <x v="427"/>
    <s v="Year 2"/>
    <d v="2013-12-31T00:00:00"/>
    <n v="4623400000"/>
    <n v="1266700000"/>
    <n v="1796300000"/>
    <n v="203000000"/>
    <n v="78500000"/>
    <x v="3"/>
    <s v="Health Care Equipment"/>
    <n v="3356700000"/>
    <n v="2077800000"/>
    <n v="1278900000"/>
  </r>
  <r>
    <x v="427"/>
    <s v="Year 3"/>
    <d v="2014-12-31T00:00:00"/>
    <n v="4673300000"/>
    <n v="1242800000"/>
    <n v="1772200000"/>
    <n v="187400000"/>
    <n v="92500000"/>
    <x v="3"/>
    <s v="Health Care Equipment"/>
    <n v="3430500000"/>
    <n v="2052100000"/>
    <n v="1378400000"/>
  </r>
  <r>
    <x v="427"/>
    <s v="Year 4"/>
    <d v="2015-12-31T00:00:00"/>
    <n v="5997800000"/>
    <n v="1800600000"/>
    <n v="2291900000"/>
    <n v="268800000"/>
    <n v="337400000"/>
    <x v="3"/>
    <s v="Health Care Equipment"/>
    <n v="4197200000"/>
    <n v="2898100000"/>
    <n v="1299100000"/>
  </r>
  <r>
    <x v="428"/>
    <s v="Year 1"/>
    <d v="2012-12-31T00:00:00"/>
    <n v="2458592000"/>
    <n v="80146000"/>
    <n v="1579007000"/>
    <n v="0"/>
    <n v="31237000"/>
    <x v="6"/>
    <s v="Regional Banks"/>
    <n v="2378446000"/>
    <n v="1610244000"/>
    <n v="768202000"/>
  </r>
  <r>
    <x v="428"/>
    <s v="Year 2"/>
    <d v="2013-12-31T00:00:00"/>
    <n v="2278812000"/>
    <n v="58913000"/>
    <n v="1700064000"/>
    <n v="0"/>
    <n v="72761000"/>
    <x v="6"/>
    <s v="Regional Banks"/>
    <n v="2219899000"/>
    <n v="1772825000"/>
    <n v="447074000"/>
  </r>
  <r>
    <x v="428"/>
    <s v="Year 3"/>
    <d v="2014-12-31T00:00:00"/>
    <n v="2361631000"/>
    <n v="49736000"/>
    <n v="1654369000"/>
    <n v="0"/>
    <n v="87159000"/>
    <x v="6"/>
    <s v="Regional Banks"/>
    <n v="2311895000"/>
    <n v="1741528000"/>
    <n v="570367000"/>
  </r>
  <r>
    <x v="428"/>
    <s v="Year 4"/>
    <d v="2015-12-31T00:00:00"/>
    <n v="2210591000"/>
    <n v="49344000"/>
    <n v="1591239000"/>
    <n v="0"/>
    <n v="49282000"/>
    <x v="6"/>
    <s v="Regional Banks"/>
    <n v="2161247000"/>
    <n v="1640521000"/>
    <n v="520726000"/>
  </r>
  <r>
    <x v="429"/>
    <s v="Year 1"/>
    <d v="2013-12-31T00:00:00"/>
    <n v="4561000000"/>
    <n v="1669000000"/>
    <n v="1613000000"/>
    <n v="399000000"/>
    <n v="60000000"/>
    <x v="3"/>
    <s v="Pharmaceuticals"/>
    <n v="2892000000"/>
    <n v="2072000000"/>
    <n v="820000000"/>
  </r>
  <r>
    <x v="429"/>
    <s v="Year 2"/>
    <d v="2014-12-31T00:00:00"/>
    <n v="4785000000"/>
    <n v="1717000000"/>
    <n v="1643000000"/>
    <n v="396000000"/>
    <n v="60000000"/>
    <x v="3"/>
    <s v="Pharmaceuticals"/>
    <n v="3068000000"/>
    <n v="2099000000"/>
    <n v="969000000"/>
  </r>
  <r>
    <x v="429"/>
    <s v="Year 3"/>
    <d v="2015-12-31T00:00:00"/>
    <n v="4765000000"/>
    <n v="1738000000"/>
    <n v="1532000000"/>
    <n v="364000000"/>
    <n v="61000000"/>
    <x v="3"/>
    <s v="Pharmaceuticals"/>
    <n v="3027000000"/>
    <n v="1957000000"/>
    <n v="1070000000"/>
  </r>
  <r>
    <x v="429"/>
    <s v="Year 4"/>
    <d v="2016-12-31T00:00:00"/>
    <n v="4888000000"/>
    <n v="1666000000"/>
    <n v="1364000000"/>
    <n v="376000000"/>
    <n v="85000000"/>
    <x v="3"/>
    <s v="Pharmaceuticals"/>
    <n v="3222000000"/>
    <n v="1825000000"/>
    <n v="139700000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0">
  <r>
    <s v="AAPL"/>
    <s v="Year 1"/>
    <d v="2013-09-28T00:00:00"/>
    <n v="170910000000"/>
    <n v="106606000000"/>
    <n v="10830000000"/>
    <n v="4475000000"/>
    <n v="0"/>
    <x v="0"/>
    <x v="0"/>
    <n v="64304000000"/>
    <n v="15305000000"/>
    <n v="48999000000"/>
    <x v="0"/>
  </r>
  <r>
    <s v="AAPL"/>
    <s v="Year 2"/>
    <d v="2014-09-27T00:00:00"/>
    <n v="182795000000"/>
    <n v="112258000000"/>
    <n v="11993000000"/>
    <n v="6041000000"/>
    <n v="0"/>
    <x v="0"/>
    <x v="0"/>
    <n v="70537000000"/>
    <n v="18034000000"/>
    <n v="52503000000"/>
    <x v="0"/>
  </r>
  <r>
    <s v="AAPL"/>
    <s v="Year 3"/>
    <d v="2015-09-26T00:00:00"/>
    <n v="233715000000"/>
    <n v="140089000000"/>
    <n v="14329000000"/>
    <n v="8067000000"/>
    <n v="0"/>
    <x v="0"/>
    <x v="0"/>
    <n v="93626000000"/>
    <n v="22396000000"/>
    <n v="71230000000"/>
    <x v="1"/>
  </r>
  <r>
    <s v="AAPL"/>
    <s v="Year 4"/>
    <d v="2016-09-24T00:00:00"/>
    <n v="215639000000"/>
    <n v="131376000000"/>
    <n v="14194000000"/>
    <n v="10045000000"/>
    <n v="0"/>
    <x v="0"/>
    <x v="0"/>
    <n v="84263000000"/>
    <n v="24239000000"/>
    <n v="60024000000"/>
    <x v="1"/>
  </r>
  <r>
    <s v="ADBE"/>
    <s v="Year 1"/>
    <d v="2013-11-29T00:00:00"/>
    <n v="4055240000"/>
    <n v="586557000"/>
    <n v="2140578000"/>
    <n v="826631000"/>
    <n v="52254000"/>
    <x v="0"/>
    <x v="1"/>
    <n v="3468683000"/>
    <n v="3019463000"/>
    <n v="449220000"/>
    <x v="2"/>
  </r>
  <r>
    <s v="ADBE"/>
    <s v="Year 2"/>
    <d v="2014-11-28T00:00:00"/>
    <n v="4147065000"/>
    <n v="622080000"/>
    <n v="2195640000"/>
    <n v="844353000"/>
    <n v="52424000"/>
    <x v="0"/>
    <x v="1"/>
    <n v="3524985000"/>
    <n v="3092417000"/>
    <n v="432568000"/>
    <x v="2"/>
  </r>
  <r>
    <s v="ADBE"/>
    <s v="Year 3"/>
    <d v="2015-11-27T00:00:00"/>
    <n v="4795511000"/>
    <n v="744317000"/>
    <n v="2215161000"/>
    <n v="862730000"/>
    <n v="68649000"/>
    <x v="0"/>
    <x v="1"/>
    <n v="4051194000"/>
    <n v="3146540000"/>
    <n v="904654000"/>
    <x v="2"/>
  </r>
  <r>
    <s v="ADBE"/>
    <s v="Year 4"/>
    <d v="2016-12-02T00:00:00"/>
    <n v="5854430000"/>
    <n v="819908000"/>
    <n v="2487907000"/>
    <n v="975987000"/>
    <n v="78534000"/>
    <x v="0"/>
    <x v="1"/>
    <n v="5034522000"/>
    <n v="3542428000"/>
    <n v="1492094000"/>
    <x v="2"/>
  </r>
  <r>
    <s v="ADI"/>
    <s v="Year 1"/>
    <d v="2013-11-02T00:00:00"/>
    <n v="2633689000"/>
    <n v="941278000"/>
    <n v="396233000"/>
    <n v="513035000"/>
    <n v="220000"/>
    <x v="0"/>
    <x v="2"/>
    <n v="1692411000"/>
    <n v="909488000"/>
    <n v="782923000"/>
    <x v="2"/>
  </r>
  <r>
    <s v="ADI"/>
    <s v="Year 2"/>
    <d v="2014-11-01T00:00:00"/>
    <n v="2864773000"/>
    <n v="1034585000"/>
    <n v="454676000"/>
    <n v="559686000"/>
    <n v="26020000"/>
    <x v="0"/>
    <x v="2"/>
    <n v="1830188000"/>
    <n v="1040382000"/>
    <n v="789806000"/>
    <x v="2"/>
  </r>
  <r>
    <s v="ADI"/>
    <s v="Year 3"/>
    <d v="2015-10-31T00:00:00"/>
    <n v="3435092000"/>
    <n v="1175830000"/>
    <n v="702644000"/>
    <n v="637459000"/>
    <n v="88318000"/>
    <x v="0"/>
    <x v="2"/>
    <n v="2259262000"/>
    <n v="1428421000"/>
    <n v="830841000"/>
    <x v="2"/>
  </r>
  <r>
    <s v="ADI"/>
    <s v="Year 4"/>
    <d v="2016-10-29T00:00:00"/>
    <n v="3421409000"/>
    <n v="1194236000"/>
    <n v="461438000"/>
    <n v="653816000"/>
    <n v="70123000"/>
    <x v="0"/>
    <x v="2"/>
    <n v="2227173000"/>
    <n v="1185377000"/>
    <n v="1041796000"/>
    <x v="2"/>
  </r>
  <r>
    <s v="ADS"/>
    <s v="Year 1"/>
    <d v="2012-12-31T00:00:00"/>
    <n v="3641390000"/>
    <n v="2392091000"/>
    <n v="108059000"/>
    <n v="0"/>
    <n v="166876000"/>
    <x v="0"/>
    <x v="3"/>
    <n v="1249299000"/>
    <n v="274935000"/>
    <n v="974364000"/>
    <x v="2"/>
  </r>
  <r>
    <s v="ADS"/>
    <s v="Year 2"/>
    <d v="2013-12-31T00:00:00"/>
    <n v="4319063000"/>
    <n v="2894917000"/>
    <n v="109115000"/>
    <n v="0"/>
    <n v="216119000"/>
    <x v="0"/>
    <x v="3"/>
    <n v="1424146000"/>
    <n v="325234000"/>
    <n v="1098912000"/>
    <x v="2"/>
  </r>
  <r>
    <s v="ADS"/>
    <s v="Year 3"/>
    <d v="2014-12-31T00:00:00"/>
    <n v="5302940000"/>
    <n v="3643979000"/>
    <n v="247412000"/>
    <n v="0"/>
    <n v="313082000"/>
    <x v="0"/>
    <x v="3"/>
    <n v="1658961000"/>
    <n v="560494000"/>
    <n v="1098467000"/>
    <x v="2"/>
  </r>
  <r>
    <s v="ADS"/>
    <s v="Year 4"/>
    <d v="2015-12-31T00:00:00"/>
    <n v="6439746000"/>
    <n v="4482700000"/>
    <n v="203046000"/>
    <n v="0"/>
    <n v="492140000"/>
    <x v="0"/>
    <x v="3"/>
    <n v="1957046000"/>
    <n v="695186000"/>
    <n v="1261860000"/>
    <x v="2"/>
  </r>
  <r>
    <s v="ADSK"/>
    <s v="Year 1"/>
    <d v="2013-01-31T00:00:00"/>
    <n v="2312200000"/>
    <n v="238500000"/>
    <n v="1081800000"/>
    <n v="600000000"/>
    <n v="42100000"/>
    <x v="0"/>
    <x v="1"/>
    <n v="2073700000"/>
    <n v="1723900000"/>
    <n v="349800000"/>
    <x v="2"/>
  </r>
  <r>
    <s v="ADSK"/>
    <s v="Year 2"/>
    <d v="2014-01-31T00:00:00"/>
    <n v="2273900000"/>
    <n v="274300000"/>
    <n v="1054400000"/>
    <n v="611100000"/>
    <n v="36500000"/>
    <x v="0"/>
    <x v="1"/>
    <n v="1999600000"/>
    <n v="1702000000"/>
    <n v="297600000"/>
    <x v="2"/>
  </r>
  <r>
    <s v="ADSK"/>
    <s v="Year 3"/>
    <d v="2015-01-31T00:00:00"/>
    <n v="2512200000"/>
    <n v="342100000"/>
    <n v="1281300000"/>
    <n v="725200000"/>
    <n v="39800000"/>
    <x v="0"/>
    <x v="1"/>
    <n v="2170100000"/>
    <n v="2046300000"/>
    <n v="123800000"/>
    <x v="2"/>
  </r>
  <r>
    <s v="ADSK"/>
    <s v="Year 4"/>
    <d v="2016-01-31T00:00:00"/>
    <n v="2504100000"/>
    <n v="370700000"/>
    <n v="1308900000"/>
    <n v="790000000"/>
    <n v="33200000"/>
    <x v="0"/>
    <x v="1"/>
    <n v="2133400000"/>
    <n v="2132100000"/>
    <n v="1300000"/>
    <x v="2"/>
  </r>
  <r>
    <s v="AKAM"/>
    <s v="Year 1"/>
    <d v="2012-12-31T00:00:00"/>
    <n v="1373947000"/>
    <n v="529900000"/>
    <n v="433448000"/>
    <n v="74744000"/>
    <n v="20962000"/>
    <x v="0"/>
    <x v="4"/>
    <n v="844047000"/>
    <n v="529154000"/>
    <n v="314893000"/>
    <x v="2"/>
  </r>
  <r>
    <s v="AKAM"/>
    <s v="Year 2"/>
    <d v="2013-12-31T00:00:00"/>
    <n v="1577922000"/>
    <n v="511087000"/>
    <n v="535598000"/>
    <n v="93879000"/>
    <n v="21547000"/>
    <x v="0"/>
    <x v="4"/>
    <n v="1066835000"/>
    <n v="651024000"/>
    <n v="415811000"/>
    <x v="2"/>
  </r>
  <r>
    <s v="AKAM"/>
    <s v="Year 3"/>
    <d v="2014-12-31T00:00:00"/>
    <n v="1963874000"/>
    <n v="610943000"/>
    <n v="704880000"/>
    <n v="125286000"/>
    <n v="32057000"/>
    <x v="0"/>
    <x v="4"/>
    <n v="1352931000"/>
    <n v="862223000"/>
    <n v="490708000"/>
    <x v="2"/>
  </r>
  <r>
    <s v="AKAM"/>
    <s v="Year 4"/>
    <d v="2015-12-31T00:00:00"/>
    <n v="2197448000"/>
    <n v="725620000"/>
    <n v="829253000"/>
    <n v="148591000"/>
    <n v="27067000"/>
    <x v="0"/>
    <x v="4"/>
    <n v="1471828000"/>
    <n v="1004911000"/>
    <n v="466917000"/>
    <x v="2"/>
  </r>
  <r>
    <s v="AMAT"/>
    <s v="Year 1"/>
    <d v="2013-10-27T00:00:00"/>
    <n v="7509000000"/>
    <n v="4518000000"/>
    <n v="898000000"/>
    <n v="1320000000"/>
    <n v="0"/>
    <x v="0"/>
    <x v="5"/>
    <n v="2991000000"/>
    <n v="2218000000"/>
    <n v="773000000"/>
    <x v="2"/>
  </r>
  <r>
    <s v="AMAT"/>
    <s v="Year 2"/>
    <d v="2014-10-26T00:00:00"/>
    <n v="9072000000"/>
    <n v="5229000000"/>
    <n v="895000000"/>
    <n v="1428000000"/>
    <n v="0"/>
    <x v="0"/>
    <x v="5"/>
    <n v="3843000000"/>
    <n v="2323000000"/>
    <n v="1520000000"/>
    <x v="2"/>
  </r>
  <r>
    <s v="AMAT"/>
    <s v="Year 3"/>
    <d v="2015-10-25T00:00:00"/>
    <n v="9659000000"/>
    <n v="5707000000"/>
    <n v="808000000"/>
    <n v="1451000000"/>
    <n v="0"/>
    <x v="0"/>
    <x v="5"/>
    <n v="3952000000"/>
    <n v="2259000000"/>
    <n v="1693000000"/>
    <x v="2"/>
  </r>
  <r>
    <s v="AMAT"/>
    <s v="Year 4"/>
    <d v="2016-10-30T00:00:00"/>
    <n v="10825000000"/>
    <n v="6314000000"/>
    <n v="819000000"/>
    <n v="1540000000"/>
    <n v="0"/>
    <x v="0"/>
    <x v="5"/>
    <n v="4511000000"/>
    <n v="2359000000"/>
    <n v="2152000000"/>
    <x v="2"/>
  </r>
  <r>
    <s v="APH"/>
    <s v="Year 1"/>
    <d v="2012-12-31T00:00:00"/>
    <n v="4292100000"/>
    <n v="2948900000"/>
    <n v="512900000"/>
    <n v="0"/>
    <n v="0"/>
    <x v="0"/>
    <x v="6"/>
    <n v="1343200000"/>
    <n v="512900000"/>
    <n v="830300000"/>
    <x v="2"/>
  </r>
  <r>
    <s v="APH"/>
    <s v="Year 2"/>
    <d v="2013-12-31T00:00:00"/>
    <n v="4614700000"/>
    <n v="3163900000"/>
    <n v="548000000"/>
    <n v="0"/>
    <n v="0"/>
    <x v="0"/>
    <x v="6"/>
    <n v="1450800000"/>
    <n v="548000000"/>
    <n v="902800000"/>
    <x v="2"/>
  </r>
  <r>
    <s v="APH"/>
    <s v="Year 3"/>
    <d v="2014-12-31T00:00:00"/>
    <n v="5345500000"/>
    <n v="3651700000"/>
    <n v="645100000"/>
    <n v="0"/>
    <n v="0"/>
    <x v="0"/>
    <x v="6"/>
    <n v="1693800000"/>
    <n v="645100000"/>
    <n v="1048700000"/>
    <x v="2"/>
  </r>
  <r>
    <s v="APH"/>
    <s v="Year 4"/>
    <d v="2015-12-31T00:00:00"/>
    <n v="5568700000"/>
    <n v="3789200000"/>
    <n v="669100000"/>
    <n v="0"/>
    <n v="0"/>
    <x v="0"/>
    <x v="6"/>
    <n v="1779500000"/>
    <n v="669100000"/>
    <n v="1110400000"/>
    <x v="2"/>
  </r>
  <r>
    <s v="ATVI"/>
    <s v="Year 1"/>
    <d v="2012-12-31T00:00:00"/>
    <n v="4856000000"/>
    <n v="1662000000"/>
    <n v="1139000000"/>
    <n v="604000000"/>
    <n v="0"/>
    <x v="0"/>
    <x v="7"/>
    <n v="3194000000"/>
    <n v="1743000000"/>
    <n v="1451000000"/>
    <x v="2"/>
  </r>
  <r>
    <s v="ATVI"/>
    <s v="Year 2"/>
    <d v="2013-12-31T00:00:00"/>
    <n v="4583000000"/>
    <n v="1531000000"/>
    <n v="1096000000"/>
    <n v="584000000"/>
    <n v="0"/>
    <x v="0"/>
    <x v="7"/>
    <n v="3052000000"/>
    <n v="1680000000"/>
    <n v="1372000000"/>
    <x v="2"/>
  </r>
  <r>
    <s v="ATVI"/>
    <s v="Year 3"/>
    <d v="2014-12-31T00:00:00"/>
    <n v="4408000000"/>
    <n v="1525000000"/>
    <n v="1129000000"/>
    <n v="571000000"/>
    <n v="0"/>
    <x v="0"/>
    <x v="7"/>
    <n v="2883000000"/>
    <n v="1700000000"/>
    <n v="1183000000"/>
    <x v="2"/>
  </r>
  <r>
    <s v="ATVI"/>
    <s v="Year 4"/>
    <d v="2015-12-31T00:00:00"/>
    <n v="4664000000"/>
    <n v="1585000000"/>
    <n v="1114000000"/>
    <n v="646000000"/>
    <n v="0"/>
    <x v="0"/>
    <x v="7"/>
    <n v="3079000000"/>
    <n v="1760000000"/>
    <n v="1319000000"/>
    <x v="2"/>
  </r>
  <r>
    <s v="AVGO"/>
    <s v="Year 1"/>
    <d v="2015-11-01T00:00:00"/>
    <n v="6824000000"/>
    <n v="3271000000"/>
    <n v="486000000"/>
    <n v="1049000000"/>
    <n v="249000000"/>
    <x v="0"/>
    <x v="2"/>
    <n v="3553000000"/>
    <n v="1784000000"/>
    <n v="1769000000"/>
    <x v="2"/>
  </r>
  <r>
    <s v="AVGO"/>
    <s v="Year 2"/>
    <d v="2016-10-30T00:00:00"/>
    <n v="13240000000"/>
    <n v="7300000000"/>
    <n v="806000000"/>
    <n v="2674000000"/>
    <n v="1873000000"/>
    <x v="0"/>
    <x v="2"/>
    <n v="5940000000"/>
    <n v="5353000000"/>
    <n v="587000000"/>
    <x v="3"/>
  </r>
  <r>
    <s v="CRM"/>
    <s v="Year 1"/>
    <d v="2013-01-31T00:00:00"/>
    <n v="3050195000"/>
    <n v="683579000"/>
    <n v="2047847000"/>
    <n v="429479000"/>
    <n v="0"/>
    <x v="0"/>
    <x v="4"/>
    <n v="2366616000"/>
    <n v="2477326000"/>
    <n v="-110710000"/>
    <x v="2"/>
  </r>
  <r>
    <s v="CRM"/>
    <s v="Year 2"/>
    <d v="2014-01-31T00:00:00"/>
    <n v="4071003000"/>
    <n v="968428000"/>
    <n v="2764851000"/>
    <n v="623798000"/>
    <n v="0"/>
    <x v="0"/>
    <x v="4"/>
    <n v="3102575000"/>
    <n v="3388649000"/>
    <n v="-286074000"/>
    <x v="2"/>
  </r>
  <r>
    <s v="CRM"/>
    <s v="Year 3"/>
    <d v="2015-01-31T00:00:00"/>
    <n v="5373586000"/>
    <n v="1289270000"/>
    <n v="3437032000"/>
    <n v="792917000"/>
    <n v="0"/>
    <x v="0"/>
    <x v="4"/>
    <n v="4084316000"/>
    <n v="4229949000"/>
    <n v="-145633000"/>
    <x v="2"/>
  </r>
  <r>
    <s v="CRM"/>
    <s v="Year 4"/>
    <d v="2016-01-31T00:00:00"/>
    <n v="6667216000"/>
    <n v="1654548000"/>
    <n v="3951445000"/>
    <n v="946300000"/>
    <n v="0"/>
    <x v="0"/>
    <x v="4"/>
    <n v="5012668000"/>
    <n v="4897745000"/>
    <n v="114923000"/>
    <x v="2"/>
  </r>
  <r>
    <s v="CSCO"/>
    <s v="Year 1"/>
    <d v="2013-07-27T00:00:00"/>
    <n v="48607000000"/>
    <n v="19167000000"/>
    <n v="11802000000"/>
    <n v="5942000000"/>
    <n v="395000000"/>
    <x v="0"/>
    <x v="8"/>
    <n v="29440000000"/>
    <n v="18139000000"/>
    <n v="11301000000"/>
    <x v="0"/>
  </r>
  <r>
    <s v="CSCO"/>
    <s v="Year 2"/>
    <d v="2014-07-26T00:00:00"/>
    <n v="47142000000"/>
    <n v="19373000000"/>
    <n v="11437000000"/>
    <n v="6294000000"/>
    <n v="275000000"/>
    <x v="0"/>
    <x v="8"/>
    <n v="27769000000"/>
    <n v="18006000000"/>
    <n v="9763000000"/>
    <x v="0"/>
  </r>
  <r>
    <s v="CSCO"/>
    <s v="Year 3"/>
    <d v="2015-07-25T00:00:00"/>
    <n v="49161000000"/>
    <n v="19480000000"/>
    <n v="11861000000"/>
    <n v="6207000000"/>
    <n v="359000000"/>
    <x v="0"/>
    <x v="8"/>
    <n v="29681000000"/>
    <n v="18427000000"/>
    <n v="11254000000"/>
    <x v="0"/>
  </r>
  <r>
    <s v="CSCO"/>
    <s v="Year 4"/>
    <d v="2016-07-30T00:00:00"/>
    <n v="49247000000"/>
    <n v="18287000000"/>
    <n v="11433000000"/>
    <n v="6296000000"/>
    <n v="303000000"/>
    <x v="0"/>
    <x v="8"/>
    <n v="30960000000"/>
    <n v="18032000000"/>
    <n v="12928000000"/>
    <x v="0"/>
  </r>
  <r>
    <s v="CSRA"/>
    <s v="Year 1"/>
    <d v="2015-04-03T00:00:00"/>
    <n v="4069746000"/>
    <n v="3282301000"/>
    <n v="194207000"/>
    <n v="0"/>
    <n v="137058000"/>
    <x v="0"/>
    <x v="9"/>
    <n v="787445000"/>
    <n v="331265000"/>
    <n v="456180000"/>
    <x v="2"/>
  </r>
  <r>
    <s v="CSRA"/>
    <s v="Year 2"/>
    <d v="2016-04-01T00:00:00"/>
    <n v="4250447000"/>
    <n v="3575631000"/>
    <n v="187244000"/>
    <n v="0"/>
    <n v="182242000"/>
    <x v="0"/>
    <x v="9"/>
    <n v="674816000"/>
    <n v="369486000"/>
    <n v="305330000"/>
    <x v="2"/>
  </r>
  <r>
    <s v="CTSH"/>
    <s v="Year 1"/>
    <d v="2012-12-31T00:00:00"/>
    <n v="7346472000"/>
    <n v="4278241000"/>
    <n v="1557646000"/>
    <n v="0"/>
    <n v="149089000"/>
    <x v="0"/>
    <x v="9"/>
    <n v="3068231000"/>
    <n v="1706735000"/>
    <n v="1361496000"/>
    <x v="2"/>
  </r>
  <r>
    <s v="CTSH"/>
    <s v="Year 2"/>
    <d v="2013-12-31T00:00:00"/>
    <n v="8843200000"/>
    <n v="5265500000"/>
    <n v="1727600000"/>
    <n v="0"/>
    <n v="172200000"/>
    <x v="0"/>
    <x v="9"/>
    <n v="3577700000"/>
    <n v="1899800000"/>
    <n v="1677900000"/>
    <x v="2"/>
  </r>
  <r>
    <s v="CTSH"/>
    <s v="Year 3"/>
    <d v="2014-12-31T00:00:00"/>
    <n v="10262700000"/>
    <n v="6141100000"/>
    <n v="2037000000"/>
    <n v="0"/>
    <n v="199700000"/>
    <x v="0"/>
    <x v="9"/>
    <n v="4121600000"/>
    <n v="2236700000"/>
    <n v="1884900000"/>
    <x v="2"/>
  </r>
  <r>
    <s v="CTSH"/>
    <s v="Year 4"/>
    <d v="2015-12-31T00:00:00"/>
    <n v="12416000000"/>
    <n v="7440200000"/>
    <n v="2508600000"/>
    <n v="0"/>
    <n v="325200000"/>
    <x v="0"/>
    <x v="9"/>
    <n v="4975800000"/>
    <n v="2833800000"/>
    <n v="2142000000"/>
    <x v="2"/>
  </r>
  <r>
    <s v="CTXS"/>
    <s v="Year 1"/>
    <d v="2013-12-31T00:00:00"/>
    <n v="2918434000"/>
    <n v="502795000"/>
    <n v="1476916000"/>
    <n v="516338000"/>
    <n v="41668000"/>
    <x v="0"/>
    <x v="4"/>
    <n v="2415639000"/>
    <n v="2034922000"/>
    <n v="380717000"/>
    <x v="2"/>
  </r>
  <r>
    <s v="CTXS"/>
    <s v="Year 2"/>
    <d v="2014-12-31T00:00:00"/>
    <n v="3142856000"/>
    <n v="620219000"/>
    <n v="1600187000"/>
    <n v="553817000"/>
    <n v="39577000"/>
    <x v="0"/>
    <x v="4"/>
    <n v="2522637000"/>
    <n v="2193581000"/>
    <n v="329056000"/>
    <x v="2"/>
  </r>
  <r>
    <s v="CTXS"/>
    <s v="Year 3"/>
    <d v="2015-12-31T00:00:00"/>
    <n v="3275594000"/>
    <n v="614364000"/>
    <n v="1538027000"/>
    <n v="563975000"/>
    <n v="41595000"/>
    <x v="0"/>
    <x v="4"/>
    <n v="2661230000"/>
    <n v="2143597000"/>
    <n v="517633000"/>
    <x v="2"/>
  </r>
  <r>
    <s v="CTXS"/>
    <s v="Year 4"/>
    <d v="2016-12-31T00:00:00"/>
    <n v="3418265000"/>
    <n v="559541000"/>
    <n v="1620006000"/>
    <n v="489265000"/>
    <n v="29173000"/>
    <x v="0"/>
    <x v="4"/>
    <n v="2858724000"/>
    <n v="2138444000"/>
    <n v="720280000"/>
    <x v="2"/>
  </r>
  <r>
    <s v="EA"/>
    <s v="Year 1"/>
    <d v="2013-03-31T00:00:00"/>
    <n v="3797000000"/>
    <n v="1388000000"/>
    <n v="1078000000"/>
    <n v="1153000000"/>
    <n v="30000000"/>
    <x v="0"/>
    <x v="7"/>
    <n v="2409000000"/>
    <n v="2261000000"/>
    <n v="148000000"/>
    <x v="2"/>
  </r>
  <r>
    <s v="EA"/>
    <s v="Year 2"/>
    <d v="2014-03-31T00:00:00"/>
    <n v="3575000000"/>
    <n v="1347000000"/>
    <n v="1055000000"/>
    <n v="1125000000"/>
    <n v="16000000"/>
    <x v="0"/>
    <x v="7"/>
    <n v="2228000000"/>
    <n v="2196000000"/>
    <n v="32000000"/>
    <x v="2"/>
  </r>
  <r>
    <s v="EA"/>
    <s v="Year 3"/>
    <d v="2015-03-31T00:00:00"/>
    <n v="4515000000"/>
    <n v="1429000000"/>
    <n v="1030000000"/>
    <n v="1094000000"/>
    <n v="14000000"/>
    <x v="0"/>
    <x v="7"/>
    <n v="3086000000"/>
    <n v="2138000000"/>
    <n v="948000000"/>
    <x v="2"/>
  </r>
  <r>
    <s v="EA"/>
    <s v="Year 4"/>
    <d v="2016-03-31T00:00:00"/>
    <n v="4396000000"/>
    <n v="1354000000"/>
    <n v="1028000000"/>
    <n v="1109000000"/>
    <n v="7000000"/>
    <x v="0"/>
    <x v="7"/>
    <n v="3042000000"/>
    <n v="2144000000"/>
    <n v="898000000"/>
    <x v="2"/>
  </r>
  <r>
    <s v="EBAY"/>
    <s v="Year 1"/>
    <d v="2013-12-31T00:00:00"/>
    <n v="8257000000"/>
    <n v="1492000000"/>
    <n v="3260000000"/>
    <n v="915000000"/>
    <n v="136000000"/>
    <x v="0"/>
    <x v="4"/>
    <n v="6765000000"/>
    <n v="4311000000"/>
    <n v="2454000000"/>
    <x v="2"/>
  </r>
  <r>
    <s v="EBAY"/>
    <s v="Year 2"/>
    <d v="2014-12-31T00:00:00"/>
    <n v="8790000000"/>
    <n v="1663000000"/>
    <n v="3593000000"/>
    <n v="983000000"/>
    <n v="75000000"/>
    <x v="0"/>
    <x v="4"/>
    <n v="7127000000"/>
    <n v="4651000000"/>
    <n v="2476000000"/>
    <x v="2"/>
  </r>
  <r>
    <s v="EBAY"/>
    <s v="Year 3"/>
    <d v="2015-12-31T00:00:00"/>
    <n v="8592000000"/>
    <n v="1771000000"/>
    <n v="3660000000"/>
    <n v="923000000"/>
    <n v="41000000"/>
    <x v="0"/>
    <x v="4"/>
    <n v="6821000000"/>
    <n v="4624000000"/>
    <n v="2197000000"/>
    <x v="2"/>
  </r>
  <r>
    <s v="EBAY"/>
    <s v="Year 4"/>
    <d v="2016-12-31T00:00:00"/>
    <n v="8979000000"/>
    <n v="2007000000"/>
    <n v="3499000000"/>
    <n v="1114000000"/>
    <n v="34000000"/>
    <x v="0"/>
    <x v="4"/>
    <n v="6972000000"/>
    <n v="4647000000"/>
    <n v="2325000000"/>
    <x v="2"/>
  </r>
  <r>
    <s v="FB"/>
    <s v="Year 1"/>
    <d v="2013-12-31T00:00:00"/>
    <n v="7872000000"/>
    <n v="1875000000"/>
    <n v="1778000000"/>
    <n v="1415000000"/>
    <n v="0"/>
    <x v="0"/>
    <x v="4"/>
    <n v="5997000000"/>
    <n v="3193000000"/>
    <n v="2804000000"/>
    <x v="2"/>
  </r>
  <r>
    <s v="FB"/>
    <s v="Year 2"/>
    <d v="2014-12-31T00:00:00"/>
    <n v="12466000000"/>
    <n v="2153000000"/>
    <n v="2653000000"/>
    <n v="2666000000"/>
    <n v="0"/>
    <x v="0"/>
    <x v="4"/>
    <n v="10313000000"/>
    <n v="5319000000"/>
    <n v="4994000000"/>
    <x v="3"/>
  </r>
  <r>
    <s v="FB"/>
    <s v="Year 3"/>
    <d v="2015-12-31T00:00:00"/>
    <n v="17928000000"/>
    <n v="2867000000"/>
    <n v="4020000000"/>
    <n v="4816000000"/>
    <n v="0"/>
    <x v="0"/>
    <x v="4"/>
    <n v="15061000000"/>
    <n v="8836000000"/>
    <n v="6225000000"/>
    <x v="3"/>
  </r>
  <r>
    <s v="FB"/>
    <s v="Year 4"/>
    <d v="2016-12-31T00:00:00"/>
    <n v="27638000000"/>
    <n v="3789000000"/>
    <n v="5503000000"/>
    <n v="5919000000"/>
    <n v="0"/>
    <x v="0"/>
    <x v="4"/>
    <n v="23849000000"/>
    <n v="11422000000"/>
    <n v="12427000000"/>
    <x v="4"/>
  </r>
  <r>
    <s v="FFIV"/>
    <s v="Year 1"/>
    <d v="2013-09-30T00:00:00"/>
    <n v="1481314000"/>
    <n v="253047000"/>
    <n v="587835000"/>
    <n v="209614000"/>
    <n v="0"/>
    <x v="0"/>
    <x v="8"/>
    <n v="1228267000"/>
    <n v="797449000"/>
    <n v="430818000"/>
    <x v="2"/>
  </r>
  <r>
    <s v="FFIV"/>
    <s v="Year 2"/>
    <d v="2014-09-30T00:00:00"/>
    <n v="1732046000"/>
    <n v="309959000"/>
    <n v="664738000"/>
    <n v="263792000"/>
    <n v="0"/>
    <x v="0"/>
    <x v="8"/>
    <n v="1422087000"/>
    <n v="928530000"/>
    <n v="493557000"/>
    <x v="2"/>
  </r>
  <r>
    <s v="FFIV"/>
    <s v="Year 3"/>
    <d v="2015-09-30T00:00:00"/>
    <n v="1919823000"/>
    <n v="332261000"/>
    <n v="738080000"/>
    <n v="296583000"/>
    <n v="0"/>
    <x v="0"/>
    <x v="8"/>
    <n v="1587562000"/>
    <n v="1034663000"/>
    <n v="552899000"/>
    <x v="2"/>
  </r>
  <r>
    <s v="FFIV"/>
    <s v="Year 4"/>
    <d v="2016-09-30T00:00:00"/>
    <n v="1995034000"/>
    <n v="337205000"/>
    <n v="767174000"/>
    <n v="334227000"/>
    <n v="0"/>
    <x v="0"/>
    <x v="8"/>
    <n v="1657829000"/>
    <n v="1101401000"/>
    <n v="556428000"/>
    <x v="2"/>
  </r>
  <r>
    <s v="FIS"/>
    <s v="Year 1"/>
    <d v="2012-12-31T00:00:00"/>
    <n v="5795800000"/>
    <n v="3956200000"/>
    <n v="763300000"/>
    <n v="0"/>
    <n v="0"/>
    <x v="0"/>
    <x v="4"/>
    <n v="1839600000"/>
    <n v="763300000"/>
    <n v="1076300000"/>
    <x v="2"/>
  </r>
  <r>
    <s v="FIS"/>
    <s v="Year 2"/>
    <d v="2013-12-31T00:00:00"/>
    <n v="6063400000"/>
    <n v="4092700000"/>
    <n v="907800000"/>
    <n v="0"/>
    <n v="0"/>
    <x v="0"/>
    <x v="4"/>
    <n v="1970700000"/>
    <n v="907800000"/>
    <n v="1062900000"/>
    <x v="2"/>
  </r>
  <r>
    <s v="FIS"/>
    <s v="Year 3"/>
    <d v="2014-12-31T00:00:00"/>
    <n v="6413800000"/>
    <n v="4328300000"/>
    <n v="814900000"/>
    <n v="0"/>
    <n v="0"/>
    <x v="0"/>
    <x v="4"/>
    <n v="2085500000"/>
    <n v="814900000"/>
    <n v="1270600000"/>
    <x v="2"/>
  </r>
  <r>
    <s v="FIS"/>
    <s v="Year 4"/>
    <d v="2015-12-31T00:00:00"/>
    <n v="6595200000"/>
    <n v="4393200000"/>
    <n v="1102800000"/>
    <n v="0"/>
    <n v="0"/>
    <x v="0"/>
    <x v="4"/>
    <n v="2202000000"/>
    <n v="1102800000"/>
    <n v="1099200000"/>
    <x v="2"/>
  </r>
  <r>
    <s v="FISV"/>
    <s v="Year 1"/>
    <d v="2012-12-31T00:00:00"/>
    <n v="4436000000"/>
    <n v="2564000000"/>
    <n v="824000000"/>
    <n v="0"/>
    <n v="0"/>
    <x v="0"/>
    <x v="4"/>
    <n v="1872000000"/>
    <n v="824000000"/>
    <n v="1048000000"/>
    <x v="2"/>
  </r>
  <r>
    <s v="FISV"/>
    <s v="Year 2"/>
    <d v="2013-12-31T00:00:00"/>
    <n v="4814000000"/>
    <n v="2776000000"/>
    <n v="977000000"/>
    <n v="0"/>
    <n v="0"/>
    <x v="0"/>
    <x v="4"/>
    <n v="2038000000"/>
    <n v="977000000"/>
    <n v="1061000000"/>
    <x v="2"/>
  </r>
  <r>
    <s v="FISV"/>
    <s v="Year 3"/>
    <d v="2014-12-31T00:00:00"/>
    <n v="5066000000"/>
    <n v="2881000000"/>
    <n v="975000000"/>
    <n v="0"/>
    <n v="0"/>
    <x v="0"/>
    <x v="4"/>
    <n v="2185000000"/>
    <n v="975000000"/>
    <n v="1210000000"/>
    <x v="2"/>
  </r>
  <r>
    <s v="FISV"/>
    <s v="Year 4"/>
    <d v="2015-12-31T00:00:00"/>
    <n v="5254000000"/>
    <n v="2909000000"/>
    <n v="1034000000"/>
    <n v="0"/>
    <n v="0"/>
    <x v="0"/>
    <x v="4"/>
    <n v="2345000000"/>
    <n v="1034000000"/>
    <n v="1311000000"/>
    <x v="2"/>
  </r>
  <r>
    <s v="FLIR"/>
    <s v="Year 1"/>
    <d v="2012-12-31T00:00:00"/>
    <n v="1405358000"/>
    <n v="670174000"/>
    <n v="292500000"/>
    <n v="137354000"/>
    <n v="0"/>
    <x v="0"/>
    <x v="10"/>
    <n v="735184000"/>
    <n v="429854000"/>
    <n v="305330000"/>
    <x v="2"/>
  </r>
  <r>
    <s v="FLIR"/>
    <s v="Year 2"/>
    <d v="2013-12-31T00:00:00"/>
    <n v="1496372000"/>
    <n v="759362000"/>
    <n v="322739000"/>
    <n v="147696000"/>
    <n v="0"/>
    <x v="0"/>
    <x v="10"/>
    <n v="737010000"/>
    <n v="470435000"/>
    <n v="266575000"/>
    <x v="2"/>
  </r>
  <r>
    <s v="FLIR"/>
    <s v="Year 3"/>
    <d v="2014-12-31T00:00:00"/>
    <n v="1530654000"/>
    <n v="780281000"/>
    <n v="331995000"/>
    <n v="142751000"/>
    <n v="0"/>
    <x v="0"/>
    <x v="10"/>
    <n v="750373000"/>
    <n v="474746000"/>
    <n v="275627000"/>
    <x v="2"/>
  </r>
  <r>
    <s v="FLIR"/>
    <s v="Year 4"/>
    <d v="2015-12-31T00:00:00"/>
    <n v="1557067000"/>
    <n v="803506000"/>
    <n v="313544000"/>
    <n v="132892000"/>
    <n v="0"/>
    <x v="0"/>
    <x v="10"/>
    <n v="753561000"/>
    <n v="446436000"/>
    <n v="307125000"/>
    <x v="2"/>
  </r>
  <r>
    <s v="FSLR"/>
    <s v="Year 1"/>
    <d v="2012-12-31T00:00:00"/>
    <n v="3368545000"/>
    <n v="2515796000"/>
    <n v="280928000"/>
    <n v="132460000"/>
    <n v="0"/>
    <x v="0"/>
    <x v="2"/>
    <n v="852749000"/>
    <n v="413388000"/>
    <n v="439361000"/>
    <x v="2"/>
  </r>
  <r>
    <s v="FSLR"/>
    <s v="Year 2"/>
    <d v="2013-12-31T00:00:00"/>
    <n v="3309616000"/>
    <n v="2444984000"/>
    <n v="270261000"/>
    <n v="134300000"/>
    <n v="0"/>
    <x v="0"/>
    <x v="2"/>
    <n v="864632000"/>
    <n v="404561000"/>
    <n v="460071000"/>
    <x v="2"/>
  </r>
  <r>
    <s v="FSLR"/>
    <s v="Year 3"/>
    <d v="2014-12-31T00:00:00"/>
    <n v="3391187000"/>
    <n v="2566246000"/>
    <n v="253827000"/>
    <n v="143969000"/>
    <n v="0"/>
    <x v="0"/>
    <x v="2"/>
    <n v="824941000"/>
    <n v="397796000"/>
    <n v="427145000"/>
    <x v="2"/>
  </r>
  <r>
    <s v="FSLR"/>
    <s v="Year 4"/>
    <d v="2015-12-31T00:00:00"/>
    <n v="3578995000"/>
    <n v="2659728000"/>
    <n v="255192000"/>
    <n v="130593000"/>
    <n v="0"/>
    <x v="0"/>
    <x v="2"/>
    <n v="919267000"/>
    <n v="385785000"/>
    <n v="533482000"/>
    <x v="2"/>
  </r>
  <r>
    <s v="GLW"/>
    <s v="Year 1"/>
    <d v="2013-12-31T00:00:00"/>
    <n v="7819000000"/>
    <n v="4495000000"/>
    <n v="1126000000"/>
    <n v="710000000"/>
    <n v="31000000"/>
    <x v="0"/>
    <x v="6"/>
    <n v="3324000000"/>
    <n v="1867000000"/>
    <n v="1457000000"/>
    <x v="2"/>
  </r>
  <r>
    <s v="GLW"/>
    <s v="Year 2"/>
    <d v="2014-12-31T00:00:00"/>
    <n v="9715000000"/>
    <n v="5663000000"/>
    <n v="1202000000"/>
    <n v="815000000"/>
    <n v="33000000"/>
    <x v="0"/>
    <x v="6"/>
    <n v="4052000000"/>
    <n v="2050000000"/>
    <n v="2002000000"/>
    <x v="2"/>
  </r>
  <r>
    <s v="GLW"/>
    <s v="Year 3"/>
    <d v="2015-12-31T00:00:00"/>
    <n v="9111000000"/>
    <n v="5458000000"/>
    <n v="1508000000"/>
    <n v="769000000"/>
    <n v="54000000"/>
    <x v="0"/>
    <x v="6"/>
    <n v="3653000000"/>
    <n v="2331000000"/>
    <n v="1322000000"/>
    <x v="2"/>
  </r>
  <r>
    <s v="GLW"/>
    <s v="Year 4"/>
    <d v="2016-12-31T00:00:00"/>
    <n v="9390000000"/>
    <n v="5644000000"/>
    <n v="1472000000"/>
    <n v="742000000"/>
    <n v="64000000"/>
    <x v="0"/>
    <x v="6"/>
    <n v="3746000000"/>
    <n v="2278000000"/>
    <n v="1468000000"/>
    <x v="2"/>
  </r>
  <r>
    <s v="GPN"/>
    <s v="Year 1"/>
    <d v="2013-05-31T00:00:00"/>
    <n v="2375923000"/>
    <n v="862075000"/>
    <n v="1156635000"/>
    <n v="0"/>
    <n v="0"/>
    <x v="0"/>
    <x v="3"/>
    <n v="1513848000"/>
    <n v="1156635000"/>
    <n v="357213000"/>
    <x v="2"/>
  </r>
  <r>
    <s v="GPN"/>
    <s v="Year 2"/>
    <d v="2014-05-31T00:00:00"/>
    <n v="2554236000"/>
    <n v="952225000"/>
    <n v="1196512000"/>
    <n v="0"/>
    <n v="0"/>
    <x v="0"/>
    <x v="3"/>
    <n v="1602011000"/>
    <n v="1196512000"/>
    <n v="405499000"/>
    <x v="2"/>
  </r>
  <r>
    <s v="GPN"/>
    <s v="Year 3"/>
    <d v="2015-05-31T00:00:00"/>
    <n v="2773718000"/>
    <n v="1022107000"/>
    <n v="1295014000"/>
    <n v="0"/>
    <n v="0"/>
    <x v="0"/>
    <x v="3"/>
    <n v="1751611000"/>
    <n v="1295014000"/>
    <n v="456597000"/>
    <x v="2"/>
  </r>
  <r>
    <s v="GPN"/>
    <s v="Year 4"/>
    <d v="2016-05-31T00:00:00"/>
    <n v="2898150000"/>
    <n v="1147639000"/>
    <n v="1325567000"/>
    <n v="0"/>
    <n v="0"/>
    <x v="0"/>
    <x v="3"/>
    <n v="1750511000"/>
    <n v="1325567000"/>
    <n v="424944000"/>
    <x v="2"/>
  </r>
  <r>
    <s v="HPE"/>
    <s v="Year 1"/>
    <d v="2014-10-31T00:00:00"/>
    <n v="55123000000"/>
    <n v="39486000000"/>
    <n v="8717000000"/>
    <n v="2197000000"/>
    <n v="906000000"/>
    <x v="0"/>
    <x v="11"/>
    <n v="15637000000"/>
    <n v="11820000000"/>
    <n v="3817000000"/>
    <x v="4"/>
  </r>
  <r>
    <s v="HPE"/>
    <s v="Year 2"/>
    <d v="2015-10-31T00:00:00"/>
    <n v="52107000000"/>
    <n v="37168000000"/>
    <n v="9047000000"/>
    <n v="2338000000"/>
    <n v="852000000"/>
    <x v="0"/>
    <x v="11"/>
    <n v="14939000000"/>
    <n v="12237000000"/>
    <n v="2702000000"/>
    <x v="4"/>
  </r>
  <r>
    <s v="HPE"/>
    <s v="Year 3"/>
    <d v="2016-10-31T00:00:00"/>
    <n v="50123000000"/>
    <n v="35507000000"/>
    <n v="8419000000"/>
    <n v="2298000000"/>
    <n v="755000000"/>
    <x v="0"/>
    <x v="11"/>
    <n v="14616000000"/>
    <n v="11472000000"/>
    <n v="3144000000"/>
    <x v="4"/>
  </r>
  <r>
    <s v="HPQ"/>
    <s v="Year 1"/>
    <d v="2013-10-31T00:00:00"/>
    <n v="112298000000"/>
    <n v="86380000000"/>
    <n v="13267000000"/>
    <n v="3135000000"/>
    <n v="1373000000"/>
    <x v="0"/>
    <x v="0"/>
    <n v="25918000000"/>
    <n v="17775000000"/>
    <n v="8143000000"/>
    <x v="0"/>
  </r>
  <r>
    <s v="HPQ"/>
    <s v="Year 2"/>
    <d v="2014-10-31T00:00:00"/>
    <n v="56651000000"/>
    <n v="45431000000"/>
    <n v="5361000000"/>
    <n v="1298000000"/>
    <n v="129000000"/>
    <x v="0"/>
    <x v="0"/>
    <n v="11220000000"/>
    <n v="6788000000"/>
    <n v="4432000000"/>
    <x v="3"/>
  </r>
  <r>
    <s v="HPQ"/>
    <s v="Year 3"/>
    <d v="2015-10-31T00:00:00"/>
    <n v="51463000000"/>
    <n v="41524000000"/>
    <n v="4663000000"/>
    <n v="1191000000"/>
    <n v="102000000"/>
    <x v="0"/>
    <x v="0"/>
    <n v="9939000000"/>
    <n v="5956000000"/>
    <n v="3983000000"/>
    <x v="3"/>
  </r>
  <r>
    <s v="HPQ"/>
    <s v="Year 4"/>
    <d v="2016-10-31T00:00:00"/>
    <n v="48238000000"/>
    <n v="39240000000"/>
    <n v="4019000000"/>
    <n v="1209000000"/>
    <n v="16000000"/>
    <x v="0"/>
    <x v="0"/>
    <n v="8998000000"/>
    <n v="5244000000"/>
    <n v="3754000000"/>
    <x v="3"/>
  </r>
  <r>
    <s v="HRS"/>
    <s v="Year 1"/>
    <d v="2013-06-28T00:00:00"/>
    <n v="5112000000"/>
    <n v="3385000000"/>
    <n v="914000000"/>
    <n v="0"/>
    <n v="0"/>
    <x v="0"/>
    <x v="12"/>
    <n v="1727000000"/>
    <n v="914000000"/>
    <n v="813000000"/>
    <x v="2"/>
  </r>
  <r>
    <s v="HRS"/>
    <s v="Year 2"/>
    <d v="2014-06-27T00:00:00"/>
    <n v="5012000000"/>
    <n v="3310000000"/>
    <n v="820000000"/>
    <n v="0"/>
    <n v="0"/>
    <x v="0"/>
    <x v="12"/>
    <n v="1702000000"/>
    <n v="820000000"/>
    <n v="882000000"/>
    <x v="2"/>
  </r>
  <r>
    <s v="HRS"/>
    <s v="Year 3"/>
    <d v="2015-07-03T00:00:00"/>
    <n v="5083000000"/>
    <n v="3348000000"/>
    <n v="976000000"/>
    <n v="0"/>
    <n v="0"/>
    <x v="0"/>
    <x v="12"/>
    <n v="1735000000"/>
    <n v="976000000"/>
    <n v="759000000"/>
    <x v="2"/>
  </r>
  <r>
    <s v="HRS"/>
    <s v="Year 4"/>
    <d v="2016-07-01T00:00:00"/>
    <n v="7467000000"/>
    <n v="5132000000"/>
    <n v="1186000000"/>
    <n v="0"/>
    <n v="0"/>
    <x v="0"/>
    <x v="12"/>
    <n v="2335000000"/>
    <n v="1186000000"/>
    <n v="1149000000"/>
    <x v="2"/>
  </r>
  <r>
    <s v="IBM"/>
    <s v="Year 1"/>
    <d v="2012-12-31T00:00:00"/>
    <n v="102874000000"/>
    <n v="52513000000"/>
    <n v="22389000000"/>
    <n v="5816000000"/>
    <n v="0"/>
    <x v="0"/>
    <x v="9"/>
    <n v="50361000000"/>
    <n v="28205000000"/>
    <n v="22156000000"/>
    <x v="5"/>
  </r>
  <r>
    <s v="IBM"/>
    <s v="Year 2"/>
    <d v="2013-12-31T00:00:00"/>
    <n v="98367000000"/>
    <n v="49683000000"/>
    <n v="22629000000"/>
    <n v="5743000000"/>
    <n v="0"/>
    <x v="0"/>
    <x v="9"/>
    <n v="48684000000"/>
    <n v="28372000000"/>
    <n v="20312000000"/>
    <x v="5"/>
  </r>
  <r>
    <s v="IBM"/>
    <s v="Year 3"/>
    <d v="2014-12-31T00:00:00"/>
    <n v="92793000000"/>
    <n v="46386000000"/>
    <n v="22438000000"/>
    <n v="5437000000"/>
    <n v="0"/>
    <x v="0"/>
    <x v="9"/>
    <n v="46407000000"/>
    <n v="27875000000"/>
    <n v="18532000000"/>
    <x v="5"/>
  </r>
  <r>
    <s v="IBM"/>
    <s v="Year 4"/>
    <d v="2015-12-31T00:00:00"/>
    <n v="81741000000"/>
    <n v="41057000000"/>
    <n v="19748000000"/>
    <n v="5247000000"/>
    <n v="0"/>
    <x v="0"/>
    <x v="9"/>
    <n v="40684000000"/>
    <n v="24995000000"/>
    <n v="15689000000"/>
    <x v="1"/>
  </r>
  <r>
    <s v="INTC"/>
    <s v="Year 1"/>
    <d v="2013-12-28T00:00:00"/>
    <n v="52708000000"/>
    <n v="21187000000"/>
    <n v="8088000000"/>
    <n v="10611000000"/>
    <n v="291000000"/>
    <x v="0"/>
    <x v="2"/>
    <n v="31521000000"/>
    <n v="18990000000"/>
    <n v="12531000000"/>
    <x v="0"/>
  </r>
  <r>
    <s v="INTC"/>
    <s v="Year 2"/>
    <d v="2014-12-27T00:00:00"/>
    <n v="55870000000"/>
    <n v="20261000000"/>
    <n v="8136000000"/>
    <n v="11537000000"/>
    <n v="294000000"/>
    <x v="0"/>
    <x v="2"/>
    <n v="35609000000"/>
    <n v="19967000000"/>
    <n v="15642000000"/>
    <x v="0"/>
  </r>
  <r>
    <s v="INTC"/>
    <s v="Year 3"/>
    <d v="2015-12-26T00:00:00"/>
    <n v="55355000000"/>
    <n v="20676000000"/>
    <n v="7930000000"/>
    <n v="12128000000"/>
    <n v="265000000"/>
    <x v="0"/>
    <x v="2"/>
    <n v="34679000000"/>
    <n v="20323000000"/>
    <n v="14356000000"/>
    <x v="1"/>
  </r>
  <r>
    <s v="INTC"/>
    <s v="Year 4"/>
    <d v="2016-12-31T00:00:00"/>
    <n v="59387000000"/>
    <n v="23196000000"/>
    <n v="8397000000"/>
    <n v="12740000000"/>
    <n v="294000000"/>
    <x v="0"/>
    <x v="2"/>
    <n v="36191000000"/>
    <n v="21431000000"/>
    <n v="14760000000"/>
    <x v="1"/>
  </r>
  <r>
    <s v="INTU"/>
    <s v="Year 1"/>
    <d v="2013-07-31T00:00:00"/>
    <n v="3946000000"/>
    <n v="527000000"/>
    <n v="1534000000"/>
    <n v="647000000"/>
    <n v="30000000"/>
    <x v="0"/>
    <x v="4"/>
    <n v="3419000000"/>
    <n v="2211000000"/>
    <n v="1208000000"/>
    <x v="2"/>
  </r>
  <r>
    <s v="INTU"/>
    <s v="Year 2"/>
    <d v="2014-07-31T00:00:00"/>
    <n v="4243000000"/>
    <n v="603000000"/>
    <n v="1601000000"/>
    <n v="714000000"/>
    <n v="25000000"/>
    <x v="0"/>
    <x v="4"/>
    <n v="3640000000"/>
    <n v="2340000000"/>
    <n v="1300000000"/>
    <x v="2"/>
  </r>
  <r>
    <s v="INTU"/>
    <s v="Year 3"/>
    <d v="2015-07-31T00:00:00"/>
    <n v="4192000000"/>
    <n v="695000000"/>
    <n v="1771000000"/>
    <n v="798000000"/>
    <n v="42000000"/>
    <x v="0"/>
    <x v="4"/>
    <n v="3497000000"/>
    <n v="2611000000"/>
    <n v="886000000"/>
    <x v="2"/>
  </r>
  <r>
    <s v="INTU"/>
    <s v="Year 4"/>
    <d v="2016-07-31T00:00:00"/>
    <n v="4694000000"/>
    <n v="730000000"/>
    <n v="1807000000"/>
    <n v="881000000"/>
    <n v="34000000"/>
    <x v="0"/>
    <x v="4"/>
    <n v="3964000000"/>
    <n v="2722000000"/>
    <n v="1242000000"/>
    <x v="2"/>
  </r>
  <r>
    <s v="JNPR"/>
    <s v="Year 1"/>
    <d v="2012-12-31T00:00:00"/>
    <n v="4365400000"/>
    <n v="1656600000"/>
    <n v="1252300000"/>
    <n v="1101600000"/>
    <n v="0"/>
    <x v="0"/>
    <x v="8"/>
    <n v="2708800000"/>
    <n v="2353900000"/>
    <n v="354900000"/>
    <x v="2"/>
  </r>
  <r>
    <s v="JNPR"/>
    <s v="Year 2"/>
    <d v="2013-12-31T00:00:00"/>
    <n v="4669100000"/>
    <n v="1727700000"/>
    <n v="1293200000"/>
    <n v="1043200000"/>
    <n v="0"/>
    <x v="0"/>
    <x v="8"/>
    <n v="2941400000"/>
    <n v="2336400000"/>
    <n v="605000000"/>
    <x v="2"/>
  </r>
  <r>
    <s v="JNPR"/>
    <s v="Year 3"/>
    <d v="2014-12-31T00:00:00"/>
    <n v="4627100000"/>
    <n v="1768900000"/>
    <n v="1254700000"/>
    <n v="1006200000"/>
    <n v="0"/>
    <x v="0"/>
    <x v="8"/>
    <n v="2858200000"/>
    <n v="2260900000"/>
    <n v="597300000"/>
    <x v="2"/>
  </r>
  <r>
    <s v="JNPR"/>
    <s v="Year 4"/>
    <d v="2015-12-31T00:00:00"/>
    <n v="4857800000"/>
    <n v="1779200000"/>
    <n v="1172700000"/>
    <n v="994500000"/>
    <n v="0"/>
    <x v="0"/>
    <x v="8"/>
    <n v="3078600000"/>
    <n v="2167200000"/>
    <n v="911400000"/>
    <x v="2"/>
  </r>
  <r>
    <s v="KLAC"/>
    <s v="Year 1"/>
    <d v="2013-06-30T00:00:00"/>
    <n v="2842781000"/>
    <n v="1237452000"/>
    <n v="387812000"/>
    <n v="487832000"/>
    <n v="0"/>
    <x v="0"/>
    <x v="5"/>
    <n v="1605329000"/>
    <n v="875644000"/>
    <n v="729685000"/>
    <x v="2"/>
  </r>
  <r>
    <s v="KLAC"/>
    <s v="Year 2"/>
    <d v="2014-06-30T00:00:00"/>
    <n v="2929408000"/>
    <n v="1232962000"/>
    <n v="384907000"/>
    <n v="539469000"/>
    <n v="0"/>
    <x v="0"/>
    <x v="5"/>
    <n v="1696446000"/>
    <n v="924376000"/>
    <n v="772070000"/>
    <x v="2"/>
  </r>
  <r>
    <s v="KLAC"/>
    <s v="Year 3"/>
    <d v="2015-06-30T00:00:00"/>
    <n v="2814049000"/>
    <n v="1215229000"/>
    <n v="406864000"/>
    <n v="530616000"/>
    <n v="0"/>
    <x v="0"/>
    <x v="5"/>
    <n v="1598820000"/>
    <n v="937480000"/>
    <n v="661340000"/>
    <x v="2"/>
  </r>
  <r>
    <s v="KLAC"/>
    <s v="Year 4"/>
    <d v="2016-06-30T00:00:00"/>
    <n v="2984493000"/>
    <n v="1163391000"/>
    <n v="379399000"/>
    <n v="481258000"/>
    <n v="0"/>
    <x v="0"/>
    <x v="5"/>
    <n v="1821102000"/>
    <n v="860657000"/>
    <n v="960445000"/>
    <x v="2"/>
  </r>
  <r>
    <s v="LLTC"/>
    <s v="Year 1"/>
    <d v="2013-06-30T00:00:00"/>
    <n v="1282236000"/>
    <n v="322516000"/>
    <n v="151382000"/>
    <n v="235184000"/>
    <n v="0"/>
    <x v="0"/>
    <x v="2"/>
    <n v="959720000"/>
    <n v="386566000"/>
    <n v="573154000"/>
    <x v="2"/>
  </r>
  <r>
    <s v="LLTC"/>
    <s v="Year 2"/>
    <d v="2014-06-29T00:00:00"/>
    <n v="1388386000"/>
    <n v="338580000"/>
    <n v="159642000"/>
    <n v="250434000"/>
    <n v="0"/>
    <x v="0"/>
    <x v="2"/>
    <n v="1049806000"/>
    <n v="410076000"/>
    <n v="639730000"/>
    <x v="2"/>
  </r>
  <r>
    <s v="LLTC"/>
    <s v="Year 3"/>
    <d v="2015-06-28T00:00:00"/>
    <n v="1475139000"/>
    <n v="355727000"/>
    <n v="169952000"/>
    <n v="266761000"/>
    <n v="0"/>
    <x v="0"/>
    <x v="2"/>
    <n v="1119412000"/>
    <n v="436713000"/>
    <n v="682699000"/>
    <x v="2"/>
  </r>
  <r>
    <s v="LLTC"/>
    <s v="Year 4"/>
    <d v="2016-07-03T00:00:00"/>
    <n v="1423936000"/>
    <n v="343801000"/>
    <n v="170120000"/>
    <n v="276462000"/>
    <n v="0"/>
    <x v="0"/>
    <x v="2"/>
    <n v="1080135000"/>
    <n v="446582000"/>
    <n v="633553000"/>
    <x v="2"/>
  </r>
  <r>
    <s v="LRCX"/>
    <s v="Year 1"/>
    <d v="2013-06-30T00:00:00"/>
    <n v="3598916000"/>
    <n v="2195857000"/>
    <n v="601300000"/>
    <n v="683688000"/>
    <n v="0"/>
    <x v="0"/>
    <x v="5"/>
    <n v="1403059000"/>
    <n v="1284988000"/>
    <n v="118071000"/>
    <x v="2"/>
  </r>
  <r>
    <s v="LRCX"/>
    <s v="Year 2"/>
    <d v="2014-06-29T00:00:00"/>
    <n v="4607309000"/>
    <n v="2599828000"/>
    <n v="613341000"/>
    <n v="716471000"/>
    <n v="0"/>
    <x v="0"/>
    <x v="5"/>
    <n v="2007481000"/>
    <n v="1329812000"/>
    <n v="677669000"/>
    <x v="2"/>
  </r>
  <r>
    <s v="LRCX"/>
    <s v="Year 3"/>
    <d v="2015-06-28T00:00:00"/>
    <n v="5259312000"/>
    <n v="2974976000"/>
    <n v="591611000"/>
    <n v="825242000"/>
    <n v="0"/>
    <x v="0"/>
    <x v="5"/>
    <n v="2284336000"/>
    <n v="1416853000"/>
    <n v="867483000"/>
    <x v="2"/>
  </r>
  <r>
    <s v="LRCX"/>
    <s v="Year 4"/>
    <d v="2016-06-26T00:00:00"/>
    <n v="5885893000"/>
    <n v="3266971000"/>
    <n v="630954000"/>
    <n v="913712000"/>
    <n v="0"/>
    <x v="0"/>
    <x v="5"/>
    <n v="2618922000"/>
    <n v="1544666000"/>
    <n v="1074256000"/>
    <x v="2"/>
  </r>
  <r>
    <s v="MA"/>
    <s v="Year 1"/>
    <d v="2013-12-31T00:00:00"/>
    <n v="8312000000"/>
    <m/>
    <n v="3456000000"/>
    <n v="0"/>
    <n v="258000000"/>
    <x v="0"/>
    <x v="4"/>
    <n v="8312000000"/>
    <n v="3714000000"/>
    <n v="4598000000"/>
    <x v="2"/>
  </r>
  <r>
    <s v="MA"/>
    <s v="Year 2"/>
    <d v="2014-12-31T00:00:00"/>
    <n v="9441000000"/>
    <m/>
    <n v="4014000000"/>
    <n v="0"/>
    <n v="321000000"/>
    <x v="0"/>
    <x v="4"/>
    <n v="9441000000"/>
    <n v="4335000000"/>
    <n v="5106000000"/>
    <x v="2"/>
  </r>
  <r>
    <s v="MA"/>
    <s v="Year 3"/>
    <d v="2015-12-31T00:00:00"/>
    <n v="9667000000"/>
    <m/>
    <n v="4162000000"/>
    <n v="0"/>
    <n v="366000000"/>
    <x v="0"/>
    <x v="4"/>
    <n v="9667000000"/>
    <n v="4528000000"/>
    <n v="5139000000"/>
    <x v="2"/>
  </r>
  <r>
    <s v="MA"/>
    <s v="Year 4"/>
    <d v="2016-12-31T00:00:00"/>
    <n v="10776000000"/>
    <m/>
    <n v="4525000000"/>
    <n v="0"/>
    <n v="373000000"/>
    <x v="0"/>
    <x v="4"/>
    <n v="10776000000"/>
    <n v="4898000000"/>
    <n v="5878000000"/>
    <x v="2"/>
  </r>
  <r>
    <s v="MCHP"/>
    <s v="Year 1"/>
    <d v="2013-03-31T00:00:00"/>
    <n v="1581623000"/>
    <n v="743164000"/>
    <n v="261471000"/>
    <n v="254723000"/>
    <n v="111537000"/>
    <x v="0"/>
    <x v="2"/>
    <n v="838459000"/>
    <n v="627731000"/>
    <n v="210728000"/>
    <x v="2"/>
  </r>
  <r>
    <s v="MCHP"/>
    <s v="Year 2"/>
    <d v="2014-03-31T00:00:00"/>
    <n v="1931217000"/>
    <n v="802474000"/>
    <n v="267278000"/>
    <n v="305043000"/>
    <n v="94534000"/>
    <x v="0"/>
    <x v="2"/>
    <n v="1128743000"/>
    <n v="666855000"/>
    <n v="461888000"/>
    <x v="2"/>
  </r>
  <r>
    <s v="MCHP"/>
    <s v="Year 3"/>
    <d v="2015-03-31T00:00:00"/>
    <n v="2147036000"/>
    <n v="917472000"/>
    <n v="274815000"/>
    <n v="349543000"/>
    <n v="176746000"/>
    <x v="0"/>
    <x v="2"/>
    <n v="1229564000"/>
    <n v="801104000"/>
    <n v="428460000"/>
    <x v="2"/>
  </r>
  <r>
    <s v="MCHP"/>
    <s v="Year 4"/>
    <d v="2016-03-31T00:00:00"/>
    <n v="2173334000"/>
    <n v="967870000"/>
    <n v="301670000"/>
    <n v="372596000"/>
    <n v="174896000"/>
    <x v="0"/>
    <x v="2"/>
    <n v="1205464000"/>
    <n v="849162000"/>
    <n v="356302000"/>
    <x v="2"/>
  </r>
  <r>
    <s v="MSFT"/>
    <s v="Year 1"/>
    <d v="2013-06-30T00:00:00"/>
    <n v="77849000000"/>
    <n v="20385000000"/>
    <n v="20289000000"/>
    <n v="10411000000"/>
    <n v="0"/>
    <x v="0"/>
    <x v="13"/>
    <n v="57464000000"/>
    <n v="30700000000"/>
    <n v="26764000000"/>
    <x v="6"/>
  </r>
  <r>
    <s v="MSFT"/>
    <s v="Year 2"/>
    <d v="2014-06-30T00:00:00"/>
    <n v="86833000000"/>
    <n v="27078000000"/>
    <n v="20488000000"/>
    <n v="11381000000"/>
    <n v="0"/>
    <x v="0"/>
    <x v="13"/>
    <n v="59755000000"/>
    <n v="31869000000"/>
    <n v="27886000000"/>
    <x v="6"/>
  </r>
  <r>
    <s v="MSFT"/>
    <s v="Year 3"/>
    <d v="2015-06-30T00:00:00"/>
    <n v="93580000000"/>
    <n v="33038000000"/>
    <n v="20324000000"/>
    <n v="12046000000"/>
    <n v="0"/>
    <x v="0"/>
    <x v="13"/>
    <n v="60542000000"/>
    <n v="32370000000"/>
    <n v="28172000000"/>
    <x v="6"/>
  </r>
  <r>
    <s v="MSFT"/>
    <s v="Year 4"/>
    <d v="2016-06-30T00:00:00"/>
    <n v="85320000000"/>
    <n v="32780000000"/>
    <n v="19260000000"/>
    <n v="11988000000"/>
    <n v="0"/>
    <x v="0"/>
    <x v="13"/>
    <n v="52540000000"/>
    <n v="31248000000"/>
    <n v="21292000000"/>
    <x v="6"/>
  </r>
  <r>
    <s v="MU"/>
    <s v="Year 1"/>
    <d v="2013-08-29T00:00:00"/>
    <n v="9073000000"/>
    <n v="7226000000"/>
    <n v="554000000"/>
    <n v="931000000"/>
    <n v="0"/>
    <x v="0"/>
    <x v="2"/>
    <n v="1847000000"/>
    <n v="1485000000"/>
    <n v="362000000"/>
    <x v="2"/>
  </r>
  <r>
    <s v="MU"/>
    <s v="Year 2"/>
    <d v="2014-08-28T00:00:00"/>
    <n v="16358000000"/>
    <n v="10921000000"/>
    <n v="939000000"/>
    <n v="1371000000"/>
    <n v="0"/>
    <x v="0"/>
    <x v="2"/>
    <n v="5437000000"/>
    <n v="2310000000"/>
    <n v="3127000000"/>
    <x v="2"/>
  </r>
  <r>
    <s v="MU"/>
    <s v="Year 3"/>
    <d v="2015-09-03T00:00:00"/>
    <n v="16192000000"/>
    <n v="10977000000"/>
    <n v="674000000"/>
    <n v="1540000000"/>
    <n v="0"/>
    <x v="0"/>
    <x v="2"/>
    <n v="5215000000"/>
    <n v="2214000000"/>
    <n v="3001000000"/>
    <x v="2"/>
  </r>
  <r>
    <s v="MU"/>
    <s v="Year 4"/>
    <d v="2016-09-01T00:00:00"/>
    <n v="12399000000"/>
    <n v="9894000000"/>
    <n v="653000000"/>
    <n v="1617000000"/>
    <n v="0"/>
    <x v="0"/>
    <x v="2"/>
    <n v="2505000000"/>
    <n v="2270000000"/>
    <n v="235000000"/>
    <x v="2"/>
  </r>
  <r>
    <s v="NFLX"/>
    <s v="Year 1"/>
    <d v="2013-12-31T00:00:00"/>
    <n v="4374562000"/>
    <n v="3117203000"/>
    <n v="650243000"/>
    <n v="378769000"/>
    <n v="0"/>
    <x v="0"/>
    <x v="4"/>
    <n v="1257359000"/>
    <n v="1029012000"/>
    <n v="228347000"/>
    <x v="2"/>
  </r>
  <r>
    <s v="NFLX"/>
    <s v="Year 2"/>
    <d v="2014-12-31T00:00:00"/>
    <n v="5504656000"/>
    <n v="3752760000"/>
    <n v="876927000"/>
    <n v="472321000"/>
    <n v="0"/>
    <x v="0"/>
    <x v="4"/>
    <n v="1751896000"/>
    <n v="1349248000"/>
    <n v="402648000"/>
    <x v="2"/>
  </r>
  <r>
    <s v="NFLX"/>
    <s v="Year 3"/>
    <d v="2015-12-31T00:00:00"/>
    <n v="6779511000"/>
    <n v="4591476000"/>
    <n v="1231421000"/>
    <n v="650788000"/>
    <n v="0"/>
    <x v="0"/>
    <x v="4"/>
    <n v="2188035000"/>
    <n v="1882209000"/>
    <n v="305826000"/>
    <x v="2"/>
  </r>
  <r>
    <s v="NFLX"/>
    <s v="Year 4"/>
    <d v="2016-12-31T00:00:00"/>
    <n v="8830669000"/>
    <n v="6029901000"/>
    <n v="1568877000"/>
    <n v="852098000"/>
    <n v="0"/>
    <x v="0"/>
    <x v="4"/>
    <n v="2800768000"/>
    <n v="2420975000"/>
    <n v="379793000"/>
    <x v="2"/>
  </r>
  <r>
    <s v="NTAP"/>
    <s v="Year 1"/>
    <d v="2013-04-26T00:00:00"/>
    <n v="6332400000"/>
    <n v="2571300000"/>
    <n v="2247400000"/>
    <n v="904200000"/>
    <n v="0"/>
    <x v="0"/>
    <x v="4"/>
    <n v="3761100000"/>
    <n v="3151600000"/>
    <n v="609500000"/>
    <x v="2"/>
  </r>
  <r>
    <s v="NTAP"/>
    <s v="Year 2"/>
    <d v="2014-04-25T00:00:00"/>
    <n v="6325000000"/>
    <n v="2406000000"/>
    <n v="2179000000"/>
    <n v="918000000"/>
    <n v="0"/>
    <x v="0"/>
    <x v="4"/>
    <n v="3919000000"/>
    <n v="3097000000"/>
    <n v="822000000"/>
    <x v="2"/>
  </r>
  <r>
    <s v="NTAP"/>
    <s v="Year 3"/>
    <d v="2015-04-24T00:00:00"/>
    <n v="6123000000"/>
    <n v="2290000000"/>
    <n v="2197000000"/>
    <n v="920000000"/>
    <n v="0"/>
    <x v="0"/>
    <x v="4"/>
    <n v="3833000000"/>
    <n v="3117000000"/>
    <n v="716000000"/>
    <x v="2"/>
  </r>
  <r>
    <s v="NTAP"/>
    <s v="Year 4"/>
    <d v="2016-04-29T00:00:00"/>
    <n v="5546000000"/>
    <n v="2173000000"/>
    <n v="2099000000"/>
    <n v="861000000"/>
    <n v="0"/>
    <x v="0"/>
    <x v="4"/>
    <n v="3373000000"/>
    <n v="2960000000"/>
    <n v="413000000"/>
    <x v="2"/>
  </r>
  <r>
    <s v="NVDA"/>
    <s v="Year 1"/>
    <d v="2013-01-27T00:00:00"/>
    <n v="4280159000"/>
    <n v="2053816000"/>
    <n v="430822000"/>
    <n v="1147282000"/>
    <n v="0"/>
    <x v="0"/>
    <x v="2"/>
    <n v="2226343000"/>
    <n v="1578104000"/>
    <n v="648239000"/>
    <x v="2"/>
  </r>
  <r>
    <s v="NVDA"/>
    <s v="Year 2"/>
    <d v="2014-01-26T00:00:00"/>
    <n v="4130000000"/>
    <n v="1862000000"/>
    <n v="436000000"/>
    <n v="1336000000"/>
    <n v="0"/>
    <x v="0"/>
    <x v="2"/>
    <n v="2268000000"/>
    <n v="1772000000"/>
    <n v="496000000"/>
    <x v="2"/>
  </r>
  <r>
    <s v="NVDA"/>
    <s v="Year 3"/>
    <d v="2015-01-25T00:00:00"/>
    <n v="4682000000"/>
    <n v="2083000000"/>
    <n v="480000000"/>
    <n v="1360000000"/>
    <n v="0"/>
    <x v="0"/>
    <x v="2"/>
    <n v="2599000000"/>
    <n v="1840000000"/>
    <n v="759000000"/>
    <x v="2"/>
  </r>
  <r>
    <s v="NVDA"/>
    <s v="Year 4"/>
    <d v="2016-01-31T00:00:00"/>
    <n v="5010000000"/>
    <n v="2199000000"/>
    <n v="602000000"/>
    <n v="1331000000"/>
    <n v="0"/>
    <x v="0"/>
    <x v="2"/>
    <n v="2811000000"/>
    <n v="1933000000"/>
    <n v="878000000"/>
    <x v="2"/>
  </r>
  <r>
    <s v="QCOM"/>
    <s v="Year 1"/>
    <d v="2013-09-29T00:00:00"/>
    <n v="24866000000"/>
    <n v="9820000000"/>
    <n v="2849000000"/>
    <n v="4967000000"/>
    <n v="0"/>
    <x v="0"/>
    <x v="2"/>
    <n v="15046000000"/>
    <n v="7816000000"/>
    <n v="7230000000"/>
    <x v="3"/>
  </r>
  <r>
    <s v="QCOM"/>
    <s v="Year 2"/>
    <d v="2014-09-28T00:00:00"/>
    <n v="26487000000"/>
    <n v="10686000000"/>
    <n v="2774000000"/>
    <n v="5477000000"/>
    <n v="0"/>
    <x v="0"/>
    <x v="2"/>
    <n v="15801000000"/>
    <n v="8251000000"/>
    <n v="7550000000"/>
    <x v="3"/>
  </r>
  <r>
    <s v="QCOM"/>
    <s v="Year 3"/>
    <d v="2015-09-27T00:00:00"/>
    <n v="25281000000"/>
    <n v="10378000000"/>
    <n v="3637000000"/>
    <n v="5490000000"/>
    <n v="0"/>
    <x v="0"/>
    <x v="2"/>
    <n v="14903000000"/>
    <n v="9127000000"/>
    <n v="5776000000"/>
    <x v="3"/>
  </r>
  <r>
    <s v="QCOM"/>
    <s v="Year 4"/>
    <d v="2016-09-25T00:00:00"/>
    <n v="23554000000"/>
    <n v="9749000000"/>
    <n v="2159000000"/>
    <n v="5151000000"/>
    <n v="0"/>
    <x v="0"/>
    <x v="2"/>
    <n v="13805000000"/>
    <n v="7310000000"/>
    <n v="6495000000"/>
    <x v="3"/>
  </r>
  <r>
    <s v="QRVO"/>
    <s v="Year 1"/>
    <d v="2014-03-29T00:00:00"/>
    <n v="1148231000"/>
    <n v="743304000"/>
    <n v="180317000"/>
    <n v="197269000"/>
    <n v="0"/>
    <x v="0"/>
    <x v="2"/>
    <n v="404927000"/>
    <n v="377586000"/>
    <n v="27341000"/>
    <x v="2"/>
  </r>
  <r>
    <s v="QRVO"/>
    <s v="Year 2"/>
    <d v="2015-03-28T00:00:00"/>
    <n v="1710966000"/>
    <n v="1021658000"/>
    <n v="309348000"/>
    <n v="257494000"/>
    <n v="0"/>
    <x v="0"/>
    <x v="2"/>
    <n v="689308000"/>
    <n v="566842000"/>
    <n v="122466000"/>
    <x v="2"/>
  </r>
  <r>
    <s v="QRVO"/>
    <s v="Year 3"/>
    <d v="2016-04-02T00:00:00"/>
    <n v="2610726000"/>
    <n v="1561173000"/>
    <n v="588822000"/>
    <n v="448763000"/>
    <n v="0"/>
    <x v="0"/>
    <x v="2"/>
    <n v="1049553000"/>
    <n v="1037585000"/>
    <n v="11968000"/>
    <x v="2"/>
  </r>
  <r>
    <s v="RHT"/>
    <s v="Year 1"/>
    <d v="2013-02-28T00:00:00"/>
    <n v="1328817000"/>
    <n v="200600000"/>
    <n v="660887000"/>
    <n v="263150000"/>
    <n v="0"/>
    <x v="0"/>
    <x v="13"/>
    <n v="1128217000"/>
    <n v="924037000"/>
    <n v="204180000"/>
    <x v="2"/>
  </r>
  <r>
    <s v="RHT"/>
    <s v="Year 2"/>
    <d v="2014-02-28T00:00:00"/>
    <n v="1534615000"/>
    <n v="232600000"/>
    <n v="750292000"/>
    <n v="317263000"/>
    <n v="0"/>
    <x v="0"/>
    <x v="13"/>
    <n v="1302015000"/>
    <n v="1067555000"/>
    <n v="234460000"/>
    <x v="2"/>
  </r>
  <r>
    <s v="RHT"/>
    <s v="Year 3"/>
    <d v="2015-02-28T00:00:00"/>
    <n v="1789489000"/>
    <n v="273199000"/>
    <n v="898440000"/>
    <n v="367856000"/>
    <n v="0"/>
    <x v="0"/>
    <x v="13"/>
    <n v="1516290000"/>
    <n v="1266296000"/>
    <n v="249994000"/>
    <x v="2"/>
  </r>
  <r>
    <s v="RHT"/>
    <s v="Year 4"/>
    <d v="2016-02-29T00:00:00"/>
    <n v="2052230000"/>
    <n v="309629000"/>
    <n v="1041231000"/>
    <n v="413322000"/>
    <n v="0"/>
    <x v="0"/>
    <x v="13"/>
    <n v="1742601000"/>
    <n v="1454553000"/>
    <n v="288048000"/>
    <x v="2"/>
  </r>
  <r>
    <s v="STX"/>
    <s v="Year 1"/>
    <d v="2013-06-28T00:00:00"/>
    <n v="14351000000"/>
    <n v="10411000000"/>
    <n v="635000000"/>
    <n v="1133000000"/>
    <n v="79000000"/>
    <x v="0"/>
    <x v="14"/>
    <n v="3940000000"/>
    <n v="1847000000"/>
    <n v="2093000000"/>
    <x v="2"/>
  </r>
  <r>
    <s v="STX"/>
    <s v="Year 2"/>
    <d v="2014-06-27T00:00:00"/>
    <n v="13724000000"/>
    <n v="9878000000"/>
    <n v="722000000"/>
    <n v="1226000000"/>
    <n v="98000000"/>
    <x v="0"/>
    <x v="14"/>
    <n v="3846000000"/>
    <n v="2046000000"/>
    <n v="1800000000"/>
    <x v="2"/>
  </r>
  <r>
    <s v="STX"/>
    <s v="Year 3"/>
    <d v="2015-07-03T00:00:00"/>
    <n v="13739000000"/>
    <n v="9930000000"/>
    <n v="237000000"/>
    <n v="1353000000"/>
    <n v="129000000"/>
    <x v="0"/>
    <x v="14"/>
    <n v="3809000000"/>
    <n v="1719000000"/>
    <n v="2090000000"/>
    <x v="2"/>
  </r>
  <r>
    <s v="STX"/>
    <s v="Year 4"/>
    <d v="2016-07-01T00:00:00"/>
    <n v="11160000000"/>
    <n v="8545000000"/>
    <n v="635000000"/>
    <n v="1237000000"/>
    <n v="123000000"/>
    <x v="0"/>
    <x v="14"/>
    <n v="2615000000"/>
    <n v="1995000000"/>
    <n v="620000000"/>
    <x v="2"/>
  </r>
  <r>
    <s v="SWKS"/>
    <s v="Year 1"/>
    <d v="2013-09-27T00:00:00"/>
    <n v="1792000000"/>
    <n v="1025400000"/>
    <n v="159700000"/>
    <n v="226300000"/>
    <n v="29100000"/>
    <x v="0"/>
    <x v="2"/>
    <n v="766600000"/>
    <n v="415100000"/>
    <n v="351500000"/>
    <x v="2"/>
  </r>
  <r>
    <s v="SWKS"/>
    <s v="Year 2"/>
    <d v="2014-10-03T00:00:00"/>
    <n v="2291500000"/>
    <n v="1268800000"/>
    <n v="179100000"/>
    <n v="252200000"/>
    <n v="25900000"/>
    <x v="0"/>
    <x v="2"/>
    <n v="1022700000"/>
    <n v="457200000"/>
    <n v="565500000"/>
    <x v="2"/>
  </r>
  <r>
    <s v="SWKS"/>
    <s v="Year 3"/>
    <d v="2015-10-02T00:00:00"/>
    <n v="3258400000"/>
    <n v="1703900000"/>
    <n v="191300000"/>
    <n v="303200000"/>
    <n v="33500000"/>
    <x v="0"/>
    <x v="2"/>
    <n v="1554500000"/>
    <n v="528000000"/>
    <n v="1026500000"/>
    <x v="2"/>
  </r>
  <r>
    <s v="SWKS"/>
    <s v="Year 4"/>
    <d v="2016-09-30T00:00:00"/>
    <n v="3289000000"/>
    <n v="1623800000"/>
    <n v="195900000"/>
    <n v="312400000"/>
    <n v="33400000"/>
    <x v="0"/>
    <x v="2"/>
    <n v="1665200000"/>
    <n v="541700000"/>
    <n v="1123500000"/>
    <x v="2"/>
  </r>
  <r>
    <s v="SYMC"/>
    <s v="Year 1"/>
    <d v="2013-03-29T00:00:00"/>
    <n v="6906000000"/>
    <n v="1175000000"/>
    <n v="3236000000"/>
    <n v="1026000000"/>
    <n v="286000000"/>
    <x v="0"/>
    <x v="1"/>
    <n v="5731000000"/>
    <n v="4548000000"/>
    <n v="1183000000"/>
    <x v="2"/>
  </r>
  <r>
    <s v="SYMC"/>
    <s v="Year 2"/>
    <d v="2014-03-28T00:00:00"/>
    <n v="4183000000"/>
    <n v="791000000"/>
    <n v="2186000000"/>
    <n v="722000000"/>
    <n v="93000000"/>
    <x v="0"/>
    <x v="1"/>
    <n v="3392000000"/>
    <n v="3001000000"/>
    <n v="391000000"/>
    <x v="2"/>
  </r>
  <r>
    <s v="SYMC"/>
    <s v="Year 3"/>
    <d v="2015-04-03T00:00:00"/>
    <n v="3956000000"/>
    <n v="727000000"/>
    <n v="2012000000"/>
    <n v="812000000"/>
    <n v="87000000"/>
    <x v="0"/>
    <x v="1"/>
    <n v="3229000000"/>
    <n v="2911000000"/>
    <n v="318000000"/>
    <x v="2"/>
  </r>
  <r>
    <s v="SYMC"/>
    <s v="Year 4"/>
    <d v="2016-04-01T00:00:00"/>
    <n v="3600000000"/>
    <n v="615000000"/>
    <n v="1587000000"/>
    <n v="748000000"/>
    <n v="57000000"/>
    <x v="0"/>
    <x v="1"/>
    <n v="2985000000"/>
    <n v="2392000000"/>
    <n v="593000000"/>
    <x v="2"/>
  </r>
  <r>
    <s v="TDC"/>
    <s v="Year 1"/>
    <d v="2012-12-31T00:00:00"/>
    <n v="2665000000"/>
    <n v="1174000000"/>
    <n v="728000000"/>
    <n v="183000000"/>
    <n v="0"/>
    <x v="0"/>
    <x v="1"/>
    <n v="1491000000"/>
    <n v="911000000"/>
    <n v="580000000"/>
    <x v="2"/>
  </r>
  <r>
    <s v="TDC"/>
    <s v="Year 2"/>
    <d v="2013-12-31T00:00:00"/>
    <n v="2692000000"/>
    <n v="1219000000"/>
    <n v="757000000"/>
    <n v="184000000"/>
    <n v="0"/>
    <x v="0"/>
    <x v="1"/>
    <n v="1473000000"/>
    <n v="941000000"/>
    <n v="532000000"/>
    <x v="2"/>
  </r>
  <r>
    <s v="TDC"/>
    <s v="Year 3"/>
    <d v="2014-12-31T00:00:00"/>
    <n v="2732000000"/>
    <n v="1253000000"/>
    <n v="770000000"/>
    <n v="206000000"/>
    <n v="0"/>
    <x v="0"/>
    <x v="1"/>
    <n v="1479000000"/>
    <n v="976000000"/>
    <n v="503000000"/>
    <x v="2"/>
  </r>
  <r>
    <s v="TDC"/>
    <s v="Year 4"/>
    <d v="2015-12-31T00:00:00"/>
    <n v="2530000000"/>
    <n v="1254000000"/>
    <n v="765000000"/>
    <n v="228000000"/>
    <n v="0"/>
    <x v="0"/>
    <x v="1"/>
    <n v="1276000000"/>
    <n v="993000000"/>
    <n v="283000000"/>
    <x v="2"/>
  </r>
  <r>
    <s v="TEL"/>
    <s v="Year 1"/>
    <d v="2013-09-27T00:00:00"/>
    <n v="11390000000"/>
    <n v="7739000000"/>
    <n v="1440000000"/>
    <n v="590000000"/>
    <n v="0"/>
    <x v="0"/>
    <x v="15"/>
    <n v="3651000000"/>
    <n v="2030000000"/>
    <n v="1621000000"/>
    <x v="2"/>
  </r>
  <r>
    <s v="TEL"/>
    <s v="Year 2"/>
    <d v="2014-09-26T00:00:00"/>
    <n v="11973000000"/>
    <n v="8001000000"/>
    <n v="1534000000"/>
    <n v="583000000"/>
    <n v="0"/>
    <x v="0"/>
    <x v="15"/>
    <n v="3972000000"/>
    <n v="2117000000"/>
    <n v="1855000000"/>
    <x v="2"/>
  </r>
  <r>
    <s v="TEL"/>
    <s v="Year 3"/>
    <d v="2015-09-25T00:00:00"/>
    <n v="12233000000"/>
    <n v="8146000000"/>
    <n v="1504000000"/>
    <n v="627000000"/>
    <n v="0"/>
    <x v="0"/>
    <x v="15"/>
    <n v="4087000000"/>
    <n v="2131000000"/>
    <n v="1956000000"/>
    <x v="2"/>
  </r>
  <r>
    <s v="TEL"/>
    <s v="Year 4"/>
    <d v="2016-09-30T00:00:00"/>
    <n v="12238000000"/>
    <n v="8205000000"/>
    <n v="1463000000"/>
    <n v="644000000"/>
    <n v="0"/>
    <x v="0"/>
    <x v="15"/>
    <n v="4033000000"/>
    <n v="2107000000"/>
    <n v="1926000000"/>
    <x v="2"/>
  </r>
  <r>
    <s v="TSS"/>
    <s v="Year 1"/>
    <d v="2012-12-31T00:00:00"/>
    <n v="1793557000"/>
    <n v="1189341000"/>
    <n v="247597000"/>
    <n v="0"/>
    <n v="0"/>
    <x v="0"/>
    <x v="4"/>
    <n v="604216000"/>
    <n v="247597000"/>
    <n v="356619000"/>
    <x v="2"/>
  </r>
  <r>
    <s v="TSS"/>
    <s v="Year 2"/>
    <d v="2013-12-31T00:00:00"/>
    <n v="2064305000"/>
    <n v="1369438000"/>
    <n v="312367000"/>
    <n v="0"/>
    <n v="0"/>
    <x v="0"/>
    <x v="4"/>
    <n v="694867000"/>
    <n v="312367000"/>
    <n v="382500000"/>
    <x v="2"/>
  </r>
  <r>
    <s v="TSS"/>
    <s v="Year 3"/>
    <d v="2014-12-31T00:00:00"/>
    <n v="2446877000"/>
    <n v="1668892000"/>
    <n v="346345000"/>
    <n v="0"/>
    <n v="0"/>
    <x v="0"/>
    <x v="4"/>
    <n v="777985000"/>
    <n v="346345000"/>
    <n v="431640000"/>
    <x v="2"/>
  </r>
  <r>
    <s v="TSS"/>
    <s v="Year 4"/>
    <d v="2015-12-31T00:00:00"/>
    <n v="2779541000"/>
    <n v="1855181000"/>
    <n v="390253000"/>
    <n v="0"/>
    <n v="0"/>
    <x v="0"/>
    <x v="4"/>
    <n v="924360000"/>
    <n v="390253000"/>
    <n v="534107000"/>
    <x v="2"/>
  </r>
  <r>
    <s v="TXN"/>
    <s v="Year 1"/>
    <d v="2012-12-31T00:00:00"/>
    <n v="12825000000"/>
    <n v="6457000000"/>
    <n v="1804000000"/>
    <n v="1877000000"/>
    <n v="0"/>
    <x v="0"/>
    <x v="2"/>
    <n v="6368000000"/>
    <n v="3681000000"/>
    <n v="2687000000"/>
    <x v="2"/>
  </r>
  <r>
    <s v="TXN"/>
    <s v="Year 2"/>
    <d v="2013-12-31T00:00:00"/>
    <n v="12205000000"/>
    <n v="5841000000"/>
    <n v="1858000000"/>
    <n v="1522000000"/>
    <n v="0"/>
    <x v="0"/>
    <x v="2"/>
    <n v="6364000000"/>
    <n v="3380000000"/>
    <n v="2984000000"/>
    <x v="2"/>
  </r>
  <r>
    <s v="TXN"/>
    <s v="Year 3"/>
    <d v="2014-12-31T00:00:00"/>
    <n v="13045000000"/>
    <n v="5618000000"/>
    <n v="1843000000"/>
    <n v="1358000000"/>
    <n v="0"/>
    <x v="0"/>
    <x v="2"/>
    <n v="7427000000"/>
    <n v="3201000000"/>
    <n v="4226000000"/>
    <x v="2"/>
  </r>
  <r>
    <s v="TXN"/>
    <s v="Year 4"/>
    <d v="2015-12-31T00:00:00"/>
    <n v="13000000000"/>
    <n v="5440000000"/>
    <n v="1748000000"/>
    <n v="1280000000"/>
    <n v="0"/>
    <x v="0"/>
    <x v="2"/>
    <n v="7560000000"/>
    <n v="3028000000"/>
    <n v="4532000000"/>
    <x v="2"/>
  </r>
  <r>
    <s v="V"/>
    <s v="Year 1"/>
    <d v="2013-09-30T00:00:00"/>
    <n v="11778000000"/>
    <n v="1932000000"/>
    <n v="2207000000"/>
    <n v="0"/>
    <n v="397000000"/>
    <x v="0"/>
    <x v="4"/>
    <n v="9846000000"/>
    <n v="2604000000"/>
    <n v="7242000000"/>
    <x v="2"/>
  </r>
  <r>
    <s v="V"/>
    <s v="Year 2"/>
    <d v="2014-09-30T00:00:00"/>
    <n v="12702000000"/>
    <n v="1875000000"/>
    <n v="2242000000"/>
    <n v="0"/>
    <n v="435000000"/>
    <x v="0"/>
    <x v="4"/>
    <n v="10827000000"/>
    <n v="2677000000"/>
    <n v="8150000000"/>
    <x v="2"/>
  </r>
  <r>
    <s v="V"/>
    <s v="Year 3"/>
    <d v="2015-09-30T00:00:00"/>
    <n v="13880000000"/>
    <n v="2079000000"/>
    <n v="2229000000"/>
    <n v="0"/>
    <n v="494000000"/>
    <x v="0"/>
    <x v="4"/>
    <n v="11801000000"/>
    <n v="2723000000"/>
    <n v="9078000000"/>
    <x v="2"/>
  </r>
  <r>
    <s v="V"/>
    <s v="Year 4"/>
    <d v="2016-09-30T00:00:00"/>
    <n v="15082000000"/>
    <n v="2226000000"/>
    <n v="4469000000"/>
    <n v="0"/>
    <n v="502000000"/>
    <x v="0"/>
    <x v="4"/>
    <n v="12856000000"/>
    <n v="4971000000"/>
    <n v="7885000000"/>
    <x v="2"/>
  </r>
  <r>
    <s v="VRSN"/>
    <s v="Year 1"/>
    <d v="2012-12-31T00:00:00"/>
    <n v="873592000"/>
    <n v="167600000"/>
    <n v="186971000"/>
    <n v="61694000"/>
    <n v="0"/>
    <x v="0"/>
    <x v="4"/>
    <n v="705992000"/>
    <n v="248665000"/>
    <n v="457327000"/>
    <x v="2"/>
  </r>
  <r>
    <s v="VRSN"/>
    <s v="Year 2"/>
    <d v="2013-12-31T00:00:00"/>
    <n v="965087000"/>
    <n v="187013000"/>
    <n v="179545000"/>
    <n v="70297000"/>
    <n v="0"/>
    <x v="0"/>
    <x v="4"/>
    <n v="778074000"/>
    <n v="249842000"/>
    <n v="528232000"/>
    <x v="2"/>
  </r>
  <r>
    <s v="VRSN"/>
    <s v="Year 3"/>
    <d v="2014-12-31T00:00:00"/>
    <n v="1010117000"/>
    <n v="188425000"/>
    <n v="189488000"/>
    <n v="67777000"/>
    <n v="0"/>
    <x v="0"/>
    <x v="4"/>
    <n v="821692000"/>
    <n v="257265000"/>
    <n v="564427000"/>
    <x v="2"/>
  </r>
  <r>
    <s v="VRSN"/>
    <s v="Year 4"/>
    <d v="2015-12-31T00:00:00"/>
    <n v="1059366000"/>
    <n v="192788000"/>
    <n v="196914000"/>
    <n v="63718000"/>
    <n v="0"/>
    <x v="0"/>
    <x v="4"/>
    <n v="866578000"/>
    <n v="260632000"/>
    <n v="605946000"/>
    <x v="2"/>
  </r>
  <r>
    <s v="WDC"/>
    <s v="Year 1"/>
    <d v="2013-06-28T00:00:00"/>
    <n v="15351000000"/>
    <n v="10988000000"/>
    <n v="1525000000"/>
    <n v="1572000000"/>
    <n v="0"/>
    <x v="0"/>
    <x v="14"/>
    <n v="4363000000"/>
    <n v="3097000000"/>
    <n v="1266000000"/>
    <x v="2"/>
  </r>
  <r>
    <s v="WDC"/>
    <s v="Year 2"/>
    <d v="2014-06-27T00:00:00"/>
    <n v="15130000000"/>
    <n v="10770000000"/>
    <n v="908000000"/>
    <n v="1661000000"/>
    <n v="0"/>
    <x v="0"/>
    <x v="14"/>
    <n v="4360000000"/>
    <n v="2569000000"/>
    <n v="1791000000"/>
    <x v="2"/>
  </r>
  <r>
    <s v="WDC"/>
    <s v="Year 3"/>
    <d v="2015-07-03T00:00:00"/>
    <n v="14572000000"/>
    <n v="10351000000"/>
    <n v="964000000"/>
    <n v="1646000000"/>
    <n v="0"/>
    <x v="0"/>
    <x v="14"/>
    <n v="4221000000"/>
    <n v="2610000000"/>
    <n v="1611000000"/>
    <x v="2"/>
  </r>
  <r>
    <s v="WDC"/>
    <s v="Year 4"/>
    <d v="2016-07-01T00:00:00"/>
    <n v="12994000000"/>
    <n v="9559000000"/>
    <n v="1342000000"/>
    <n v="1627000000"/>
    <n v="0"/>
    <x v="0"/>
    <x v="14"/>
    <n v="3435000000"/>
    <n v="2969000000"/>
    <n v="466000000"/>
    <x v="2"/>
  </r>
  <r>
    <s v="WU"/>
    <s v="Year 1"/>
    <d v="2012-12-31T00:00:00"/>
    <n v="5664800000"/>
    <n v="3194200000"/>
    <n v="1140600000"/>
    <n v="0"/>
    <n v="0"/>
    <x v="0"/>
    <x v="4"/>
    <n v="2470600000"/>
    <n v="1140600000"/>
    <n v="1330000000"/>
    <x v="2"/>
  </r>
  <r>
    <s v="WU"/>
    <s v="Year 2"/>
    <d v="2013-12-31T00:00:00"/>
    <n v="5542000000"/>
    <n v="3235000000"/>
    <n v="1199600000"/>
    <n v="0"/>
    <n v="0"/>
    <x v="0"/>
    <x v="4"/>
    <n v="2307000000"/>
    <n v="1199600000"/>
    <n v="1107400000"/>
    <x v="2"/>
  </r>
  <r>
    <s v="WU"/>
    <s v="Year 3"/>
    <d v="2014-12-31T00:00:00"/>
    <n v="5607200000"/>
    <n v="3297400000"/>
    <n v="1169300000"/>
    <n v="0"/>
    <n v="0"/>
    <x v="0"/>
    <x v="4"/>
    <n v="2309800000"/>
    <n v="1169300000"/>
    <n v="1140500000"/>
    <x v="2"/>
  </r>
  <r>
    <s v="WU"/>
    <s v="Year 4"/>
    <d v="2015-12-31T00:00:00"/>
    <n v="5483700000"/>
    <n v="3199400000"/>
    <n v="1174900000"/>
    <n v="0"/>
    <n v="0"/>
    <x v="0"/>
    <x v="4"/>
    <n v="2284300000"/>
    <n v="1174900000"/>
    <n v="1109400000"/>
    <x v="2"/>
  </r>
  <r>
    <s v="XLNX"/>
    <s v="Year 1"/>
    <d v="2013-03-30T00:00:00"/>
    <n v="2168652000"/>
    <n v="737206000"/>
    <n v="365684000"/>
    <n v="475522000"/>
    <n v="9508000"/>
    <x v="0"/>
    <x v="2"/>
    <n v="1431446000"/>
    <n v="850714000"/>
    <n v="580732000"/>
    <x v="2"/>
  </r>
  <r>
    <s v="XLNX"/>
    <s v="Year 2"/>
    <d v="2014-03-29T00:00:00"/>
    <n v="2382531000"/>
    <n v="743253000"/>
    <n v="378607000"/>
    <n v="492447000"/>
    <n v="9887000"/>
    <x v="0"/>
    <x v="2"/>
    <n v="1639278000"/>
    <n v="880941000"/>
    <n v="758337000"/>
    <x v="2"/>
  </r>
  <r>
    <s v="XLNX"/>
    <s v="Year 3"/>
    <d v="2015-03-28T00:00:00"/>
    <n v="2377344000"/>
    <n v="708823000"/>
    <n v="353670000"/>
    <n v="525745000"/>
    <n v="9537000"/>
    <x v="0"/>
    <x v="2"/>
    <n v="1668521000"/>
    <n v="888952000"/>
    <n v="779569000"/>
    <x v="2"/>
  </r>
  <r>
    <s v="XLNX"/>
    <s v="Year 4"/>
    <d v="2016-04-02T00:00:00"/>
    <n v="2213881000"/>
    <n v="671907000"/>
    <n v="331652000"/>
    <n v="533891000"/>
    <n v="6550000"/>
    <x v="0"/>
    <x v="2"/>
    <n v="1541974000"/>
    <n v="872093000"/>
    <n v="669881000"/>
    <x v="2"/>
  </r>
  <r>
    <s v="XRX"/>
    <s v="Year 1"/>
    <d v="2012-12-31T00:00:00"/>
    <n v="20421000000"/>
    <n v="13634000000"/>
    <n v="4398000000"/>
    <n v="655000000"/>
    <n v="301000000"/>
    <x v="0"/>
    <x v="9"/>
    <n v="6787000000"/>
    <n v="5354000000"/>
    <n v="1433000000"/>
    <x v="3"/>
  </r>
  <r>
    <s v="XRX"/>
    <s v="Year 2"/>
    <d v="2013-12-31T00:00:00"/>
    <n v="20006000000"/>
    <n v="13521000000"/>
    <n v="4219000000"/>
    <n v="603000000"/>
    <n v="305000000"/>
    <x v="0"/>
    <x v="9"/>
    <n v="6485000000"/>
    <n v="5127000000"/>
    <n v="1358000000"/>
    <x v="3"/>
  </r>
  <r>
    <s v="XRX"/>
    <s v="Year 3"/>
    <d v="2014-12-31T00:00:00"/>
    <n v="19540000000"/>
    <n v="13294000000"/>
    <n v="4020000000"/>
    <n v="577000000"/>
    <n v="315000000"/>
    <x v="0"/>
    <x v="9"/>
    <n v="6246000000"/>
    <n v="4912000000"/>
    <n v="1334000000"/>
    <x v="2"/>
  </r>
  <r>
    <s v="XRX"/>
    <s v="Year 4"/>
    <d v="2015-12-31T00:00:00"/>
    <n v="18045000000"/>
    <n v="12782000000"/>
    <n v="3792000000"/>
    <n v="563000000"/>
    <n v="310000000"/>
    <x v="0"/>
    <x v="9"/>
    <n v="5263000000"/>
    <n v="4665000000"/>
    <n v="598000000"/>
    <x v="2"/>
  </r>
  <r>
    <s v="YHOO"/>
    <s v="Year 1"/>
    <d v="2012-12-31T00:00:00"/>
    <n v="4986566000"/>
    <n v="1620566000"/>
    <n v="1641819000"/>
    <n v="885824000"/>
    <n v="35819000"/>
    <x v="0"/>
    <x v="4"/>
    <n v="3366000000"/>
    <n v="2563462000"/>
    <n v="802538000"/>
    <x v="2"/>
  </r>
  <r>
    <s v="YHOO"/>
    <s v="Year 2"/>
    <d v="2013-12-31T00:00:00"/>
    <n v="4680380000"/>
    <n v="1349380000"/>
    <n v="1751275000"/>
    <n v="957587000"/>
    <n v="44841000"/>
    <x v="0"/>
    <x v="4"/>
    <n v="3331000000"/>
    <n v="2753703000"/>
    <n v="577297000"/>
    <x v="2"/>
  </r>
  <r>
    <s v="YHOO"/>
    <s v="Year 3"/>
    <d v="2014-12-31T00:00:00"/>
    <n v="4618133000"/>
    <n v="1387375000"/>
    <n v="1770710000"/>
    <n v="1156386000"/>
    <n v="66750000"/>
    <x v="0"/>
    <x v="4"/>
    <n v="3230758000"/>
    <n v="2993846000"/>
    <n v="236912000"/>
    <x v="2"/>
  </r>
  <r>
    <s v="YHOO"/>
    <s v="Year 4"/>
    <d v="2015-12-31T00:00:00"/>
    <n v="4968301000"/>
    <n v="2077748000"/>
    <n v="1768522000"/>
    <n v="1177923000"/>
    <n v="79042000"/>
    <x v="0"/>
    <x v="4"/>
    <n v="2890553000"/>
    <n v="3025487000"/>
    <n v="-13493400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ED8B3D0-9D39-45E4-BA02-5D1B9AE0B96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B3:G15" firstHeaderRow="0" firstDataRow="1" firstDataCol="1"/>
  <pivotFields count="10">
    <pivotField showAll="0"/>
    <pivotField showAll="0">
      <items count="5">
        <item x="0"/>
        <item x="1"/>
        <item x="2"/>
        <item x="3"/>
        <item t="default"/>
      </items>
    </pivotField>
    <pivotField numFmtId="14" showAll="0"/>
    <pivotField dataField="1" numFmtId="164" showAll="0">
      <items count="1691">
        <item x="350"/>
        <item x="349"/>
        <item x="351"/>
        <item x="352"/>
        <item x="571"/>
        <item x="977"/>
        <item x="1150"/>
        <item x="572"/>
        <item x="539"/>
        <item x="1574"/>
        <item x="540"/>
        <item x="978"/>
        <item x="635"/>
        <item x="573"/>
        <item x="636"/>
        <item x="1500"/>
        <item x="637"/>
        <item x="1501"/>
        <item x="1460"/>
        <item x="1151"/>
        <item x="574"/>
        <item x="865"/>
        <item x="981"/>
        <item x="638"/>
        <item x="1502"/>
        <item x="866"/>
        <item x="1568"/>
        <item x="1503"/>
        <item x="1152"/>
        <item x="1461"/>
        <item x="60"/>
        <item x="1569"/>
        <item x="541"/>
        <item x="61"/>
        <item x="63"/>
        <item x="62"/>
        <item x="979"/>
        <item x="867"/>
        <item x="1570"/>
        <item x="1153"/>
        <item x="982"/>
        <item x="1575"/>
        <item x="980"/>
        <item x="1571"/>
        <item x="983"/>
        <item x="1274"/>
        <item x="868"/>
        <item x="1312"/>
        <item x="542"/>
        <item x="333"/>
        <item x="1573"/>
        <item x="1462"/>
        <item x="447"/>
        <item x="929"/>
        <item x="861"/>
        <item x="984"/>
        <item x="1345"/>
        <item x="793"/>
        <item x="1289"/>
        <item x="1170"/>
        <item x="1169"/>
        <item x="336"/>
        <item x="543"/>
        <item x="1309"/>
        <item x="1346"/>
        <item x="68"/>
        <item x="794"/>
        <item x="1171"/>
        <item x="930"/>
        <item x="546"/>
        <item x="619"/>
        <item x="1564"/>
        <item x="801"/>
        <item x="1172"/>
        <item x="932"/>
        <item x="1642"/>
        <item x="862"/>
        <item x="544"/>
        <item x="931"/>
        <item x="603"/>
        <item x="448"/>
        <item x="795"/>
        <item x="1463"/>
        <item x="620"/>
        <item x="1347"/>
        <item x="1572"/>
        <item x="621"/>
        <item x="1290"/>
        <item x="88"/>
        <item x="1118"/>
        <item x="622"/>
        <item x="456"/>
        <item x="1115"/>
        <item x="724"/>
        <item x="69"/>
        <item x="1001"/>
        <item x="457"/>
        <item x="341"/>
        <item x="1565"/>
        <item x="796"/>
        <item x="1437"/>
        <item x="449"/>
        <item x="1639"/>
        <item x="753"/>
        <item x="863"/>
        <item x="458"/>
        <item x="1348"/>
        <item x="455"/>
        <item x="545"/>
        <item x="1275"/>
        <item x="342"/>
        <item x="604"/>
        <item x="334"/>
        <item x="1566"/>
        <item x="527"/>
        <item x="450"/>
        <item x="719"/>
        <item x="1291"/>
        <item x="1393"/>
        <item x="1480"/>
        <item x="343"/>
        <item x="398"/>
        <item x="395"/>
        <item x="864"/>
        <item x="725"/>
        <item x="1310"/>
        <item x="1492"/>
        <item x="1584"/>
        <item x="226"/>
        <item x="1116"/>
        <item x="534"/>
        <item x="531"/>
        <item x="802"/>
        <item x="523"/>
        <item x="555"/>
        <item x="1585"/>
        <item x="1369"/>
        <item x="605"/>
        <item x="1428"/>
        <item x="1002"/>
        <item x="533"/>
        <item x="70"/>
        <item x="344"/>
        <item x="1586"/>
        <item x="606"/>
        <item x="1640"/>
        <item x="723"/>
        <item x="1033"/>
        <item x="726"/>
        <item x="1587"/>
        <item x="1311"/>
        <item x="556"/>
        <item x="1292"/>
        <item x="1045"/>
        <item x="1481"/>
        <item x="1567"/>
        <item x="86"/>
        <item x="84"/>
        <item x="499"/>
        <item x="162"/>
        <item x="1207"/>
        <item x="1223"/>
        <item x="85"/>
        <item x="826"/>
        <item x="227"/>
        <item x="1370"/>
        <item x="1003"/>
        <item x="524"/>
        <item x="1034"/>
        <item x="1224"/>
        <item x="1651"/>
        <item x="335"/>
        <item x="1004"/>
        <item x="889"/>
        <item x="71"/>
        <item x="1685"/>
        <item x="1654"/>
        <item x="803"/>
        <item x="1504"/>
        <item x="1531"/>
        <item x="89"/>
        <item x="1225"/>
        <item x="87"/>
        <item x="1046"/>
        <item x="1226"/>
        <item x="825"/>
        <item x="41"/>
        <item x="1683"/>
        <item x="1117"/>
        <item x="1394"/>
        <item x="1560"/>
        <item x="500"/>
        <item x="1353"/>
        <item x="40"/>
        <item x="1561"/>
        <item x="396"/>
        <item x="557"/>
        <item x="1493"/>
        <item x="904"/>
        <item x="1684"/>
        <item x="901"/>
        <item x="1530"/>
        <item x="1429"/>
        <item x="675"/>
        <item x="1653"/>
        <item x="1081"/>
        <item x="1652"/>
        <item x="827"/>
        <item x="528"/>
        <item x="532"/>
        <item x="163"/>
        <item x="73"/>
        <item x="1083"/>
        <item x="228"/>
        <item x="804"/>
        <item x="654"/>
        <item x="903"/>
        <item x="1641"/>
        <item x="651"/>
        <item x="250"/>
        <item x="501"/>
        <item x="1528"/>
        <item x="525"/>
        <item x="74"/>
        <item x="1482"/>
        <item x="1682"/>
        <item x="1047"/>
        <item x="1529"/>
        <item x="1082"/>
        <item x="652"/>
        <item x="229"/>
        <item x="742"/>
        <item x="558"/>
        <item x="1562"/>
        <item x="43"/>
        <item x="1563"/>
        <item x="1084"/>
        <item x="42"/>
        <item x="1576"/>
        <item x="72"/>
        <item x="1427"/>
        <item x="743"/>
        <item x="1354"/>
        <item x="653"/>
        <item x="676"/>
        <item x="1371"/>
        <item x="1556"/>
        <item x="902"/>
        <item x="90"/>
        <item x="307"/>
        <item x="1276"/>
        <item x="529"/>
        <item x="1438"/>
        <item x="684"/>
        <item x="28"/>
        <item x="397"/>
        <item x="502"/>
        <item x="1424"/>
        <item x="1355"/>
        <item x="306"/>
        <item x="1505"/>
        <item x="1662"/>
        <item x="1425"/>
        <item x="828"/>
        <item x="744"/>
        <item x="164"/>
        <item x="1430"/>
        <item x="683"/>
        <item x="1048"/>
        <item x="526"/>
        <item x="1397"/>
        <item x="1009"/>
        <item x="1426"/>
        <item x="530"/>
        <item x="1557"/>
        <item x="1577"/>
        <item x="677"/>
        <item x="1483"/>
        <item x="1092"/>
        <item x="1524"/>
        <item x="1385"/>
        <item x="761"/>
        <item x="871"/>
        <item x="308"/>
        <item x="1208"/>
        <item x="686"/>
        <item x="797"/>
        <item x="745"/>
        <item x="869"/>
        <item x="720"/>
        <item x="154"/>
        <item x="29"/>
        <item x="251"/>
        <item x="685"/>
        <item x="708"/>
        <item x="108"/>
        <item x="155"/>
        <item x="678"/>
        <item x="262"/>
        <item x="383"/>
        <item x="274"/>
        <item x="1661"/>
        <item x="1659"/>
        <item x="870"/>
        <item x="1540"/>
        <item x="1660"/>
        <item x="798"/>
        <item x="709"/>
        <item x="1035"/>
        <item x="309"/>
        <item x="1010"/>
        <item x="872"/>
        <item x="1372"/>
        <item x="1301"/>
        <item x="1558"/>
        <item x="821"/>
        <item x="824"/>
        <item x="156"/>
        <item x="1356"/>
        <item x="1099"/>
        <item x="800"/>
        <item x="762"/>
        <item x="822"/>
        <item x="707"/>
        <item x="764"/>
        <item x="194"/>
        <item x="1541"/>
        <item x="357"/>
        <item x="1439"/>
        <item x="763"/>
        <item x="91"/>
        <item x="1494"/>
        <item x="1525"/>
        <item x="799"/>
        <item x="941"/>
        <item x="1542"/>
        <item x="1100"/>
        <item x="823"/>
        <item x="632"/>
        <item x="1400"/>
        <item x="587"/>
        <item x="384"/>
        <item x="710"/>
        <item x="157"/>
        <item x="752"/>
        <item x="1431"/>
        <item x="1097"/>
        <item x="275"/>
        <item x="310"/>
        <item x="1543"/>
        <item x="1349"/>
        <item x="1302"/>
        <item x="1506"/>
        <item x="944"/>
        <item x="1395"/>
        <item x="633"/>
        <item x="385"/>
        <item x="634"/>
        <item x="942"/>
        <item x="1578"/>
        <item x="1396"/>
        <item x="165"/>
        <item x="1102"/>
        <item x="276"/>
        <item x="1239"/>
        <item x="721"/>
        <item x="640"/>
        <item x="890"/>
        <item x="1526"/>
        <item x="195"/>
        <item x="579"/>
        <item x="96"/>
        <item x="1011"/>
        <item x="943"/>
        <item x="109"/>
        <item x="639"/>
        <item x="1398"/>
        <item x="1101"/>
        <item x="750"/>
        <item x="641"/>
        <item x="277"/>
        <item x="263"/>
        <item x="631"/>
        <item x="909"/>
        <item x="196"/>
        <item x="386"/>
        <item x="31"/>
        <item x="1559"/>
        <item x="30"/>
        <item x="1579"/>
        <item x="1527"/>
        <item x="1240"/>
        <item x="910"/>
        <item x="1012"/>
        <item x="1098"/>
        <item x="1241"/>
        <item x="1350"/>
        <item x="1453"/>
        <item x="1242"/>
        <item x="252"/>
        <item x="1036"/>
        <item x="1303"/>
        <item x="1422"/>
        <item x="484"/>
        <item x="1176"/>
        <item x="642"/>
        <item x="1304"/>
        <item x="1189"/>
        <item x="1452"/>
        <item x="1351"/>
        <item x="97"/>
        <item x="949"/>
        <item x="1411"/>
        <item x="1454"/>
        <item x="1188"/>
        <item x="36"/>
        <item x="75"/>
        <item x="1669"/>
        <item x="253"/>
        <item x="588"/>
        <item x="1352"/>
        <item x="197"/>
        <item x="751"/>
        <item x="580"/>
        <item x="1455"/>
        <item x="722"/>
        <item x="911"/>
        <item x="1666"/>
        <item x="1174"/>
        <item x="1444"/>
        <item x="483"/>
        <item x="1175"/>
        <item x="1173"/>
        <item x="1667"/>
        <item x="581"/>
        <item x="1025"/>
        <item x="313"/>
        <item x="1190"/>
        <item x="1668"/>
        <item x="912"/>
        <item x="1507"/>
        <item x="809"/>
        <item x="1410"/>
        <item x="582"/>
        <item x="1495"/>
        <item x="99"/>
        <item x="1337"/>
        <item x="630"/>
        <item x="589"/>
        <item x="98"/>
        <item x="1445"/>
        <item x="1399"/>
        <item x="833"/>
        <item x="24"/>
        <item x="365"/>
        <item x="358"/>
        <item x="1028"/>
        <item x="1638"/>
        <item x="704"/>
        <item x="703"/>
        <item x="110"/>
        <item x="1209"/>
        <item x="1447"/>
        <item x="311"/>
        <item x="294"/>
        <item x="921"/>
        <item x="1029"/>
        <item x="1143"/>
        <item x="1421"/>
        <item x="25"/>
        <item x="1321"/>
        <item x="1409"/>
        <item x="811"/>
        <item x="372"/>
        <item x="1026"/>
        <item x="1420"/>
        <item x="1338"/>
        <item x="810"/>
        <item x="1030"/>
        <item x="1285"/>
        <item x="371"/>
        <item x="1592"/>
        <item x="1446"/>
        <item x="366"/>
        <item x="1361"/>
        <item x="705"/>
        <item x="1142"/>
        <item x="136"/>
        <item x="1031"/>
        <item x="699"/>
        <item x="1235"/>
        <item x="269"/>
        <item x="37"/>
        <item x="845"/>
        <item x="891"/>
        <item x="1111"/>
        <item x="1324"/>
        <item x="486"/>
        <item x="146"/>
        <item x="1027"/>
        <item x="1032"/>
        <item x="264"/>
        <item x="611"/>
        <item x="706"/>
        <item x="1678"/>
        <item x="337"/>
        <item x="373"/>
        <item x="1322"/>
        <item x="312"/>
        <item x="485"/>
        <item x="1593"/>
        <item x="295"/>
        <item x="1631"/>
        <item x="1362"/>
        <item x="1686"/>
        <item x="629"/>
        <item x="590"/>
        <item x="145"/>
        <item x="950"/>
        <item x="1089"/>
        <item x="1077"/>
        <item x="137"/>
        <item x="1672"/>
        <item x="1679"/>
        <item x="847"/>
        <item x="711"/>
        <item x="834"/>
        <item x="76"/>
        <item x="147"/>
        <item x="1468"/>
        <item x="846"/>
        <item x="1680"/>
        <item x="1671"/>
        <item x="1144"/>
        <item x="812"/>
        <item x="1286"/>
        <item x="892"/>
        <item x="1079"/>
        <item x="268"/>
        <item x="644"/>
        <item x="1688"/>
        <item x="567"/>
        <item x="111"/>
        <item x="645"/>
        <item x="1687"/>
        <item x="26"/>
        <item x="265"/>
        <item x="612"/>
        <item x="1078"/>
        <item x="144"/>
        <item x="848"/>
        <item x="1210"/>
        <item x="1386"/>
        <item x="1363"/>
        <item x="628"/>
        <item x="1423"/>
        <item x="1689"/>
        <item x="374"/>
        <item x="296"/>
        <item x="1323"/>
        <item x="627"/>
        <item x="1673"/>
        <item x="338"/>
        <item x="1670"/>
        <item x="1080"/>
        <item x="1594"/>
        <item x="1632"/>
        <item x="1145"/>
        <item x="643"/>
        <item x="770"/>
        <item x="1095"/>
        <item x="837"/>
        <item x="777"/>
        <item x="922"/>
        <item x="613"/>
        <item x="1325"/>
        <item x="771"/>
        <item x="1287"/>
        <item x="769"/>
        <item x="1096"/>
        <item x="836"/>
        <item x="271"/>
        <item x="297"/>
        <item x="835"/>
        <item x="1635"/>
        <item x="77"/>
        <item x="1469"/>
        <item x="778"/>
        <item x="1328"/>
        <item x="339"/>
        <item x="1288"/>
        <item x="614"/>
        <item x="340"/>
        <item x="951"/>
        <item x="1184"/>
        <item x="1364"/>
        <item x="273"/>
        <item x="1633"/>
        <item x="1091"/>
        <item x="38"/>
        <item x="1090"/>
        <item x="712"/>
        <item x="272"/>
        <item x="138"/>
        <item x="700"/>
        <item x="1436"/>
        <item x="779"/>
        <item x="78"/>
        <item x="359"/>
        <item x="1191"/>
        <item x="780"/>
        <item x="1637"/>
        <item x="267"/>
        <item x="1626"/>
        <item x="1112"/>
        <item x="1146"/>
        <item x="270"/>
        <item x="303"/>
        <item x="1326"/>
        <item x="1072"/>
        <item x="302"/>
        <item x="439"/>
        <item x="1634"/>
        <item x="1624"/>
        <item x="1137"/>
        <item x="139"/>
        <item x="646"/>
        <item x="738"/>
        <item x="838"/>
        <item x="79"/>
        <item x="1147"/>
        <item x="1625"/>
        <item x="1342"/>
        <item x="1636"/>
        <item x="304"/>
        <item x="1623"/>
        <item x="917"/>
        <item x="1219"/>
        <item x="1343"/>
        <item x="996"/>
        <item x="1123"/>
        <item x="1470"/>
        <item x="1148"/>
        <item x="713"/>
        <item x="1339"/>
        <item x="305"/>
        <item x="568"/>
        <item x="44"/>
        <item x="1021"/>
        <item x="607"/>
        <item x="918"/>
        <item x="1220"/>
        <item x="45"/>
        <item x="27"/>
        <item x="150"/>
        <item x="1300"/>
        <item x="952"/>
        <item x="1341"/>
        <item x="739"/>
        <item x="1327"/>
        <item x="1149"/>
        <item x="1263"/>
        <item x="467"/>
        <item x="1595"/>
        <item x="913"/>
        <item x="153"/>
        <item x="1221"/>
        <item x="1627"/>
        <item x="563"/>
        <item x="741"/>
        <item x="463"/>
        <item x="1681"/>
        <item x="919"/>
        <item x="995"/>
        <item x="1387"/>
        <item x="714"/>
        <item x="1259"/>
        <item x="46"/>
        <item x="608"/>
        <item x="564"/>
        <item x="47"/>
        <item x="266"/>
        <item x="464"/>
        <item x="1136"/>
        <item x="151"/>
        <item x="701"/>
        <item x="839"/>
        <item x="1125"/>
        <item x="615"/>
        <item x="1161"/>
        <item x="840"/>
        <item x="4"/>
        <item x="1471"/>
        <item x="740"/>
        <item x="427"/>
        <item x="440"/>
        <item x="535"/>
        <item x="465"/>
        <item x="468"/>
        <item x="1124"/>
        <item x="1299"/>
        <item x="1126"/>
        <item x="962"/>
        <item x="1135"/>
        <item x="152"/>
        <item x="1134"/>
        <item x="1297"/>
        <item x="961"/>
        <item x="127"/>
        <item x="441"/>
        <item x="321"/>
        <item x="1264"/>
        <item x="609"/>
        <item x="1277"/>
        <item x="993"/>
        <item x="39"/>
        <item x="466"/>
        <item x="1238"/>
        <item x="320"/>
        <item x="994"/>
        <item x="5"/>
        <item x="258"/>
        <item x="442"/>
        <item x="616"/>
        <item x="246"/>
        <item x="1388"/>
        <item x="1340"/>
        <item x="565"/>
        <item x="318"/>
        <item x="1279"/>
        <item x="610"/>
        <item x="1649"/>
        <item x="566"/>
        <item x="1298"/>
        <item x="733"/>
        <item x="1278"/>
        <item x="781"/>
        <item x="1162"/>
        <item x="360"/>
        <item x="569"/>
        <item x="923"/>
        <item x="989"/>
        <item x="469"/>
        <item x="963"/>
        <item x="1332"/>
        <item x="1113"/>
        <item x="1280"/>
        <item x="1185"/>
        <item x="462"/>
        <item x="148"/>
        <item x="1613"/>
        <item x="1408"/>
        <item x="702"/>
        <item x="206"/>
        <item x="470"/>
        <item x="1293"/>
        <item x="817"/>
        <item x="461"/>
        <item x="1236"/>
        <item x="990"/>
        <item x="1331"/>
        <item x="1237"/>
        <item x="1630"/>
        <item x="818"/>
        <item x="991"/>
        <item x="219"/>
        <item x="424"/>
        <item x="782"/>
        <item x="617"/>
        <item x="459"/>
        <item x="1060"/>
        <item x="319"/>
        <item x="247"/>
        <item x="924"/>
        <item x="1163"/>
        <item x="1647"/>
        <item x="218"/>
        <item x="1628"/>
        <item x="1248"/>
        <item x="1109"/>
        <item x="536"/>
        <item x="379"/>
        <item x="1022"/>
        <item x="992"/>
        <item x="1615"/>
        <item x="220"/>
        <item x="423"/>
        <item x="328"/>
        <item x="784"/>
        <item x="451"/>
        <item x="1629"/>
        <item x="1296"/>
        <item x="618"/>
        <item x="783"/>
        <item x="425"/>
        <item x="222"/>
        <item x="1294"/>
        <item x="325"/>
        <item x="772"/>
        <item x="221"/>
        <item x="1612"/>
        <item x="426"/>
        <item x="92"/>
        <item x="67"/>
        <item x="819"/>
        <item x="1648"/>
        <item x="1266"/>
        <item x="820"/>
        <item x="1295"/>
        <item x="1614"/>
        <item x="1222"/>
        <item x="1250"/>
        <item x="259"/>
        <item x="1281"/>
        <item x="1329"/>
        <item x="1093"/>
        <item x="1110"/>
        <item x="537"/>
        <item x="1265"/>
        <item x="1330"/>
        <item x="460"/>
        <item x="1157"/>
        <item x="914"/>
        <item x="1023"/>
        <item x="953"/>
        <item x="1344"/>
        <item x="663"/>
        <item x="452"/>
        <item x="1249"/>
        <item x="131"/>
        <item x="583"/>
        <item x="538"/>
        <item x="1282"/>
        <item x="356"/>
        <item x="1164"/>
        <item x="213"/>
        <item x="1262"/>
        <item x="224"/>
        <item x="428"/>
        <item x="353"/>
        <item x="198"/>
        <item x="1024"/>
        <item x="1283"/>
        <item x="355"/>
        <item x="511"/>
        <item x="326"/>
        <item x="322"/>
        <item x="286"/>
        <item x="475"/>
        <item x="1260"/>
        <item x="964"/>
        <item x="1261"/>
        <item x="487"/>
        <item x="354"/>
        <item x="1284"/>
        <item x="223"/>
        <item x="973"/>
        <item x="1108"/>
        <item x="1313"/>
        <item x="1186"/>
        <item x="199"/>
        <item x="211"/>
        <item x="1380"/>
        <item x="212"/>
        <item x="489"/>
        <item x="1378"/>
        <item x="453"/>
        <item x="920"/>
        <item x="130"/>
        <item x="1379"/>
        <item x="210"/>
        <item x="765"/>
        <item x="522"/>
        <item x="570"/>
        <item x="488"/>
        <item x="1314"/>
        <item x="1114"/>
        <item x="380"/>
        <item x="1059"/>
        <item x="773"/>
        <item x="691"/>
        <item x="490"/>
        <item x="415"/>
        <item x="1405"/>
        <item x="64"/>
        <item x="248"/>
        <item x="1058"/>
        <item x="225"/>
        <item x="93"/>
        <item x="1085"/>
        <item x="287"/>
        <item x="665"/>
        <item x="1315"/>
        <item x="166"/>
        <item x="1187"/>
        <item x="327"/>
        <item x="260"/>
        <item x="767"/>
        <item x="1203"/>
        <item x="1650"/>
        <item x="766"/>
        <item x="512"/>
        <item x="416"/>
        <item x="1316"/>
        <item x="666"/>
        <item x="179"/>
        <item x="1094"/>
        <item x="692"/>
        <item x="974"/>
        <item x="915"/>
        <item x="167"/>
        <item x="768"/>
        <item x="135"/>
        <item x="513"/>
        <item x="954"/>
        <item x="1333"/>
        <item x="774"/>
        <item x="417"/>
        <item x="1373"/>
        <item x="514"/>
        <item x="94"/>
        <item x="975"/>
        <item x="1406"/>
        <item x="655"/>
        <item x="207"/>
        <item x="664"/>
        <item x="1305"/>
        <item x="7"/>
        <item x="288"/>
        <item x="1192"/>
        <item x="205"/>
        <item x="6"/>
        <item x="1133"/>
        <item x="134"/>
        <item x="1620"/>
        <item x="1407"/>
        <item x="1107"/>
        <item x="693"/>
        <item x="181"/>
        <item x="694"/>
        <item x="1057"/>
        <item x="188"/>
        <item x="418"/>
        <item x="956"/>
        <item x="1643"/>
        <item x="132"/>
        <item x="507"/>
        <item x="1154"/>
        <item x="1334"/>
        <item x="168"/>
        <item x="1306"/>
        <item x="1376"/>
        <item x="104"/>
        <item x="381"/>
        <item x="200"/>
        <item x="551"/>
        <item x="66"/>
        <item x="189"/>
        <item x="1513"/>
        <item x="775"/>
        <item x="65"/>
        <item x="479"/>
        <item x="1194"/>
        <item x="133"/>
        <item x="905"/>
        <item x="928"/>
        <item x="1204"/>
        <item x="1132"/>
        <item x="1512"/>
        <item x="1514"/>
        <item x="187"/>
        <item x="1374"/>
        <item x="776"/>
        <item x="169"/>
        <item x="955"/>
        <item x="180"/>
        <item x="1515"/>
        <item x="186"/>
        <item x="208"/>
        <item x="906"/>
        <item x="976"/>
        <item x="509"/>
        <item x="1401"/>
        <item x="429"/>
        <item x="95"/>
        <item x="1071"/>
        <item x="249"/>
        <item x="323"/>
        <item x="1544"/>
        <item x="1193"/>
        <item x="1389"/>
        <item x="182"/>
        <item x="1644"/>
        <item x="916"/>
        <item x="881"/>
        <item x="844"/>
        <item x="508"/>
        <item x="927"/>
        <item x="1646"/>
        <item x="1375"/>
        <item x="1307"/>
        <item x="370"/>
        <item x="1621"/>
        <item x="1335"/>
        <item x="1384"/>
        <item x="1391"/>
        <item x="656"/>
        <item x="1267"/>
        <item x="261"/>
        <item x="105"/>
        <item x="1377"/>
        <item x="1130"/>
        <item x="510"/>
        <item x="1070"/>
        <item x="1390"/>
        <item x="1336"/>
        <item x="282"/>
        <item x="1218"/>
        <item x="1432"/>
        <item x="552"/>
        <item x="1392"/>
        <item x="1545"/>
        <item x="926"/>
        <item x="209"/>
        <item x="907"/>
        <item x="183"/>
        <item x="554"/>
        <item x="506"/>
        <item x="1131"/>
        <item x="233"/>
        <item x="519"/>
        <item x="402"/>
        <item x="1645"/>
        <item x="476"/>
        <item x="1536"/>
        <item x="369"/>
        <item x="1402"/>
        <item x="985"/>
        <item x="841"/>
        <item x="231"/>
        <item x="491"/>
        <item x="503"/>
        <item x="1155"/>
        <item x="184"/>
        <item x="732"/>
        <item x="1037"/>
        <item x="1268"/>
        <item x="232"/>
        <item x="1308"/>
        <item x="1205"/>
        <item x="1069"/>
        <item x="1433"/>
        <item x="367"/>
        <item x="498"/>
        <item x="185"/>
        <item x="1489"/>
        <item x="843"/>
        <item x="1247"/>
        <item x="853"/>
        <item x="908"/>
        <item x="430"/>
        <item x="1156"/>
        <item x="482"/>
        <item x="107"/>
        <item x="1485"/>
        <item x="1434"/>
        <item x="1488"/>
        <item x="1435"/>
        <item x="731"/>
        <item x="1038"/>
        <item x="1269"/>
        <item x="1546"/>
        <item x="106"/>
        <item x="278"/>
        <item x="495"/>
        <item x="1547"/>
        <item x="1206"/>
        <item x="1088"/>
        <item x="382"/>
        <item x="401"/>
        <item x="584"/>
        <item x="1168"/>
        <item x="201"/>
        <item x="1551"/>
        <item x="553"/>
        <item x="1456"/>
        <item x="854"/>
        <item x="497"/>
        <item x="882"/>
        <item x="504"/>
        <item x="368"/>
        <item x="126"/>
        <item x="842"/>
        <item x="1537"/>
        <item x="1217"/>
        <item x="1403"/>
        <item x="283"/>
        <item x="281"/>
        <item x="986"/>
        <item x="477"/>
        <item x="1484"/>
        <item x="399"/>
        <item x="1040"/>
        <item x="1600"/>
        <item x="496"/>
        <item x="1039"/>
        <item x="1610"/>
        <item x="1591"/>
        <item x="1487"/>
        <item x="671"/>
        <item x="1215"/>
        <item x="1486"/>
        <item x="880"/>
        <item x="1675"/>
        <item x="1457"/>
        <item x="1677"/>
        <item x="925"/>
        <item x="400"/>
        <item x="481"/>
        <item x="1216"/>
        <item x="149"/>
        <item x="492"/>
        <item x="1550"/>
        <item x="1676"/>
        <item x="831"/>
        <item x="505"/>
        <item x="1491"/>
        <item x="230"/>
        <item x="284"/>
        <item x="285"/>
        <item x="1056"/>
        <item x="855"/>
        <item x="860"/>
        <item x="494"/>
        <item x="832"/>
        <item x="1611"/>
        <item x="1404"/>
        <item x="1674"/>
        <item x="1382"/>
        <item x="1383"/>
        <item x="478"/>
        <item x="1549"/>
        <item x="1548"/>
        <item x="987"/>
        <item x="1490"/>
        <item x="1538"/>
        <item x="178"/>
        <item x="1608"/>
        <item x="1609"/>
        <item x="877"/>
        <item x="672"/>
        <item x="829"/>
        <item x="1622"/>
        <item x="1601"/>
        <item x="857"/>
        <item x="1103"/>
        <item x="1243"/>
        <item x="883"/>
        <item x="493"/>
        <item x="1381"/>
        <item x="879"/>
        <item x="856"/>
        <item x="830"/>
        <item x="988"/>
        <item x="520"/>
        <item x="518"/>
        <item x="1590"/>
        <item x="859"/>
        <item x="128"/>
        <item x="1246"/>
        <item x="1129"/>
        <item x="1245"/>
        <item x="125"/>
        <item x="1244"/>
        <item x="858"/>
        <item x="49"/>
        <item x="1053"/>
        <item x="1317"/>
        <item x="600"/>
        <item x="48"/>
        <item x="1055"/>
        <item x="602"/>
        <item x="601"/>
        <item x="443"/>
        <item x="1539"/>
        <item x="1589"/>
        <item x="1159"/>
        <item x="1104"/>
        <item x="884"/>
        <item x="690"/>
        <item x="445"/>
        <item x="599"/>
        <item x="674"/>
        <item x="1158"/>
        <item x="673"/>
        <item x="1588"/>
        <item x="1602"/>
        <item x="1160"/>
        <item x="254"/>
        <item x="454"/>
        <item x="444"/>
        <item x="1180"/>
        <item x="679"/>
        <item x="256"/>
        <item x="1603"/>
        <item x="204"/>
        <item x="682"/>
        <item x="1054"/>
        <item x="594"/>
        <item x="216"/>
        <item x="255"/>
        <item x="698"/>
        <item x="419"/>
        <item x="301"/>
        <item x="680"/>
        <item x="1087"/>
        <item x="878"/>
        <item x="517"/>
        <item x="1234"/>
        <item x="1233"/>
        <item x="547"/>
        <item x="1086"/>
        <item x="50"/>
        <item x="215"/>
        <item x="257"/>
        <item x="124"/>
        <item x="681"/>
        <item x="1141"/>
        <item x="689"/>
        <item x="1318"/>
        <item x="51"/>
        <item x="1357"/>
        <item x="217"/>
        <item x="662"/>
        <item x="1177"/>
        <item x="1231"/>
        <item x="446"/>
        <item x="1182"/>
        <item x="1232"/>
        <item x="1458"/>
        <item x="1459"/>
        <item x="1105"/>
        <item x="1211"/>
        <item x="298"/>
        <item x="1358"/>
        <item x="1181"/>
        <item x="1127"/>
        <item x="300"/>
        <item x="314"/>
        <item x="299"/>
        <item x="1106"/>
        <item x="1360"/>
        <item x="420"/>
        <item x="317"/>
        <item x="116"/>
        <item x="214"/>
        <item x="661"/>
        <item x="1183"/>
        <item x="957"/>
        <item x="516"/>
        <item x="659"/>
        <item x="378"/>
        <item x="660"/>
        <item x="471"/>
        <item x="585"/>
        <item x="242"/>
        <item x="591"/>
        <item x="377"/>
        <item x="521"/>
        <item x="1665"/>
        <item x="376"/>
        <item x="625"/>
        <item x="688"/>
        <item x="1212"/>
        <item x="876"/>
        <item x="431"/>
        <item x="432"/>
        <item x="375"/>
        <item x="737"/>
        <item x="12"/>
        <item x="1359"/>
        <item x="129"/>
        <item x="1178"/>
        <item x="875"/>
        <item x="958"/>
        <item x="736"/>
        <item x="1179"/>
        <item x="100"/>
        <item x="1604"/>
        <item x="13"/>
        <item x="421"/>
        <item x="245"/>
        <item x="899"/>
        <item x="898"/>
        <item x="626"/>
        <item x="20"/>
        <item x="1139"/>
        <item x="279"/>
        <item x="117"/>
        <item x="316"/>
        <item x="433"/>
        <item x="1319"/>
        <item x="244"/>
        <item x="900"/>
        <item x="315"/>
        <item x="243"/>
        <item x="897"/>
        <item x="1167"/>
        <item x="1213"/>
        <item x="1138"/>
        <item x="687"/>
        <item x="873"/>
        <item x="935"/>
        <item x="21"/>
        <item x="874"/>
        <item x="959"/>
        <item x="1605"/>
        <item x="1519"/>
        <item x="936"/>
        <item x="14"/>
        <item x="1664"/>
        <item x="101"/>
        <item x="1165"/>
        <item x="1166"/>
        <item x="22"/>
        <item x="422"/>
        <item x="23"/>
        <item x="1663"/>
        <item x="960"/>
        <item x="434"/>
        <item x="480"/>
        <item x="735"/>
        <item x="1607"/>
        <item x="1214"/>
        <item x="550"/>
        <item x="118"/>
        <item x="55"/>
        <item x="1606"/>
        <item x="592"/>
        <item x="1368"/>
        <item x="1140"/>
        <item x="1320"/>
        <item x="593"/>
        <item x="1128"/>
        <item x="624"/>
        <item x="119"/>
        <item x="102"/>
        <item x="1518"/>
        <item x="813"/>
        <item x="1516"/>
        <item x="548"/>
        <item x="734"/>
        <item x="202"/>
        <item x="816"/>
        <item x="1367"/>
        <item x="143"/>
        <item x="549"/>
        <item x="933"/>
        <item x="54"/>
        <item x="472"/>
        <item x="324"/>
        <item x="15"/>
        <item x="103"/>
        <item x="141"/>
        <item x="934"/>
        <item x="1366"/>
        <item x="280"/>
        <item x="474"/>
        <item x="814"/>
        <item x="1273"/>
        <item x="815"/>
        <item x="697"/>
        <item x="140"/>
        <item x="329"/>
        <item x="331"/>
        <item x="142"/>
        <item x="473"/>
        <item x="53"/>
        <item x="1517"/>
        <item x="330"/>
        <item x="1365"/>
        <item x="1050"/>
        <item x="1051"/>
        <item x="203"/>
        <item x="410"/>
        <item x="1049"/>
        <item x="515"/>
        <item x="0"/>
        <item x="1270"/>
        <item x="559"/>
        <item x="657"/>
        <item x="332"/>
        <item x="409"/>
        <item x="1272"/>
        <item x="1119"/>
        <item x="52"/>
        <item x="1000"/>
        <item x="1052"/>
        <item x="1448"/>
        <item x="1464"/>
        <item x="1271"/>
        <item x="414"/>
        <item x="1"/>
        <item x="1466"/>
        <item x="972"/>
        <item x="1465"/>
        <item x="623"/>
        <item x="1449"/>
        <item x="560"/>
        <item x="999"/>
        <item x="997"/>
        <item x="1467"/>
        <item x="586"/>
        <item x="969"/>
        <item x="1120"/>
        <item x="970"/>
        <item x="971"/>
        <item x="998"/>
        <item x="408"/>
        <item x="1479"/>
        <item x="413"/>
        <item x="407"/>
        <item x="289"/>
        <item x="1450"/>
        <item x="290"/>
        <item x="695"/>
        <item x="561"/>
        <item x="1016"/>
        <item x="1476"/>
        <item x="1044"/>
        <item x="1043"/>
        <item x="1121"/>
        <item x="648"/>
        <item x="1041"/>
        <item x="647"/>
        <item x="1451"/>
        <item x="650"/>
        <item x="562"/>
        <item x="649"/>
        <item x="1042"/>
        <item x="1122"/>
        <item x="291"/>
        <item x="658"/>
        <item x="968"/>
        <item x="696"/>
        <item x="715"/>
        <item x="80"/>
        <item x="158"/>
        <item x="716"/>
        <item x="1015"/>
        <item x="1472"/>
        <item x="161"/>
        <item x="81"/>
        <item x="159"/>
        <item x="292"/>
        <item x="1013"/>
        <item x="82"/>
        <item x="1014"/>
        <item x="83"/>
        <item x="160"/>
        <item x="412"/>
        <item x="1475"/>
        <item x="717"/>
        <item x="1496"/>
        <item x="1473"/>
        <item x="1477"/>
        <item x="403"/>
        <item x="411"/>
        <item x="1499"/>
        <item x="293"/>
        <item x="1497"/>
        <item x="241"/>
        <item x="748"/>
        <item x="1498"/>
        <item x="746"/>
        <item x="749"/>
        <item x="1068"/>
        <item x="193"/>
        <item x="406"/>
        <item x="718"/>
        <item x="938"/>
        <item x="747"/>
        <item x="192"/>
        <item x="404"/>
        <item x="939"/>
        <item x="191"/>
        <item x="1478"/>
        <item x="405"/>
        <item x="3"/>
        <item x="785"/>
        <item x="1474"/>
        <item x="1252"/>
        <item x="1067"/>
        <item x="2"/>
        <item x="1066"/>
        <item x="966"/>
        <item x="595"/>
        <item x="888"/>
        <item x="1412"/>
        <item x="435"/>
        <item x="965"/>
        <item x="937"/>
        <item x="190"/>
        <item x="596"/>
        <item x="967"/>
        <item x="887"/>
        <item x="1413"/>
        <item x="886"/>
        <item x="240"/>
        <item x="362"/>
        <item x="940"/>
        <item x="1065"/>
        <item x="597"/>
        <item x="885"/>
        <item x="760"/>
        <item x="786"/>
        <item x="361"/>
        <item x="1414"/>
        <item x="436"/>
        <item x="1202"/>
        <item x="363"/>
        <item x="364"/>
        <item x="1201"/>
        <item x="756"/>
        <item x="598"/>
        <item x="1415"/>
        <item x="945"/>
        <item x="759"/>
        <item x="1200"/>
        <item x="755"/>
        <item x="437"/>
        <item x="805"/>
        <item x="946"/>
        <item x="1253"/>
        <item x="1520"/>
        <item x="787"/>
        <item x="788"/>
        <item x="1199"/>
        <item x="754"/>
        <item x="239"/>
        <item x="807"/>
        <item x="1521"/>
        <item x="438"/>
        <item x="238"/>
        <item x="806"/>
        <item x="1534"/>
        <item x="947"/>
        <item x="1532"/>
        <item x="758"/>
        <item x="1254"/>
        <item x="1535"/>
        <item x="1533"/>
        <item x="1522"/>
        <item x="59"/>
        <item x="1523"/>
        <item x="948"/>
        <item x="808"/>
        <item x="120"/>
        <item x="1198"/>
        <item x="1197"/>
        <item x="58"/>
        <item x="1195"/>
        <item x="1196"/>
        <item x="35"/>
        <item x="1017"/>
        <item x="1018"/>
        <item x="57"/>
        <item x="1020"/>
        <item x="121"/>
        <item x="56"/>
        <item x="1441"/>
        <item x="1064"/>
        <item x="1442"/>
        <item x="1440"/>
        <item x="1019"/>
        <item x="1443"/>
        <item x="122"/>
        <item x="1229"/>
        <item x="112"/>
        <item x="727"/>
        <item x="1230"/>
        <item x="1073"/>
        <item x="728"/>
        <item x="123"/>
        <item x="1227"/>
        <item x="1228"/>
        <item x="34"/>
        <item x="792"/>
        <item x="1061"/>
        <item x="729"/>
        <item x="1251"/>
        <item x="1076"/>
        <item x="170"/>
        <item x="1074"/>
        <item x="1555"/>
        <item x="16"/>
        <item x="1597"/>
        <item x="1598"/>
        <item x="730"/>
        <item x="113"/>
        <item x="852"/>
        <item x="33"/>
        <item x="1599"/>
        <item x="32"/>
        <item x="171"/>
        <item x="235"/>
        <item x="1596"/>
        <item x="851"/>
        <item x="791"/>
        <item x="177"/>
        <item x="1075"/>
        <item x="849"/>
        <item x="173"/>
        <item x="176"/>
        <item x="172"/>
        <item x="893"/>
        <item x="850"/>
        <item x="1063"/>
        <item x="790"/>
        <item x="894"/>
        <item x="1258"/>
        <item x="174"/>
        <item x="1062"/>
        <item x="234"/>
        <item x="175"/>
        <item x="236"/>
        <item x="789"/>
        <item x="345"/>
        <item x="114"/>
        <item x="895"/>
        <item x="896"/>
        <item x="757"/>
        <item x="346"/>
        <item x="1580"/>
        <item x="347"/>
        <item x="348"/>
        <item x="17"/>
        <item x="1581"/>
        <item x="237"/>
        <item x="1005"/>
        <item x="1508"/>
        <item x="387"/>
        <item x="1582"/>
        <item x="1416"/>
        <item x="1417"/>
        <item x="394"/>
        <item x="1509"/>
        <item x="1554"/>
        <item x="1583"/>
        <item x="1418"/>
        <item x="18"/>
        <item x="115"/>
        <item x="1006"/>
        <item x="1553"/>
        <item x="1552"/>
        <item x="388"/>
        <item x="576"/>
        <item x="1419"/>
        <item x="19"/>
        <item x="575"/>
        <item x="577"/>
        <item x="578"/>
        <item x="669"/>
        <item x="389"/>
        <item x="667"/>
        <item x="668"/>
        <item x="1510"/>
        <item x="1257"/>
        <item x="670"/>
        <item x="8"/>
        <item x="1256"/>
        <item x="390"/>
        <item x="1007"/>
        <item x="1255"/>
        <item x="9"/>
        <item x="1511"/>
        <item x="1008"/>
        <item x="393"/>
        <item x="11"/>
        <item x="392"/>
        <item x="391"/>
        <item x="10"/>
        <item x="1658"/>
        <item x="1657"/>
        <item x="1656"/>
        <item x="1655"/>
        <item x="1616"/>
        <item x="1617"/>
        <item x="1619"/>
        <item x="1618"/>
        <item t="default"/>
      </items>
    </pivotField>
    <pivotField dataField="1" showAll="0"/>
    <pivotField dataField="1" showAll="0">
      <items count="1588">
        <item x="52"/>
        <item x="328"/>
        <item x="329"/>
        <item x="330"/>
        <item x="1138"/>
        <item x="1139"/>
        <item x="1140"/>
        <item x="928"/>
        <item x="1141"/>
        <item x="510"/>
        <item x="331"/>
        <item x="511"/>
        <item x="929"/>
        <item x="930"/>
        <item x="931"/>
        <item x="605"/>
        <item x="606"/>
        <item x="608"/>
        <item x="607"/>
        <item x="1408"/>
        <item x="1086"/>
        <item x="513"/>
        <item x="512"/>
        <item x="925"/>
        <item x="273"/>
        <item x="924"/>
        <item x="498"/>
        <item x="1089"/>
        <item x="500"/>
        <item x="1088"/>
        <item x="58"/>
        <item x="60"/>
        <item x="927"/>
        <item x="1409"/>
        <item x="59"/>
        <item x="1087"/>
        <item x="926"/>
        <item x="1407"/>
        <item x="541"/>
        <item x="57"/>
        <item x="274"/>
        <item x="499"/>
        <item x="542"/>
        <item x="501"/>
        <item x="1121"/>
        <item x="420"/>
        <item x="421"/>
        <item x="543"/>
        <item x="1410"/>
        <item x="1543"/>
        <item x="621"/>
        <item x="624"/>
        <item x="622"/>
        <item x="544"/>
        <item x="276"/>
        <item x="623"/>
        <item x="275"/>
        <item x="422"/>
        <item x="217"/>
        <item x="220"/>
        <item x="1120"/>
        <item x="890"/>
        <item x="891"/>
        <item x="892"/>
        <item x="219"/>
        <item x="893"/>
        <item x="36"/>
        <item x="37"/>
        <item x="315"/>
        <item x="711"/>
        <item x="1496"/>
        <item x="218"/>
        <item x="1269"/>
        <item x="1495"/>
        <item x="1497"/>
        <item x="1270"/>
        <item x="821"/>
        <item x="822"/>
        <item x="712"/>
        <item x="819"/>
        <item x="710"/>
        <item x="820"/>
        <item x="314"/>
        <item x="1479"/>
        <item x="1271"/>
        <item x="369"/>
        <item x="980"/>
        <item x="713"/>
        <item x="1482"/>
        <item x="1272"/>
        <item x="423"/>
        <item x="981"/>
        <item x="1481"/>
        <item x="1480"/>
        <item x="313"/>
        <item x="254"/>
        <item x="878"/>
        <item x="1133"/>
        <item x="66"/>
        <item x="683"/>
        <item x="879"/>
        <item x="1312"/>
        <item x="1132"/>
        <item x="1498"/>
        <item x="982"/>
        <item x="1237"/>
        <item x="1166"/>
        <item x="1464"/>
        <item x="370"/>
        <item x="880"/>
        <item x="312"/>
        <item x="881"/>
        <item x="1167"/>
        <item x="815"/>
        <item x="593"/>
        <item x="1168"/>
        <item x="1465"/>
        <item x="1169"/>
        <item x="1463"/>
        <item x="1131"/>
        <item x="1313"/>
        <item x="1466"/>
        <item x="1472"/>
        <item x="1545"/>
        <item x="1200"/>
        <item x="594"/>
        <item x="1471"/>
        <item x="344"/>
        <item x="1542"/>
        <item x="1130"/>
        <item x="1473"/>
        <item x="596"/>
        <item x="1314"/>
        <item x="1236"/>
        <item x="343"/>
        <item x="816"/>
        <item x="1315"/>
        <item x="1474"/>
        <item x="661"/>
        <item x="502"/>
        <item x="253"/>
        <item x="39"/>
        <item x="289"/>
        <item x="371"/>
        <item x="255"/>
        <item x="1246"/>
        <item x="817"/>
        <item x="685"/>
        <item x="237"/>
        <item x="238"/>
        <item x="1247"/>
        <item x="1467"/>
        <item x="146"/>
        <item x="818"/>
        <item x="1544"/>
        <item x="1469"/>
        <item x="662"/>
        <item x="1468"/>
        <item x="1248"/>
        <item x="372"/>
        <item x="1038"/>
        <item x="983"/>
        <item x="147"/>
        <item x="148"/>
        <item x="1303"/>
        <item x="503"/>
        <item x="684"/>
        <item x="149"/>
        <item x="38"/>
        <item x="1389"/>
        <item x="1234"/>
        <item x="1532"/>
        <item x="504"/>
        <item x="291"/>
        <item x="297"/>
        <item x="611"/>
        <item x="1342"/>
        <item x="612"/>
        <item x="239"/>
        <item x="686"/>
        <item x="948"/>
        <item x="298"/>
        <item x="949"/>
        <item x="610"/>
        <item x="505"/>
        <item x="290"/>
        <item x="1460"/>
        <item x="950"/>
        <item x="292"/>
        <item x="1343"/>
        <item x="609"/>
        <item x="299"/>
        <item x="1030"/>
        <item x="1461"/>
        <item x="589"/>
        <item x="660"/>
        <item x="474"/>
        <item x="951"/>
        <item x="1477"/>
        <item x="1459"/>
        <item x="65"/>
        <item x="475"/>
        <item x="1201"/>
        <item x="240"/>
        <item x="1053"/>
        <item x="1390"/>
        <item x="1470"/>
        <item x="1462"/>
        <item x="592"/>
        <item x="256"/>
        <item x="1530"/>
        <item x="1344"/>
        <item x="476"/>
        <item x="590"/>
        <item x="866"/>
        <item x="1553"/>
        <item x="591"/>
        <item x="268"/>
        <item x="477"/>
        <item x="1249"/>
        <item x="862"/>
        <item x="1391"/>
        <item x="1134"/>
        <item x="863"/>
        <item x="1252"/>
        <item x="1552"/>
        <item x="749"/>
        <item x="67"/>
        <item x="1476"/>
        <item x="1291"/>
        <item x="1054"/>
        <item x="1295"/>
        <item x="902"/>
        <item x="304"/>
        <item x="1550"/>
        <item x="1033"/>
        <item x="1250"/>
        <item x="307"/>
        <item x="1478"/>
        <item x="1283"/>
        <item x="1551"/>
        <item x="826"/>
        <item x="88"/>
        <item x="1345"/>
        <item x="1517"/>
        <item x="824"/>
        <item x="305"/>
        <item x="823"/>
        <item x="306"/>
        <item x="100"/>
        <item x="1392"/>
        <item x="1292"/>
        <item x="1235"/>
        <item x="1251"/>
        <item x="28"/>
        <item x="1297"/>
        <item x="757"/>
        <item x="89"/>
        <item x="687"/>
        <item x="750"/>
        <item x="1284"/>
        <item x="825"/>
        <item x="595"/>
        <item x="865"/>
        <item x="1296"/>
        <item x="1533"/>
        <item x="1434"/>
        <item x="1369"/>
        <item x="1078"/>
        <item x="561"/>
        <item x="1095"/>
        <item x="1443"/>
        <item x="1475"/>
        <item x="61"/>
        <item x="1189"/>
        <item x="1079"/>
        <item x="1001"/>
        <item x="864"/>
        <item x="1431"/>
        <item x="44"/>
        <item x="1096"/>
        <item x="1036"/>
        <item x="1285"/>
        <item x="91"/>
        <item x="1286"/>
        <item x="753"/>
        <item x="29"/>
        <item x="1074"/>
        <item x="751"/>
        <item x="45"/>
        <item x="1077"/>
        <item x="1433"/>
        <item x="1432"/>
        <item x="31"/>
        <item x="90"/>
        <item x="688"/>
        <item x="1539"/>
        <item x="1031"/>
        <item x="1075"/>
        <item x="46"/>
        <item x="649"/>
        <item x="1444"/>
        <item x="1032"/>
        <item x="758"/>
        <item x="1541"/>
        <item x="1094"/>
        <item x="1487"/>
        <item x="1080"/>
        <item x="1538"/>
        <item x="752"/>
        <item x="76"/>
        <item x="1190"/>
        <item x="140"/>
        <item x="101"/>
        <item x="201"/>
        <item x="1445"/>
        <item x="1411"/>
        <item x="601"/>
        <item x="1293"/>
        <item x="1002"/>
        <item x="1090"/>
        <item x="1488"/>
        <item x="80"/>
        <item x="1531"/>
        <item x="316"/>
        <item x="1490"/>
        <item x="602"/>
        <item x="202"/>
        <item x="1540"/>
        <item x="1000"/>
        <item x="754"/>
        <item x="648"/>
        <item x="756"/>
        <item x="78"/>
        <item x="68"/>
        <item x="1489"/>
        <item x="128"/>
        <item x="755"/>
        <item x="102"/>
        <item x="650"/>
        <item x="1135"/>
        <item x="857"/>
        <item x="1076"/>
        <item x="867"/>
        <item x="759"/>
        <item x="77"/>
        <item x="494"/>
        <item x="1350"/>
        <item x="62"/>
        <item x="1115"/>
        <item x="1091"/>
        <item x="47"/>
        <item x="1047"/>
        <item x="1516"/>
        <item x="203"/>
        <item x="129"/>
        <item x="373"/>
        <item x="999"/>
        <item x="375"/>
        <item x="267"/>
        <item x="1446"/>
        <item x="1113"/>
        <item x="79"/>
        <item x="1114"/>
        <item x="651"/>
        <item x="374"/>
        <item x="103"/>
        <item x="1146"/>
        <item x="564"/>
        <item x="856"/>
        <item x="1112"/>
        <item x="781"/>
        <item x="1151"/>
        <item x="932"/>
        <item x="1046"/>
        <item x="760"/>
        <item x="1304"/>
        <item x="573"/>
        <item x="1202"/>
        <item x="603"/>
        <item x="703"/>
        <item x="900"/>
        <item x="563"/>
        <item x="1192"/>
        <item x="317"/>
        <item x="1515"/>
        <item x="1412"/>
        <item x="1370"/>
        <item x="1153"/>
        <item x="898"/>
        <item x="1081"/>
        <item x="854"/>
        <item x="318"/>
        <item x="154"/>
        <item x="320"/>
        <item x="899"/>
        <item x="495"/>
        <item x="842"/>
        <item x="443"/>
        <item x="704"/>
        <item x="440"/>
        <item x="725"/>
        <item x="1150"/>
        <item x="868"/>
        <item x="901"/>
        <item x="855"/>
        <item x="935"/>
        <item x="1301"/>
        <item x="319"/>
        <item x="783"/>
        <item x="482"/>
        <item x="483"/>
        <item x="130"/>
        <item x="204"/>
        <item x="933"/>
        <item x="400"/>
        <item x="81"/>
        <item x="1049"/>
        <item x="726"/>
        <item x="1029"/>
        <item x="1277"/>
        <item x="562"/>
        <item x="1427"/>
        <item x="934"/>
        <item x="1152"/>
        <item x="1215"/>
        <item x="702"/>
        <item x="574"/>
        <item x="441"/>
        <item x="131"/>
        <item x="1546"/>
        <item x="1048"/>
        <item x="1399"/>
        <item x="442"/>
        <item x="1028"/>
        <item x="1092"/>
        <item x="155"/>
        <item x="1547"/>
        <item x="705"/>
        <item x="321"/>
        <item x="266"/>
        <item x="782"/>
        <item x="1023"/>
        <item x="1093"/>
        <item x="526"/>
        <item x="1025"/>
        <item x="213"/>
        <item x="30"/>
        <item x="697"/>
        <item x="63"/>
        <item x="784"/>
        <item x="1191"/>
        <item x="689"/>
        <item x="1413"/>
        <item x="322"/>
        <item x="1294"/>
        <item x="471"/>
        <item x="1302"/>
        <item x="323"/>
        <item x="265"/>
        <item x="1339"/>
        <item x="1024"/>
        <item x="1278"/>
        <item x="834"/>
        <item x="1026"/>
        <item x="496"/>
        <item x="1428"/>
        <item x="604"/>
        <item x="575"/>
        <item x="727"/>
        <item x="1037"/>
        <item x="261"/>
        <item x="506"/>
        <item x="527"/>
        <item x="1216"/>
        <item x="472"/>
        <item x="956"/>
        <item x="484"/>
        <item x="156"/>
        <item x="1045"/>
        <item x="75"/>
        <item x="485"/>
        <item x="577"/>
        <item x="215"/>
        <item x="869"/>
        <item x="1279"/>
        <item x="1341"/>
        <item x="1351"/>
        <item x="576"/>
        <item x="1548"/>
        <item x="1340"/>
        <item x="1280"/>
        <item x="1415"/>
        <item x="1416"/>
        <item x="119"/>
        <item x="214"/>
        <item x="1148"/>
        <item x="127"/>
        <item x="1371"/>
        <item x="1104"/>
        <item x="141"/>
        <item x="86"/>
        <item x="1429"/>
        <item x="263"/>
        <item x="1105"/>
        <item x="579"/>
        <item x="196"/>
        <item x="262"/>
        <item x="1106"/>
        <item x="723"/>
        <item x="87"/>
        <item x="835"/>
        <item x="730"/>
        <item x="1417"/>
        <item x="957"/>
        <item x="581"/>
        <item x="497"/>
        <item x="401"/>
        <item x="916"/>
        <item x="721"/>
        <item x="64"/>
        <item x="722"/>
        <item x="1039"/>
        <item x="1316"/>
        <item x="1418"/>
        <item x="1107"/>
        <item x="264"/>
        <item x="1136"/>
        <item x="690"/>
        <item x="780"/>
        <item x="1430"/>
        <item x="777"/>
        <item x="529"/>
        <item x="1567"/>
        <item x="1147"/>
        <item x="696"/>
        <item x="1414"/>
        <item x="524"/>
        <item x="1518"/>
        <item x="1549"/>
        <item x="958"/>
        <item x="779"/>
        <item x="915"/>
        <item x="1400"/>
        <item x="728"/>
        <item x="557"/>
        <item x="1050"/>
        <item x="473"/>
        <item x="515"/>
        <item x="523"/>
        <item x="448"/>
        <item x="836"/>
        <item x="85"/>
        <item x="1305"/>
        <item x="126"/>
        <item x="84"/>
        <item x="1217"/>
        <item x="663"/>
        <item x="724"/>
        <item x="578"/>
        <item x="1492"/>
        <item x="914"/>
        <item x="729"/>
        <item x="1226"/>
        <item x="507"/>
        <item x="416"/>
        <item x="522"/>
        <item x="74"/>
        <item x="1566"/>
        <item x="186"/>
        <item x="514"/>
        <item x="959"/>
        <item x="1203"/>
        <item x="778"/>
        <item x="843"/>
        <item x="82"/>
        <item x="528"/>
        <item x="1281"/>
        <item x="1565"/>
        <item x="598"/>
        <item x="1523"/>
        <item x="558"/>
        <item x="1027"/>
        <item x="559"/>
        <item x="157"/>
        <item x="1206"/>
        <item x="1149"/>
        <item x="516"/>
        <item x="837"/>
        <item x="1205"/>
        <item x="1493"/>
        <item x="444"/>
        <item x="600"/>
        <item x="597"/>
        <item x="195"/>
        <item x="599"/>
        <item x="583"/>
        <item x="731"/>
        <item x="1261"/>
        <item x="582"/>
        <item x="135"/>
        <item x="1282"/>
        <item x="187"/>
        <item x="1381"/>
        <item x="83"/>
        <item x="134"/>
        <item x="132"/>
        <item x="1239"/>
        <item x="402"/>
        <item x="831"/>
        <item x="125"/>
        <item x="549"/>
        <item x="133"/>
        <item x="1262"/>
        <item x="1207"/>
        <item x="188"/>
        <item x="1273"/>
        <item x="1266"/>
        <item x="418"/>
        <item x="124"/>
        <item x="1265"/>
        <item x="1524"/>
        <item x="459"/>
        <item x="832"/>
        <item x="458"/>
        <item x="1204"/>
        <item x="584"/>
        <item x="508"/>
        <item x="417"/>
        <item x="1377"/>
        <item x="1227"/>
        <item x="1218"/>
        <item x="269"/>
        <item x="1208"/>
        <item x="695"/>
        <item x="560"/>
        <item x="517"/>
        <item x="1274"/>
        <item x="1209"/>
        <item x="1041"/>
        <item x="1337"/>
        <item x="1317"/>
        <item x="1275"/>
        <item x="1040"/>
        <item x="1276"/>
        <item x="41"/>
        <item x="1241"/>
        <item x="457"/>
        <item x="429"/>
        <item x="791"/>
        <item x="1240"/>
        <item x="1352"/>
        <item x="525"/>
        <item x="1561"/>
        <item x="456"/>
        <item x="1306"/>
        <item x="40"/>
        <item x="1267"/>
        <item x="509"/>
        <item x="1210"/>
        <item x="1238"/>
        <item x="833"/>
        <item x="976"/>
        <item x="118"/>
        <item x="137"/>
        <item x="675"/>
        <item x="403"/>
        <item x="189"/>
        <item x="1228"/>
        <item x="580"/>
        <item x="300"/>
        <item x="430"/>
        <item x="145"/>
        <item x="1372"/>
        <item x="968"/>
        <item x="550"/>
        <item x="698"/>
        <item x="139"/>
        <item x="870"/>
        <item x="1162"/>
        <item x="551"/>
        <item x="977"/>
        <item x="428"/>
        <item x="699"/>
        <item x="632"/>
        <item x="664"/>
        <item x="978"/>
        <item x="871"/>
        <item x="138"/>
        <item x="447"/>
        <item x="1229"/>
        <item x="1378"/>
        <item x="136"/>
        <item x="1526"/>
        <item x="1560"/>
        <item x="1559"/>
        <item x="419"/>
        <item x="350"/>
        <item x="1558"/>
        <item x="142"/>
        <item x="270"/>
        <item x="530"/>
        <item x="644"/>
        <item x="1401"/>
        <item x="144"/>
        <item x="700"/>
        <item x="911"/>
        <item x="1336"/>
        <item x="1396"/>
        <item x="1528"/>
        <item x="552"/>
        <item x="802"/>
        <item x="795"/>
        <item x="143"/>
        <item x="1529"/>
        <item x="979"/>
        <item x="1307"/>
        <item x="1137"/>
        <item x="912"/>
        <item x="792"/>
        <item x="732"/>
        <item x="349"/>
        <item x="1335"/>
        <item x="645"/>
        <item x="872"/>
        <item x="1527"/>
        <item x="531"/>
        <item x="910"/>
        <item x="633"/>
        <item x="1318"/>
        <item x="431"/>
        <item x="446"/>
        <item x="874"/>
        <item x="701"/>
        <item x="351"/>
        <item x="1193"/>
        <item x="1051"/>
        <item x="1379"/>
        <item x="844"/>
        <item x="799"/>
        <item x="282"/>
        <item x="801"/>
        <item x="1382"/>
        <item x="271"/>
        <item x="301"/>
        <item x="533"/>
        <item x="667"/>
        <item x="668"/>
        <item x="445"/>
        <item x="73"/>
        <item x="450"/>
        <item x="1111"/>
        <item x="1042"/>
        <item x="42"/>
        <item x="534"/>
        <item x="117"/>
        <item x="281"/>
        <item x="800"/>
        <item x="585"/>
        <item x="646"/>
        <item x="1196"/>
        <item x="1349"/>
        <item x="1398"/>
        <item x="194"/>
        <item x="43"/>
        <item x="669"/>
        <item x="283"/>
        <item x="1043"/>
        <item x="1211"/>
        <item x="647"/>
        <item x="116"/>
        <item x="586"/>
        <item x="1165"/>
        <item x="535"/>
        <item x="937"/>
        <item x="938"/>
        <item x="676"/>
        <item x="793"/>
        <item x="1494"/>
        <item x="1513"/>
        <item x="936"/>
        <item x="665"/>
        <item x="352"/>
        <item x="1194"/>
        <item x="399"/>
        <item x="1145"/>
        <item x="1397"/>
        <item x="1586"/>
        <item x="1380"/>
        <item x="670"/>
        <item x="969"/>
        <item x="1110"/>
        <item x="970"/>
        <item x="1534"/>
        <item x="284"/>
        <item x="1044"/>
        <item x="1083"/>
        <item x="939"/>
        <item x="1082"/>
        <item x="1514"/>
        <item x="272"/>
        <item x="588"/>
        <item x="1109"/>
        <item x="536"/>
        <item x="1212"/>
        <item x="587"/>
        <item x="845"/>
        <item x="798"/>
        <item x="1195"/>
        <item x="1230"/>
        <item x="1346"/>
        <item x="16"/>
        <item x="1572"/>
        <item x="1573"/>
        <item x="875"/>
        <item x="972"/>
        <item x="625"/>
        <item x="1348"/>
        <item x="1357"/>
        <item x="794"/>
        <item x="913"/>
        <item x="1225"/>
        <item x="1511"/>
        <item x="249"/>
        <item x="1535"/>
        <item x="635"/>
        <item x="361"/>
        <item x="1512"/>
        <item x="1108"/>
        <item x="1163"/>
        <item x="1164"/>
        <item x="1402"/>
        <item x="1263"/>
        <item x="678"/>
        <item x="1347"/>
        <item x="1574"/>
        <item x="1224"/>
        <item x="634"/>
        <item x="334"/>
        <item x="666"/>
        <item x="449"/>
        <item x="797"/>
        <item x="1491"/>
        <item x="1231"/>
        <item x="333"/>
        <item x="1585"/>
        <item x="975"/>
        <item x="1213"/>
        <item x="765"/>
        <item x="1222"/>
        <item x="363"/>
        <item x="677"/>
        <item x="69"/>
        <item x="1144"/>
        <item x="223"/>
        <item x="1034"/>
        <item x="796"/>
        <item x="1084"/>
        <item x="973"/>
        <item x="1142"/>
        <item x="1536"/>
        <item x="357"/>
        <item x="1052"/>
        <item x="1223"/>
        <item x="971"/>
        <item x="1537"/>
        <item x="532"/>
        <item x="1580"/>
        <item x="1329"/>
        <item x="1583"/>
        <item x="1338"/>
        <item x="412"/>
        <item x="362"/>
        <item x="766"/>
        <item x="1256"/>
        <item x="1214"/>
        <item x="286"/>
        <item x="1103"/>
        <item x="1268"/>
        <item x="1232"/>
        <item x="432"/>
        <item x="974"/>
        <item x="364"/>
        <item x="873"/>
        <item x="1085"/>
        <item x="250"/>
        <item x="1143"/>
        <item x="1568"/>
        <item x="1584"/>
        <item x="1359"/>
        <item x="434"/>
        <item x="332"/>
        <item x="1064"/>
        <item x="1582"/>
        <item x="1255"/>
        <item x="32"/>
        <item x="414"/>
        <item x="285"/>
        <item x="245"/>
        <item x="415"/>
        <item x="413"/>
        <item x="70"/>
        <item x="626"/>
        <item x="1581"/>
        <item x="1385"/>
        <item x="741"/>
        <item x="216"/>
        <item x="672"/>
        <item x="398"/>
        <item x="358"/>
        <item x="1360"/>
        <item x="424"/>
        <item x="1264"/>
        <item x="1233"/>
        <item x="397"/>
        <item x="396"/>
        <item x="1575"/>
        <item x="1383"/>
        <item x="1525"/>
        <item x="1569"/>
        <item x="435"/>
        <item x="433"/>
        <item x="33"/>
        <item x="1067"/>
        <item x="1571"/>
        <item x="1570"/>
        <item x="767"/>
        <item x="1578"/>
        <item x="553"/>
        <item x="222"/>
        <item x="1253"/>
        <item x="671"/>
        <item x="1577"/>
        <item x="197"/>
        <item x="1393"/>
        <item x="768"/>
        <item x="1060"/>
        <item x="71"/>
        <item x="425"/>
        <item x="1576"/>
        <item x="293"/>
        <item x="1507"/>
        <item x="1014"/>
        <item x="288"/>
        <item x="1395"/>
        <item x="673"/>
        <item x="1254"/>
        <item x="1063"/>
        <item x="1394"/>
        <item x="287"/>
        <item x="1384"/>
        <item x="876"/>
        <item x="733"/>
        <item x="468"/>
        <item x="241"/>
        <item x="467"/>
        <item x="743"/>
        <item x="1065"/>
        <item x="34"/>
        <item x="1062"/>
        <item x="1061"/>
        <item x="739"/>
        <item x="742"/>
        <item x="108"/>
        <item x="469"/>
        <item x="620"/>
        <item x="451"/>
        <item x="674"/>
        <item x="619"/>
        <item x="738"/>
        <item x="744"/>
        <item x="200"/>
        <item x="734"/>
        <item x="618"/>
        <item x="877"/>
        <item x="426"/>
        <item x="122"/>
        <item x="35"/>
        <item x="740"/>
        <item x="17"/>
        <item x="302"/>
        <item x="72"/>
        <item x="246"/>
        <item x="470"/>
        <item x="1358"/>
        <item x="359"/>
        <item x="1508"/>
        <item x="617"/>
        <item x="335"/>
        <item x="1102"/>
        <item x="242"/>
        <item x="109"/>
        <item x="221"/>
        <item x="243"/>
        <item x="1510"/>
        <item x="1066"/>
        <item x="123"/>
        <item x="233"/>
        <item x="1073"/>
        <item x="737"/>
        <item x="1101"/>
        <item x="294"/>
        <item x="1097"/>
        <item x="1319"/>
        <item x="1509"/>
        <item x="945"/>
        <item x="24"/>
        <item x="199"/>
        <item x="191"/>
        <item x="1199"/>
        <item x="295"/>
        <item x="1175"/>
        <item x="903"/>
        <item x="1072"/>
        <item x="1035"/>
        <item x="1328"/>
        <item x="1116"/>
        <item x="296"/>
        <item x="198"/>
        <item x="25"/>
        <item x="735"/>
        <item x="244"/>
        <item x="1439"/>
        <item x="224"/>
        <item x="234"/>
        <item x="944"/>
        <item x="26"/>
        <item x="1441"/>
        <item x="1176"/>
        <item x="1440"/>
        <item x="736"/>
        <item x="235"/>
        <item x="110"/>
        <item x="1071"/>
        <item x="1386"/>
        <item x="992"/>
        <item x="120"/>
        <item x="251"/>
        <item x="943"/>
        <item x="1098"/>
        <item x="236"/>
        <item x="111"/>
        <item x="1579"/>
        <item x="247"/>
        <item x="941"/>
        <item x="438"/>
        <item x="439"/>
        <item x="437"/>
        <item x="436"/>
        <item x="942"/>
        <item x="993"/>
        <item x="19"/>
        <item x="940"/>
        <item x="786"/>
        <item x="785"/>
        <item x="190"/>
        <item x="1099"/>
        <item x="4"/>
        <item x="1019"/>
        <item x="252"/>
        <item x="1320"/>
        <item x="27"/>
        <item x="946"/>
        <item x="360"/>
        <item x="209"/>
        <item x="1020"/>
        <item x="994"/>
        <item x="996"/>
        <item x="192"/>
        <item x="5"/>
        <item x="1185"/>
        <item x="614"/>
        <item x="655"/>
        <item x="1388"/>
        <item x="905"/>
        <item x="947"/>
        <item x="1100"/>
        <item x="554"/>
        <item x="1021"/>
        <item x="640"/>
        <item x="248"/>
        <item x="615"/>
        <item x="613"/>
        <item x="210"/>
        <item x="1310"/>
        <item x="859"/>
        <item x="858"/>
        <item x="121"/>
        <item x="654"/>
        <item x="452"/>
        <item x="995"/>
        <item x="174"/>
        <item x="1387"/>
        <item x="336"/>
        <item x="997"/>
        <item x="656"/>
        <item x="1022"/>
        <item x="1311"/>
        <item x="1309"/>
        <item x="653"/>
        <item x="652"/>
        <item x="211"/>
        <item x="1451"/>
        <item x="998"/>
        <item x="657"/>
        <item x="1197"/>
        <item x="1454"/>
        <item x="860"/>
        <item x="904"/>
        <item x="18"/>
        <item x="1453"/>
        <item x="225"/>
        <item x="518"/>
        <item x="1069"/>
        <item x="1452"/>
        <item x="1070"/>
        <item x="1321"/>
        <item x="659"/>
        <item x="175"/>
        <item x="1308"/>
        <item x="658"/>
        <item x="158"/>
        <item x="1219"/>
        <item x="303"/>
        <item x="627"/>
        <item x="212"/>
        <item x="1068"/>
        <item x="193"/>
        <item x="861"/>
        <item x="226"/>
        <item x="641"/>
        <item x="388"/>
        <item x="176"/>
        <item x="171"/>
        <item x="173"/>
        <item x="159"/>
        <item x="260"/>
        <item x="631"/>
        <item x="258"/>
        <item x="1174"/>
        <item x="537"/>
        <item x="493"/>
        <item x="1117"/>
        <item x="389"/>
        <item x="177"/>
        <item x="787"/>
        <item x="772"/>
        <item x="1327"/>
        <item x="227"/>
        <item x="353"/>
        <item x="259"/>
        <item x="164"/>
        <item x="460"/>
        <item x="1322"/>
        <item x="1257"/>
        <item x="812"/>
        <item x="616"/>
        <item x="643"/>
        <item x="170"/>
        <item x="1220"/>
        <item x="769"/>
        <item x="165"/>
        <item x="642"/>
        <item x="172"/>
        <item x="356"/>
        <item x="49"/>
        <item x="830"/>
        <item x="390"/>
        <item x="355"/>
        <item x="1365"/>
        <item x="807"/>
        <item x="160"/>
        <item x="257"/>
        <item x="1221"/>
        <item x="1188"/>
        <item x="628"/>
        <item x="392"/>
        <item x="337"/>
        <item x="1366"/>
        <item x="808"/>
        <item x="921"/>
        <item x="1012"/>
        <item x="1258"/>
        <item x="630"/>
        <item x="163"/>
        <item x="1170"/>
        <item x="771"/>
        <item x="463"/>
        <item x="354"/>
        <item x="345"/>
        <item x="788"/>
        <item x="161"/>
        <item x="629"/>
        <item x="770"/>
        <item x="814"/>
        <item x="461"/>
        <item x="521"/>
        <item x="1447"/>
        <item x="7"/>
        <item x="348"/>
        <item x="6"/>
        <item x="427"/>
        <item x="391"/>
        <item x="1172"/>
        <item x="1013"/>
        <item x="1198"/>
        <item x="228"/>
        <item x="462"/>
        <item x="50"/>
        <item x="1186"/>
        <item x="51"/>
        <item x="1503"/>
        <item x="393"/>
        <item x="827"/>
        <item x="1187"/>
        <item x="347"/>
        <item x="162"/>
        <item x="99"/>
        <item x="1373"/>
        <item x="489"/>
        <item x="790"/>
        <item x="809"/>
        <item x="1564"/>
        <item x="346"/>
        <item x="98"/>
        <item x="520"/>
        <item x="48"/>
        <item x="386"/>
        <item x="1448"/>
        <item x="1259"/>
        <item x="97"/>
        <item x="490"/>
        <item x="789"/>
        <item x="811"/>
        <item x="519"/>
        <item x="1325"/>
        <item x="538"/>
        <item x="96"/>
        <item x="1260"/>
        <item x="338"/>
        <item x="1374"/>
        <item x="1171"/>
        <item x="922"/>
        <item x="1011"/>
        <item x="387"/>
        <item x="720"/>
        <item x="555"/>
        <item x="1504"/>
        <item x="394"/>
        <item x="813"/>
        <item x="488"/>
        <item x="1323"/>
        <item x="1375"/>
        <item x="952"/>
        <item x="1376"/>
        <item x="1449"/>
        <item x="828"/>
        <item x="810"/>
        <item x="1450"/>
        <item x="1563"/>
        <item x="1361"/>
        <item x="850"/>
        <item x="1326"/>
        <item x="1118"/>
        <item x="1324"/>
        <item x="851"/>
        <item x="570"/>
        <item x="466"/>
        <item x="852"/>
        <item x="464"/>
        <item x="395"/>
        <item x="487"/>
        <item x="385"/>
        <item x="1562"/>
        <item x="384"/>
        <item x="853"/>
        <item x="1362"/>
        <item x="1442"/>
        <item x="1505"/>
        <item x="1506"/>
        <item x="923"/>
        <item x="465"/>
        <item x="1290"/>
        <item x="1368"/>
        <item x="491"/>
        <item x="1173"/>
        <item x="719"/>
        <item x="1363"/>
        <item x="1288"/>
        <item x="539"/>
        <item x="1289"/>
        <item x="207"/>
        <item x="208"/>
        <item x="1287"/>
        <item x="94"/>
        <item x="1367"/>
        <item x="1436"/>
        <item x="206"/>
        <item x="1458"/>
        <item x="572"/>
        <item x="12"/>
        <item x="383"/>
        <item x="708"/>
        <item x="829"/>
        <item x="205"/>
        <item x="1119"/>
        <item x="382"/>
        <item x="1456"/>
        <item x="1457"/>
        <item x="405"/>
        <item x="1300"/>
        <item x="93"/>
        <item x="404"/>
        <item x="706"/>
        <item x="95"/>
        <item x="1055"/>
        <item x="1364"/>
        <item x="1455"/>
        <item x="1435"/>
        <item x="1438"/>
        <item x="492"/>
        <item x="13"/>
        <item x="569"/>
        <item x="718"/>
        <item x="92"/>
        <item x="953"/>
        <item x="406"/>
        <item x="709"/>
        <item x="556"/>
        <item x="707"/>
        <item x="381"/>
        <item x="179"/>
        <item x="178"/>
        <item x="1242"/>
        <item x="180"/>
        <item x="571"/>
        <item x="1299"/>
        <item x="181"/>
        <item x="486"/>
        <item x="277"/>
        <item x="407"/>
        <item x="1298"/>
        <item x="1243"/>
        <item x="1437"/>
        <item x="991"/>
        <item x="990"/>
        <item x="773"/>
        <item x="884"/>
        <item x="540"/>
        <item x="1330"/>
        <item x="21"/>
        <item x="988"/>
        <item x="15"/>
        <item x="1157"/>
        <item x="885"/>
        <item x="774"/>
        <item x="989"/>
        <item x="455"/>
        <item x="229"/>
        <item x="22"/>
        <item x="279"/>
        <item x="380"/>
        <item x="232"/>
        <item x="478"/>
        <item x="883"/>
        <item x="280"/>
        <item x="278"/>
        <item x="1156"/>
        <item x="20"/>
        <item x="776"/>
        <item x="775"/>
        <item x="23"/>
        <item x="882"/>
        <item x="1422"/>
        <item x="1154"/>
        <item x="1419"/>
        <item x="231"/>
        <item x="479"/>
        <item x="967"/>
        <item x="1155"/>
        <item x="480"/>
        <item x="1244"/>
        <item x="984"/>
        <item x="906"/>
        <item x="1003"/>
        <item x="985"/>
        <item x="1420"/>
        <item x="955"/>
        <item x="1421"/>
        <item x="987"/>
        <item x="481"/>
        <item x="986"/>
        <item x="963"/>
        <item x="184"/>
        <item x="185"/>
        <item x="907"/>
        <item x="454"/>
        <item x="1056"/>
        <item x="1004"/>
        <item x="954"/>
        <item x="763"/>
        <item x="1245"/>
        <item x="761"/>
        <item x="183"/>
        <item x="762"/>
        <item x="230"/>
        <item x="920"/>
        <item x="453"/>
        <item x="966"/>
        <item x="919"/>
        <item x="408"/>
        <item x="764"/>
        <item x="716"/>
        <item x="918"/>
        <item x="1005"/>
        <item x="962"/>
        <item x="14"/>
        <item x="917"/>
        <item x="410"/>
        <item x="409"/>
        <item x="908"/>
        <item x="961"/>
        <item x="112"/>
        <item x="714"/>
        <item x="411"/>
        <item x="182"/>
        <item x="1057"/>
        <item x="715"/>
        <item x="964"/>
        <item x="960"/>
        <item x="909"/>
        <item x="965"/>
        <item x="1161"/>
        <item x="1160"/>
        <item x="1159"/>
        <item x="1058"/>
        <item x="113"/>
        <item x="1006"/>
        <item x="324"/>
        <item x="1010"/>
        <item x="1059"/>
        <item x="1158"/>
        <item x="547"/>
        <item x="8"/>
        <item x="545"/>
        <item x="325"/>
        <item x="308"/>
        <item x="376"/>
        <item x="342"/>
        <item x="340"/>
        <item x="326"/>
        <item x="1009"/>
        <item x="310"/>
        <item x="309"/>
        <item x="639"/>
        <item x="114"/>
        <item x="339"/>
        <item x="546"/>
        <item x="341"/>
        <item x="1008"/>
        <item x="9"/>
        <item x="327"/>
        <item x="637"/>
        <item x="548"/>
        <item x="894"/>
        <item x="636"/>
        <item x="115"/>
        <item x="311"/>
        <item x="377"/>
        <item x="1007"/>
        <item x="895"/>
        <item x="1"/>
        <item x="0"/>
        <item x="717"/>
        <item x="896"/>
        <item x="638"/>
        <item x="378"/>
        <item x="1128"/>
        <item x="897"/>
        <item x="11"/>
        <item x="10"/>
        <item x="1127"/>
        <item x="1354"/>
        <item x="1356"/>
        <item x="1355"/>
        <item x="1129"/>
        <item x="379"/>
        <item x="1353"/>
        <item x="1126"/>
        <item x="1181"/>
        <item x="846"/>
        <item x="1182"/>
        <item x="1184"/>
        <item x="847"/>
        <item x="692"/>
        <item x="1178"/>
        <item x="693"/>
        <item x="56"/>
        <item x="1403"/>
        <item x="368"/>
        <item x="691"/>
        <item x="1180"/>
        <item x="1183"/>
        <item x="694"/>
        <item x="367"/>
        <item x="365"/>
        <item x="1177"/>
        <item x="366"/>
        <item x="1404"/>
        <item x="1405"/>
        <item x="848"/>
        <item x="841"/>
        <item x="838"/>
        <item x="839"/>
        <item x="840"/>
        <item x="1406"/>
        <item x="55"/>
        <item x="849"/>
        <item x="1179"/>
        <item x="1018"/>
        <item x="104"/>
        <item x="748"/>
        <item x="1015"/>
        <item x="1017"/>
        <item x="565"/>
        <item x="1016"/>
        <item x="2"/>
        <item x="679"/>
        <item x="3"/>
        <item x="53"/>
        <item x="680"/>
        <item x="54"/>
        <item x="566"/>
        <item x="745"/>
        <item x="747"/>
        <item x="746"/>
        <item x="153"/>
        <item x="151"/>
        <item x="152"/>
        <item x="681"/>
        <item x="150"/>
        <item x="1124"/>
        <item x="1125"/>
        <item x="682"/>
        <item x="1122"/>
        <item x="567"/>
        <item x="1123"/>
        <item x="105"/>
        <item x="1484"/>
        <item x="568"/>
        <item x="1332"/>
        <item x="1486"/>
        <item x="1424"/>
        <item x="1334"/>
        <item x="106"/>
        <item x="1426"/>
        <item x="1425"/>
        <item x="1423"/>
        <item x="1483"/>
        <item x="1485"/>
        <item x="1331"/>
        <item x="1333"/>
        <item x="107"/>
        <item x="1500"/>
        <item x="1501"/>
        <item x="1499"/>
        <item x="1502"/>
        <item x="169"/>
        <item x="806"/>
        <item x="805"/>
        <item x="1557"/>
        <item x="803"/>
        <item x="167"/>
        <item x="804"/>
        <item x="166"/>
        <item x="168"/>
        <item x="1556"/>
        <item x="1555"/>
        <item x="1554"/>
        <item x="1519"/>
        <item x="1520"/>
        <item x="1521"/>
        <item x="1522"/>
        <item x="888"/>
        <item x="886"/>
        <item x="887"/>
        <item x="889"/>
        <item t="default"/>
      </items>
    </pivotField>
    <pivotField dataField="1" numFmtId="164" showAll="0"/>
    <pivotField dataField="1" showAll="0"/>
    <pivotField axis="axisRow" showAll="0" sortType="descending">
      <items count="12">
        <item x="1"/>
        <item x="4"/>
        <item x="9"/>
        <item x="6"/>
        <item x="3"/>
        <item x="0"/>
        <item x="2"/>
        <item x="8"/>
        <item x="7"/>
        <item x="10"/>
        <item x="5"/>
        <item t="default"/>
      </items>
      <autoSortScope>
        <pivotArea dataOnly="0" outline="0" fieldPosition="0">
          <references count="1">
            <reference field="4294967294" count="1" selected="0">
              <x v="0"/>
            </reference>
          </references>
        </pivotArea>
      </autoSortScope>
    </pivotField>
    <pivotField showAll="0"/>
  </pivotFields>
  <rowFields count="1">
    <field x="8"/>
  </rowFields>
  <rowItems count="12">
    <i>
      <x v="1"/>
    </i>
    <i>
      <x/>
    </i>
    <i>
      <x v="2"/>
    </i>
    <i>
      <x v="4"/>
    </i>
    <i>
      <x v="5"/>
    </i>
    <i>
      <x v="6"/>
    </i>
    <i>
      <x v="3"/>
    </i>
    <i>
      <x v="9"/>
    </i>
    <i>
      <x v="7"/>
    </i>
    <i>
      <x v="10"/>
    </i>
    <i>
      <x v="8"/>
    </i>
    <i t="grand">
      <x/>
    </i>
  </rowItems>
  <colFields count="1">
    <field x="-2"/>
  </colFields>
  <colItems count="5">
    <i>
      <x/>
    </i>
    <i i="1">
      <x v="1"/>
    </i>
    <i i="2">
      <x v="2"/>
    </i>
    <i i="3">
      <x v="3"/>
    </i>
    <i i="4">
      <x v="4"/>
    </i>
  </colItems>
  <dataFields count="5">
    <dataField name="Sum of  Total Revenue " fld="3" baseField="0" baseItem="0" numFmtId="164"/>
    <dataField name="Sum of  Cost of Goods Sold " fld="4" baseField="0" baseItem="0" numFmtId="44"/>
    <dataField name="Sum of  Sales, General and Admin. " fld="5" baseField="8" baseItem="0" numFmtId="44"/>
    <dataField name="Sum of  Research and Development " fld="6" baseField="0" baseItem="0" numFmtId="44"/>
    <dataField name="Sum of  Other Operating Items " fld="7" baseField="8" baseItem="0" numFmtId="44"/>
  </dataFields>
  <formats count="7">
    <format dxfId="43">
      <pivotArea collapsedLevelsAreSubtotals="1" fieldPosition="0">
        <references count="2">
          <reference field="4294967294" count="1" selected="0">
            <x v="1"/>
          </reference>
          <reference field="8" count="0"/>
        </references>
      </pivotArea>
    </format>
    <format dxfId="42">
      <pivotArea outline="0" collapsedLevelsAreSubtotals="1" fieldPosition="0">
        <references count="1">
          <reference field="4294967294" count="1" selected="0">
            <x v="1"/>
          </reference>
        </references>
      </pivotArea>
    </format>
    <format dxfId="41">
      <pivotArea outline="0" collapsedLevelsAreSubtotals="1" fieldPosition="0">
        <references count="1">
          <reference field="4294967294" count="1" selected="0">
            <x v="2"/>
          </reference>
        </references>
      </pivotArea>
    </format>
    <format dxfId="40">
      <pivotArea outline="0" collapsedLevelsAreSubtotals="1" fieldPosition="0">
        <references count="1">
          <reference field="4294967294" count="1" selected="0">
            <x v="3"/>
          </reference>
        </references>
      </pivotArea>
    </format>
    <format dxfId="39">
      <pivotArea outline="0" collapsedLevelsAreSubtotals="1" fieldPosition="0">
        <references count="1">
          <reference field="4294967294" count="1" selected="0">
            <x v="4"/>
          </reference>
        </references>
      </pivotArea>
    </format>
    <format dxfId="38">
      <pivotArea field="8" grandRow="1" outline="0" collapsedLevelsAreSubtotals="1" axis="axisRow" fieldPosition="0">
        <references count="1">
          <reference field="4294967294" count="1" selected="0">
            <x v="4"/>
          </reference>
        </references>
      </pivotArea>
    </format>
    <format dxfId="3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1460D0C-20B8-41C6-9C67-7443875406F9}"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B4:C16" firstHeaderRow="1" firstDataRow="1" firstDataCol="1"/>
  <pivotFields count="13">
    <pivotField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axis="axisRow" showAll="0">
      <items count="12">
        <item sd="0" x="1"/>
        <item sd="0" x="4"/>
        <item sd="0" x="9"/>
        <item sd="0" x="6"/>
        <item sd="0" x="3"/>
        <item sd="0" x="0"/>
        <item sd="0" x="2"/>
        <item sd="0" x="8"/>
        <item sd="0" x="7"/>
        <item sd="0" x="10"/>
        <item sd="0" x="5"/>
        <item t="default"/>
      </items>
    </pivotField>
    <pivotField showAll="0"/>
    <pivotField numFmtId="164" showAll="0"/>
    <pivotField dataField="1" showAll="0"/>
    <pivotField showAll="0"/>
  </pivotFields>
  <rowFields count="1">
    <field x="8"/>
  </rowFields>
  <rowItems count="12">
    <i>
      <x/>
    </i>
    <i>
      <x v="1"/>
    </i>
    <i>
      <x v="2"/>
    </i>
    <i>
      <x v="3"/>
    </i>
    <i>
      <x v="4"/>
    </i>
    <i>
      <x v="5"/>
    </i>
    <i>
      <x v="6"/>
    </i>
    <i>
      <x v="7"/>
    </i>
    <i>
      <x v="8"/>
    </i>
    <i>
      <x v="9"/>
    </i>
    <i>
      <x v="10"/>
    </i>
    <i t="grand">
      <x/>
    </i>
  </rowItems>
  <colItems count="1">
    <i/>
  </colItems>
  <dataFields count="1">
    <dataField name="Average of Total Operating Expence" fld="11" subtotal="average" baseField="8" baseItem="0"/>
  </dataFields>
  <formats count="1">
    <format dxfId="22">
      <pivotArea outline="0" collapsedLevelsAreSubtotals="1" fieldPosition="0"/>
    </format>
  </formats>
  <conditionalFormats count="1">
    <conditionalFormat priority="1">
      <pivotAreas count="1">
        <pivotArea type="data" collapsedLevelsAreSubtotals="1" fieldPosition="0">
          <references count="2">
            <reference field="4294967294" count="1" selected="0">
              <x v="0"/>
            </reference>
            <reference field="8" count="11">
              <x v="0"/>
              <x v="1"/>
              <x v="2"/>
              <x v="3"/>
              <x v="4"/>
              <x v="5"/>
              <x v="6"/>
              <x v="7"/>
              <x v="8"/>
              <x v="9"/>
              <x v="10"/>
            </reference>
          </references>
        </pivotArea>
      </pivotAreas>
    </conditionalFormat>
  </conditionalFormats>
  <chartFormats count="12">
    <chartFormat chart="0" format="1" series="1">
      <pivotArea type="data" outline="0" fieldPosition="0">
        <references count="1">
          <reference field="4294967294" count="1" selected="0">
            <x v="0"/>
          </reference>
        </references>
      </pivotArea>
    </chartFormat>
    <chartFormat chart="0" format="2">
      <pivotArea type="data" outline="0" fieldPosition="0">
        <references count="2">
          <reference field="4294967294" count="1" selected="0">
            <x v="0"/>
          </reference>
          <reference field="8" count="1" selected="0">
            <x v="0"/>
          </reference>
        </references>
      </pivotArea>
    </chartFormat>
    <chartFormat chart="0" format="3">
      <pivotArea type="data" outline="0" fieldPosition="0">
        <references count="2">
          <reference field="4294967294" count="1" selected="0">
            <x v="0"/>
          </reference>
          <reference field="8" count="1" selected="0">
            <x v="1"/>
          </reference>
        </references>
      </pivotArea>
    </chartFormat>
    <chartFormat chart="0" format="4">
      <pivotArea type="data" outline="0" fieldPosition="0">
        <references count="2">
          <reference field="4294967294" count="1" selected="0">
            <x v="0"/>
          </reference>
          <reference field="8" count="1" selected="0">
            <x v="2"/>
          </reference>
        </references>
      </pivotArea>
    </chartFormat>
    <chartFormat chart="0" format="5">
      <pivotArea type="data" outline="0" fieldPosition="0">
        <references count="2">
          <reference field="4294967294" count="1" selected="0">
            <x v="0"/>
          </reference>
          <reference field="8" count="1" selected="0">
            <x v="3"/>
          </reference>
        </references>
      </pivotArea>
    </chartFormat>
    <chartFormat chart="0" format="6">
      <pivotArea type="data" outline="0" fieldPosition="0">
        <references count="2">
          <reference field="4294967294" count="1" selected="0">
            <x v="0"/>
          </reference>
          <reference field="8" count="1" selected="0">
            <x v="4"/>
          </reference>
        </references>
      </pivotArea>
    </chartFormat>
    <chartFormat chart="0" format="7">
      <pivotArea type="data" outline="0" fieldPosition="0">
        <references count="2">
          <reference field="4294967294" count="1" selected="0">
            <x v="0"/>
          </reference>
          <reference field="8" count="1" selected="0">
            <x v="5"/>
          </reference>
        </references>
      </pivotArea>
    </chartFormat>
    <chartFormat chart="0" format="8">
      <pivotArea type="data" outline="0" fieldPosition="0">
        <references count="2">
          <reference field="4294967294" count="1" selected="0">
            <x v="0"/>
          </reference>
          <reference field="8" count="1" selected="0">
            <x v="6"/>
          </reference>
        </references>
      </pivotArea>
    </chartFormat>
    <chartFormat chart="0" format="9">
      <pivotArea type="data" outline="0" fieldPosition="0">
        <references count="2">
          <reference field="4294967294" count="1" selected="0">
            <x v="0"/>
          </reference>
          <reference field="8" count="1" selected="0">
            <x v="7"/>
          </reference>
        </references>
      </pivotArea>
    </chartFormat>
    <chartFormat chart="0" format="10">
      <pivotArea type="data" outline="0" fieldPosition="0">
        <references count="2">
          <reference field="4294967294" count="1" selected="0">
            <x v="0"/>
          </reference>
          <reference field="8" count="1" selected="0">
            <x v="8"/>
          </reference>
        </references>
      </pivotArea>
    </chartFormat>
    <chartFormat chart="0" format="11">
      <pivotArea type="data" outline="0" fieldPosition="0">
        <references count="2">
          <reference field="4294967294" count="1" selected="0">
            <x v="0"/>
          </reference>
          <reference field="8" count="1" selected="0">
            <x v="9"/>
          </reference>
        </references>
      </pivotArea>
    </chartFormat>
    <chartFormat chart="0" format="12">
      <pivotArea type="data" outline="0" fieldPosition="0">
        <references count="2">
          <reference field="4294967294" count="1" selected="0">
            <x v="0"/>
          </reference>
          <reference field="8"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53C5531-A227-4F1E-BF51-4D9FED0DB21D}" name="PivotTable1"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5">
  <location ref="B10:J28" firstHeaderRow="1" firstDataRow="2" firstDataCol="1" rowPageCount="1" colPageCount="1"/>
  <pivotFields count="14">
    <pivotField compact="0" outline="0" showAll="0"/>
    <pivotField compact="0" outline="0" showAll="0"/>
    <pivotField compact="0" numFmtId="14" outline="0" showAll="0"/>
    <pivotField compact="0" numFmtId="164" outline="0" showAll="0"/>
    <pivotField compact="0" outline="0" showAll="0"/>
    <pivotField compact="0" numFmtId="164" outline="0" showAll="0"/>
    <pivotField compact="0" numFmtId="164" outline="0" showAll="0"/>
    <pivotField compact="0" numFmtId="164" outline="0" showAll="0"/>
    <pivotField axis="axisPage" compact="0" outline="0" showAll="0">
      <items count="2">
        <item x="0"/>
        <item t="default"/>
      </items>
    </pivotField>
    <pivotField axis="axisRow" compact="0" outline="0" showAll="0">
      <items count="17">
        <item x="1"/>
        <item x="0"/>
        <item x="14"/>
        <item x="3"/>
        <item x="6"/>
        <item x="10"/>
        <item x="15"/>
        <item x="7"/>
        <item x="4"/>
        <item x="9"/>
        <item x="8"/>
        <item x="5"/>
        <item x="2"/>
        <item x="13"/>
        <item x="11"/>
        <item x="12"/>
        <item t="default"/>
      </items>
    </pivotField>
    <pivotField compact="0" numFmtId="164" outline="0" showAll="0"/>
    <pivotField compact="0" numFmtId="164" outline="0" showAll="0"/>
    <pivotField compact="0" numFmtId="164" outline="0" showAll="0"/>
    <pivotField axis="axisCol" dataField="1" compact="0" outline="0" showAll="0">
      <items count="8">
        <item x="2"/>
        <item x="4"/>
        <item x="0"/>
        <item x="1"/>
        <item x="5"/>
        <item x="6"/>
        <item x="3"/>
        <item t="default"/>
      </items>
    </pivotField>
  </pivotFields>
  <rowFields count="1">
    <field x="9"/>
  </rowFields>
  <rowItems count="17">
    <i>
      <x/>
    </i>
    <i>
      <x v="1"/>
    </i>
    <i>
      <x v="2"/>
    </i>
    <i>
      <x v="3"/>
    </i>
    <i>
      <x v="4"/>
    </i>
    <i>
      <x v="5"/>
    </i>
    <i>
      <x v="6"/>
    </i>
    <i>
      <x v="7"/>
    </i>
    <i>
      <x v="8"/>
    </i>
    <i>
      <x v="9"/>
    </i>
    <i>
      <x v="10"/>
    </i>
    <i>
      <x v="11"/>
    </i>
    <i>
      <x v="12"/>
    </i>
    <i>
      <x v="13"/>
    </i>
    <i>
      <x v="14"/>
    </i>
    <i>
      <x v="15"/>
    </i>
    <i t="grand">
      <x/>
    </i>
  </rowItems>
  <colFields count="1">
    <field x="13"/>
  </colFields>
  <colItems count="8">
    <i>
      <x/>
    </i>
    <i>
      <x v="1"/>
    </i>
    <i>
      <x v="2"/>
    </i>
    <i>
      <x v="3"/>
    </i>
    <i>
      <x v="4"/>
    </i>
    <i>
      <x v="5"/>
    </i>
    <i>
      <x v="6"/>
    </i>
    <i t="grand">
      <x/>
    </i>
  </colItems>
  <pageFields count="1">
    <pageField fld="8" item="0" hier="-1"/>
  </pageFields>
  <dataFields count="1">
    <dataField name="Count of Total Operating Exp(Bins)" fld="13" subtotal="count" baseField="0" baseItem="0"/>
  </dataFields>
  <formats count="10">
    <format dxfId="21">
      <pivotArea grandCol="1" outline="0" collapsedLevelsAreSubtotals="1" fieldPosition="0"/>
    </format>
    <format dxfId="20">
      <pivotArea dataOnly="0" labelOnly="1" outline="0" fieldPosition="0">
        <references count="1">
          <reference field="9" count="0"/>
        </references>
      </pivotArea>
    </format>
    <format dxfId="19">
      <pivotArea type="origin" dataOnly="0" labelOnly="1" outline="0" fieldPosition="0"/>
    </format>
    <format dxfId="18">
      <pivotArea field="13" type="button" dataOnly="0" labelOnly="1" outline="0" axis="axisCol" fieldPosition="0"/>
    </format>
    <format dxfId="17">
      <pivotArea type="topRight" dataOnly="0" labelOnly="1" outline="0" fieldPosition="0"/>
    </format>
    <format dxfId="16">
      <pivotArea field="9" type="button" dataOnly="0" labelOnly="1" outline="0" axis="axisRow" fieldPosition="0"/>
    </format>
    <format dxfId="15">
      <pivotArea dataOnly="0" labelOnly="1" outline="0" fieldPosition="0">
        <references count="1">
          <reference field="13" count="0"/>
        </references>
      </pivotArea>
    </format>
    <format dxfId="14">
      <pivotArea dataOnly="0" labelOnly="1" grandCol="1" outline="0" fieldPosition="0"/>
    </format>
    <format dxfId="13">
      <pivotArea grandRow="1" outline="0" collapsedLevelsAreSubtotals="1" fieldPosition="0"/>
    </format>
    <format dxfId="12">
      <pivotArea dataOnly="0" labelOnly="1" grandRow="1" outline="0" fieldPosition="0"/>
    </format>
  </formats>
  <chartFormats count="7">
    <chartFormat chart="7" format="0" series="1">
      <pivotArea type="data" outline="0" fieldPosition="0">
        <references count="2">
          <reference field="4294967294" count="1" selected="0">
            <x v="0"/>
          </reference>
          <reference field="13" count="1" selected="0">
            <x v="0"/>
          </reference>
        </references>
      </pivotArea>
    </chartFormat>
    <chartFormat chart="7" format="1" series="1">
      <pivotArea type="data" outline="0" fieldPosition="0">
        <references count="2">
          <reference field="4294967294" count="1" selected="0">
            <x v="0"/>
          </reference>
          <reference field="13" count="1" selected="0">
            <x v="1"/>
          </reference>
        </references>
      </pivotArea>
    </chartFormat>
    <chartFormat chart="7" format="2" series="1">
      <pivotArea type="data" outline="0" fieldPosition="0">
        <references count="2">
          <reference field="4294967294" count="1" selected="0">
            <x v="0"/>
          </reference>
          <reference field="13" count="1" selected="0">
            <x v="2"/>
          </reference>
        </references>
      </pivotArea>
    </chartFormat>
    <chartFormat chart="7" format="3" series="1">
      <pivotArea type="data" outline="0" fieldPosition="0">
        <references count="2">
          <reference field="4294967294" count="1" selected="0">
            <x v="0"/>
          </reference>
          <reference field="13" count="1" selected="0">
            <x v="3"/>
          </reference>
        </references>
      </pivotArea>
    </chartFormat>
    <chartFormat chart="7" format="4" series="1">
      <pivotArea type="data" outline="0" fieldPosition="0">
        <references count="2">
          <reference field="4294967294" count="1" selected="0">
            <x v="0"/>
          </reference>
          <reference field="13" count="1" selected="0">
            <x v="4"/>
          </reference>
        </references>
      </pivotArea>
    </chartFormat>
    <chartFormat chart="7" format="5" series="1">
      <pivotArea type="data" outline="0" fieldPosition="0">
        <references count="2">
          <reference field="4294967294" count="1" selected="0">
            <x v="0"/>
          </reference>
          <reference field="13" count="1" selected="0">
            <x v="5"/>
          </reference>
        </references>
      </pivotArea>
    </chartFormat>
    <chartFormat chart="7" format="6" series="1">
      <pivotArea type="data" outline="0" fieldPosition="0">
        <references count="2">
          <reference field="4294967294" count="1" selected="0">
            <x v="0"/>
          </reference>
          <reference field="13"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4E6617A-F8A8-4461-AFDC-0DA028619BBA}"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2:B433" firstHeaderRow="1" firstDataRow="1" firstDataCol="1"/>
  <pivotFields count="10">
    <pivotField axis="axisRow" showAll="0">
      <items count="431">
        <item x="266"/>
        <item x="249"/>
        <item x="28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50"/>
        <item x="251"/>
        <item x="252"/>
        <item x="253"/>
        <item x="254"/>
        <item x="255"/>
        <item x="256"/>
        <item x="257"/>
        <item x="258"/>
        <item x="259"/>
        <item x="260"/>
        <item x="261"/>
        <item x="262"/>
        <item x="263"/>
        <item x="264"/>
        <item x="265"/>
        <item x="267"/>
        <item x="268"/>
        <item x="269"/>
        <item x="270"/>
        <item x="271"/>
        <item x="272"/>
        <item x="273"/>
        <item x="274"/>
        <item x="275"/>
        <item x="276"/>
        <item x="277"/>
        <item x="278"/>
        <item x="279"/>
        <item x="280"/>
        <item x="281"/>
        <item x="282"/>
        <item x="283"/>
        <item x="284"/>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t="default"/>
      </items>
    </pivotField>
    <pivotField showAll="0"/>
    <pivotField numFmtId="14" showAll="0"/>
    <pivotField numFmtId="164" showAll="0"/>
    <pivotField showAll="0"/>
    <pivotField showAll="0"/>
    <pivotField numFmtId="164" showAll="0"/>
    <pivotField showAll="0"/>
    <pivotField showAll="0"/>
    <pivotField showAll="0"/>
  </pivotFields>
  <rowFields count="1">
    <field x="0"/>
  </rowFields>
  <rowItems count="4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0DF5D2-3542-4D78-8930-30C66BAD3986}" name="Table1" displayName="Table1" ref="B18:L29" totalsRowShown="0" headerRowDxfId="36" headerRowBorderDxfId="35">
  <autoFilter ref="B18:L29" xr:uid="{4A0DF5D2-3542-4D78-8930-30C66BAD3986}"/>
  <sortState xmlns:xlrd2="http://schemas.microsoft.com/office/spreadsheetml/2017/richdata2" ref="B19:F29">
    <sortCondition descending="1" ref="C18:C29"/>
  </sortState>
  <tableColumns count="11">
    <tableColumn id="1" xr3:uid="{59B4DBE1-3AAB-4391-BFF2-CDE5AFE311FC}" name="Row Labels" dataDxfId="34"/>
    <tableColumn id="2" xr3:uid="{E8155C8E-2664-4668-B579-347165E0FDA2}" name="Sum of  Total Revenue " dataDxfId="33"/>
    <tableColumn id="3" xr3:uid="{310C9025-B97E-4F37-BC67-9CC0CBEAA446}" name="Sum of  Cost of Goods Sold " dataDxfId="32"/>
    <tableColumn id="4" xr3:uid="{B2F7FACC-9A30-4F2E-8B2E-1CAD685467C9}" name="Sum of  Sales, General and Admin. " dataDxfId="31"/>
    <tableColumn id="5" xr3:uid="{9D8AA121-5F03-46D1-8E6B-84DD4841BB70}" name="Sum of  Research and Development " dataDxfId="30"/>
    <tableColumn id="6" xr3:uid="{F059E7DE-5CB4-425C-BB1B-2AC728ADC324}" name="Sum of  Other Operating Items " dataDxfId="29"/>
    <tableColumn id="7" xr3:uid="{E2286BB2-5365-4F28-91A2-37503C52DF31}" name="Gross Profit" dataDxfId="28">
      <calculatedColumnFormula>C19-D19</calculatedColumnFormula>
    </tableColumn>
    <tableColumn id="8" xr3:uid="{F8F4789D-3D9D-44A8-8EF6-2480F3C7D05C}" name="Operating Profit" dataDxfId="27">
      <calculatedColumnFormula>H19-SUM(Table1[[#This Row],[Sum of  Sales, General and Admin. ]:[Sum of  Other Operating Items ]])</calculatedColumnFormula>
    </tableColumn>
    <tableColumn id="11" xr3:uid="{EAF26E06-3516-46F1-9358-73165FF10ED4}" name="Total Spending" dataDxfId="26">
      <calculatedColumnFormula>SUM(Table1[[#This Row],[Sum of  Cost of Goods Sold ]:[Sum of  Other Operating Items ]])</calculatedColumnFormula>
    </tableColumn>
    <tableColumn id="9" xr3:uid="{972E9EB3-D183-4B62-8DE8-54A72556BAEE}" name="Gross Margin" dataDxfId="25" dataCellStyle="Percent">
      <calculatedColumnFormula>Table1[[#This Row],[Gross Profit]]/Table1[[#This Row],[Sum of  Total Revenue ]]</calculatedColumnFormula>
    </tableColumn>
    <tableColumn id="10" xr3:uid="{EE0E06F5-1D89-4166-A8A8-4FAFE8335B5F}" name="Operating Margin" dataDxfId="24" dataCellStyle="Percent">
      <calculatedColumnFormula>Table1[[#This Row],[Operating Profit]]/Table1[[#This Row],[Sum of  Total Revenue ]]</calculatedColumnFormula>
    </tableColumn>
  </tableColumns>
  <tableStyleInfo name="PivotStyleMedium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3E510FC-43F4-4F05-8AAE-65B9D9BC56D7}" name="Table6" displayName="Table6" ref="A1:N231" totalsRowShown="0" headerRowDxfId="11" dataDxfId="10" dataCellStyle="Currency">
  <autoFilter ref="A1:N231" xr:uid="{B3E510FC-43F4-4F05-8AAE-65B9D9BC56D7}"/>
  <sortState xmlns:xlrd2="http://schemas.microsoft.com/office/spreadsheetml/2017/richdata2" ref="A2:N231">
    <sortCondition ref="J1:J231"/>
  </sortState>
  <tableColumns count="14">
    <tableColumn id="1" xr3:uid="{4A6736CA-57AF-448B-ABC9-FF69EF5DA1AB}" name="Ticker Symbol"/>
    <tableColumn id="2" xr3:uid="{91775E4F-D36F-48C3-A796-CE085B146094}" name="Years"/>
    <tableColumn id="3" xr3:uid="{8976CBDA-2364-4219-8F2A-5ADC2E665565}" name="Period Ending" dataDxfId="9"/>
    <tableColumn id="4" xr3:uid="{3C450D33-DE55-4A3A-9DF9-43D6F13D9D10}" name="Total Revenue" dataDxfId="8" dataCellStyle="Currency"/>
    <tableColumn id="5" xr3:uid="{6CB5BA0E-EBE1-46BC-882C-251E849D7055}" name="Cost of Goods Sold" dataDxfId="7" dataCellStyle="Currency"/>
    <tableColumn id="6" xr3:uid="{1964EDDD-8AB0-4802-BDA2-EAE48A16B532}" name="Sales, General and Admin." dataDxfId="6" dataCellStyle="Currency"/>
    <tableColumn id="7" xr3:uid="{FD316B14-DCBB-4FE4-A11F-716F765AA2B0}" name="Research and Development" dataDxfId="5" dataCellStyle="Currency"/>
    <tableColumn id="8" xr3:uid="{5CA57CAA-0227-47F8-959C-8C82C6AC1FAE}" name="Other Operating Items" dataDxfId="4" dataCellStyle="Currency"/>
    <tableColumn id="9" xr3:uid="{E896E3AC-92D9-4DA9-B748-65A9C24EC567}" name="GICS Sector"/>
    <tableColumn id="10" xr3:uid="{BAB81A1E-A788-4166-9F09-54AFD9B3214F}" name="GICS Sub Industry"/>
    <tableColumn id="11" xr3:uid="{177B270F-396F-4011-8710-9CE58DE4AE52}" name="Gross Profit" dataDxfId="3" dataCellStyle="Currency"/>
    <tableColumn id="12" xr3:uid="{B4DAEACB-2003-44FD-999B-C32EAB801FF6}" name="Total Operating Expence" dataDxfId="2" dataCellStyle="Currency"/>
    <tableColumn id="13" xr3:uid="{F102B67D-4E56-48E9-A096-BF60E3F3A5BE}" name="Operating Profit" dataDxfId="1" dataCellStyle="Currency"/>
    <tableColumn id="14" xr3:uid="{059093BD-6E67-46AB-98D5-66DFE4DBB531}" name="Total Operating Exp(Bins)" dataDxfId="0">
      <calculatedColumnFormula>"$" &amp; FLOOR(L2,5000000000)/1000000000 &amp; "-" &amp; FLOOR((L2+5000000000),5000000000)/1000000000 &amp; "B"</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C4FDBB-7C48-4341-B553-9C9922D914D0}">
  <sheetPr codeName="Sheet7"/>
  <dimension ref="A2:L32"/>
  <sheetViews>
    <sheetView tabSelected="1" zoomScale="85" zoomScaleNormal="85" workbookViewId="0">
      <selection activeCell="B17" sqref="B17"/>
    </sheetView>
  </sheetViews>
  <sheetFormatPr defaultRowHeight="15" x14ac:dyDescent="0.25"/>
  <cols>
    <col min="1" max="1" width="2.140625" customWidth="1"/>
    <col min="2" max="2" width="27.7109375" bestFit="1" customWidth="1"/>
    <col min="3" max="3" width="22.7109375" bestFit="1" customWidth="1"/>
    <col min="4" max="4" width="26.5703125" bestFit="1" customWidth="1"/>
    <col min="5" max="5" width="31.85546875" customWidth="1"/>
    <col min="6" max="6" width="30.28515625" customWidth="1"/>
    <col min="7" max="7" width="26" customWidth="1"/>
    <col min="8" max="8" width="25" bestFit="1" customWidth="1"/>
    <col min="9" max="9" width="23.7109375" bestFit="1" customWidth="1"/>
    <col min="10" max="10" width="25" bestFit="1" customWidth="1"/>
    <col min="11" max="11" width="17.5703125" bestFit="1" customWidth="1"/>
    <col min="12" max="12" width="18.7109375" bestFit="1" customWidth="1"/>
    <col min="13" max="13" width="17.140625" customWidth="1"/>
    <col min="14" max="41" width="13.7109375" bestFit="1" customWidth="1"/>
    <col min="42" max="945" width="15.28515625" bestFit="1" customWidth="1"/>
    <col min="946" max="1624" width="16.28515625" bestFit="1" customWidth="1"/>
    <col min="1625" max="1693" width="17.42578125" bestFit="1" customWidth="1"/>
    <col min="1694" max="1694" width="12.7109375" bestFit="1" customWidth="1"/>
  </cols>
  <sheetData>
    <row r="2" spans="2:12" ht="26.25" x14ac:dyDescent="0.4">
      <c r="B2" s="169" t="s">
        <v>684</v>
      </c>
    </row>
    <row r="3" spans="2:12" x14ac:dyDescent="0.25">
      <c r="B3" s="2" t="s">
        <v>572</v>
      </c>
      <c r="C3" t="s">
        <v>582</v>
      </c>
      <c r="D3" t="s">
        <v>583</v>
      </c>
      <c r="E3" t="s">
        <v>585</v>
      </c>
      <c r="F3" t="s">
        <v>584</v>
      </c>
      <c r="G3" t="s">
        <v>586</v>
      </c>
      <c r="H3" s="168" t="s">
        <v>570</v>
      </c>
      <c r="I3" s="168" t="s">
        <v>589</v>
      </c>
      <c r="J3" s="168" t="s">
        <v>592</v>
      </c>
      <c r="K3" s="168" t="s">
        <v>587</v>
      </c>
      <c r="L3" s="168" t="s">
        <v>588</v>
      </c>
    </row>
    <row r="4" spans="2:12" x14ac:dyDescent="0.25">
      <c r="B4" s="3" t="s">
        <v>30</v>
      </c>
      <c r="C4" s="1">
        <v>5729846251000</v>
      </c>
      <c r="D4" s="1">
        <v>4220582806000</v>
      </c>
      <c r="E4" s="1">
        <v>930496467000</v>
      </c>
      <c r="F4" s="1">
        <v>7251067000</v>
      </c>
      <c r="G4" s="1">
        <v>9851163000</v>
      </c>
      <c r="H4" s="1">
        <f>C4-D4</f>
        <v>1509263445000</v>
      </c>
      <c r="I4" s="1">
        <f t="shared" ref="I4:I14" si="0">H4-(E4+F4+G4)</f>
        <v>561664748000</v>
      </c>
      <c r="J4" s="1">
        <f>SUM(D4:G4)</f>
        <v>5168181503000</v>
      </c>
      <c r="K4" s="7">
        <f t="shared" ref="K4:K15" si="1">H4/C4</f>
        <v>0.2634038295070476</v>
      </c>
      <c r="L4" s="7">
        <f t="shared" ref="L4:L15" si="2">I4/C4</f>
        <v>9.8024401248458556E-2</v>
      </c>
    </row>
    <row r="5" spans="2:12" x14ac:dyDescent="0.25">
      <c r="B5" s="3" t="s">
        <v>13</v>
      </c>
      <c r="C5" s="1">
        <v>5623668607000</v>
      </c>
      <c r="D5" s="1">
        <v>3910065646000</v>
      </c>
      <c r="E5" s="1">
        <v>1061780331000</v>
      </c>
      <c r="F5" s="1">
        <v>2387148000</v>
      </c>
      <c r="G5" s="1">
        <v>75189031000</v>
      </c>
      <c r="H5" s="1">
        <f t="shared" ref="H5:H15" si="3">C5-D5</f>
        <v>1713602961000</v>
      </c>
      <c r="I5" s="1">
        <f t="shared" si="0"/>
        <v>574246451000</v>
      </c>
      <c r="J5" s="1">
        <f t="shared" ref="J5:J15" si="4">SUM(D5:G5)</f>
        <v>5049422156000</v>
      </c>
      <c r="K5" s="7">
        <f t="shared" si="1"/>
        <v>0.30471264947351473</v>
      </c>
      <c r="L5" s="7">
        <f t="shared" si="2"/>
        <v>0.10211242715924139</v>
      </c>
    </row>
    <row r="6" spans="2:12" x14ac:dyDescent="0.25">
      <c r="B6" s="3" t="s">
        <v>77</v>
      </c>
      <c r="C6" s="1">
        <v>4834114768000</v>
      </c>
      <c r="D6" s="1">
        <v>3426183542000</v>
      </c>
      <c r="E6" s="1">
        <v>614425061000</v>
      </c>
      <c r="F6" s="1">
        <v>2076513000</v>
      </c>
      <c r="G6" s="1">
        <v>351150113000</v>
      </c>
      <c r="H6" s="1">
        <f t="shared" si="3"/>
        <v>1407931226000</v>
      </c>
      <c r="I6" s="1">
        <f t="shared" si="0"/>
        <v>440279539000</v>
      </c>
      <c r="J6" s="1">
        <f t="shared" si="4"/>
        <v>4393835229000</v>
      </c>
      <c r="K6" s="7">
        <f t="shared" si="1"/>
        <v>0.29124902770616223</v>
      </c>
      <c r="L6" s="7">
        <f t="shared" si="2"/>
        <v>9.1077593340249799E-2</v>
      </c>
    </row>
    <row r="7" spans="2:12" x14ac:dyDescent="0.25">
      <c r="B7" s="3" t="s">
        <v>19</v>
      </c>
      <c r="C7" s="1">
        <v>4458012375000</v>
      </c>
      <c r="D7" s="1">
        <v>2915196726000</v>
      </c>
      <c r="E7" s="1">
        <v>594523810000</v>
      </c>
      <c r="F7" s="1">
        <v>204122900000</v>
      </c>
      <c r="G7" s="1">
        <v>260561290000</v>
      </c>
      <c r="H7" s="1">
        <f t="shared" si="3"/>
        <v>1542815649000</v>
      </c>
      <c r="I7" s="1">
        <f t="shared" si="0"/>
        <v>483607649000</v>
      </c>
      <c r="J7" s="1">
        <f t="shared" si="4"/>
        <v>3974404726000</v>
      </c>
      <c r="K7" s="7">
        <f t="shared" si="1"/>
        <v>0.34607702249817107</v>
      </c>
      <c r="L7" s="7">
        <f t="shared" si="2"/>
        <v>0.10848055328693429</v>
      </c>
    </row>
    <row r="8" spans="2:12" x14ac:dyDescent="0.25">
      <c r="B8" s="3" t="s">
        <v>7</v>
      </c>
      <c r="C8" s="1">
        <v>4103821019000</v>
      </c>
      <c r="D8" s="1">
        <v>2556081614000</v>
      </c>
      <c r="E8" s="1">
        <v>889318825000</v>
      </c>
      <c r="F8" s="1">
        <v>57699749000</v>
      </c>
      <c r="G8" s="1">
        <v>82636274000</v>
      </c>
      <c r="H8" s="1">
        <f t="shared" si="3"/>
        <v>1547739405000</v>
      </c>
      <c r="I8" s="1">
        <f t="shared" si="0"/>
        <v>518084557000</v>
      </c>
      <c r="J8" s="1">
        <f t="shared" si="4"/>
        <v>3585736462000</v>
      </c>
      <c r="K8" s="7">
        <f t="shared" si="1"/>
        <v>0.3771459324941871</v>
      </c>
      <c r="L8" s="7">
        <f t="shared" si="2"/>
        <v>0.12624443283499837</v>
      </c>
    </row>
    <row r="9" spans="2:12" x14ac:dyDescent="0.25">
      <c r="B9" s="3" t="s">
        <v>16</v>
      </c>
      <c r="C9" s="1">
        <v>3662792220000</v>
      </c>
      <c r="D9" s="1">
        <v>1888087165000</v>
      </c>
      <c r="E9" s="1">
        <v>610328801000</v>
      </c>
      <c r="F9" s="1">
        <v>325038637000</v>
      </c>
      <c r="G9" s="1">
        <v>18863041000</v>
      </c>
      <c r="H9" s="1">
        <f t="shared" si="3"/>
        <v>1774705055000</v>
      </c>
      <c r="I9" s="1">
        <f t="shared" si="0"/>
        <v>820474576000</v>
      </c>
      <c r="J9" s="1">
        <f t="shared" si="4"/>
        <v>2842317644000</v>
      </c>
      <c r="K9" s="7">
        <f t="shared" si="1"/>
        <v>0.4845224485597493</v>
      </c>
      <c r="L9" s="7">
        <f t="shared" si="2"/>
        <v>0.22400248955426688</v>
      </c>
    </row>
    <row r="10" spans="2:12" x14ac:dyDescent="0.25">
      <c r="B10" s="3" t="s">
        <v>41</v>
      </c>
      <c r="C10" s="1">
        <v>3415396723000</v>
      </c>
      <c r="D10" s="1">
        <v>1046499348000</v>
      </c>
      <c r="E10" s="1">
        <v>1310306286000</v>
      </c>
      <c r="F10" s="1">
        <v>240130000</v>
      </c>
      <c r="G10" s="1">
        <v>333058181000</v>
      </c>
      <c r="H10" s="1">
        <f t="shared" si="3"/>
        <v>2368897375000</v>
      </c>
      <c r="I10" s="1">
        <f t="shared" si="0"/>
        <v>725292778000</v>
      </c>
      <c r="J10" s="1">
        <f t="shared" si="4"/>
        <v>2690103945000</v>
      </c>
      <c r="K10" s="7">
        <f t="shared" si="1"/>
        <v>0.69359361946076326</v>
      </c>
      <c r="L10" s="7">
        <f t="shared" si="2"/>
        <v>0.21235974524298329</v>
      </c>
    </row>
    <row r="11" spans="2:12" x14ac:dyDescent="0.25">
      <c r="B11" s="3" t="s">
        <v>176</v>
      </c>
      <c r="C11" s="1">
        <v>1150747853000</v>
      </c>
      <c r="D11" s="1">
        <v>473606000000</v>
      </c>
      <c r="E11" s="1">
        <v>311963141000</v>
      </c>
      <c r="F11" s="1">
        <v>0</v>
      </c>
      <c r="G11" s="1">
        <v>168799807000</v>
      </c>
      <c r="H11" s="1">
        <f t="shared" si="3"/>
        <v>677141853000</v>
      </c>
      <c r="I11" s="1">
        <f t="shared" si="0"/>
        <v>196378905000</v>
      </c>
      <c r="J11" s="1">
        <f t="shared" si="4"/>
        <v>954368948000</v>
      </c>
      <c r="K11" s="7">
        <f t="shared" si="1"/>
        <v>0.58843633836438713</v>
      </c>
      <c r="L11" s="7">
        <f t="shared" si="2"/>
        <v>0.17065328819692355</v>
      </c>
    </row>
    <row r="12" spans="2:12" x14ac:dyDescent="0.25">
      <c r="B12" s="3" t="s">
        <v>53</v>
      </c>
      <c r="C12" s="1">
        <v>1124278980000</v>
      </c>
      <c r="D12" s="1">
        <v>798181266000</v>
      </c>
      <c r="E12" s="1">
        <v>143884659000</v>
      </c>
      <c r="F12" s="1">
        <v>22497838000</v>
      </c>
      <c r="G12" s="1">
        <v>18778600000</v>
      </c>
      <c r="H12" s="1">
        <f t="shared" si="3"/>
        <v>326097714000</v>
      </c>
      <c r="I12" s="1">
        <f t="shared" si="0"/>
        <v>140936617000</v>
      </c>
      <c r="J12" s="1">
        <f t="shared" si="4"/>
        <v>983342363000</v>
      </c>
      <c r="K12" s="7">
        <f t="shared" si="1"/>
        <v>0.29005052998500425</v>
      </c>
      <c r="L12" s="7">
        <f t="shared" si="2"/>
        <v>0.12535733524076026</v>
      </c>
    </row>
    <row r="13" spans="2:12" x14ac:dyDescent="0.25">
      <c r="B13" s="3" t="s">
        <v>36</v>
      </c>
      <c r="C13" s="1">
        <v>1069025171000</v>
      </c>
      <c r="D13" s="1">
        <v>646648002000</v>
      </c>
      <c r="E13" s="1">
        <v>94694149000</v>
      </c>
      <c r="F13" s="1">
        <v>0</v>
      </c>
      <c r="G13" s="1">
        <v>120576281000</v>
      </c>
      <c r="H13" s="1">
        <f t="shared" si="3"/>
        <v>422377169000</v>
      </c>
      <c r="I13" s="1">
        <f t="shared" si="0"/>
        <v>207106739000</v>
      </c>
      <c r="J13" s="1">
        <f t="shared" si="4"/>
        <v>861918432000</v>
      </c>
      <c r="K13" s="7">
        <f t="shared" si="1"/>
        <v>0.39510498018011592</v>
      </c>
      <c r="L13" s="7">
        <f t="shared" si="2"/>
        <v>0.19373420254105503</v>
      </c>
    </row>
    <row r="14" spans="2:12" x14ac:dyDescent="0.25">
      <c r="B14" s="3" t="s">
        <v>46</v>
      </c>
      <c r="C14" s="1">
        <v>261218429000</v>
      </c>
      <c r="D14" s="1">
        <v>118006079000</v>
      </c>
      <c r="E14" s="1">
        <v>28678772000</v>
      </c>
      <c r="F14" s="1">
        <v>148210000</v>
      </c>
      <c r="G14" s="1">
        <v>48351741000</v>
      </c>
      <c r="H14" s="1">
        <f t="shared" si="3"/>
        <v>143212350000</v>
      </c>
      <c r="I14" s="1">
        <f t="shared" si="0"/>
        <v>66033627000</v>
      </c>
      <c r="J14" s="1">
        <f t="shared" si="4"/>
        <v>195184802000</v>
      </c>
      <c r="K14" s="7">
        <f t="shared" si="1"/>
        <v>0.54824749749949686</v>
      </c>
      <c r="L14" s="7">
        <f t="shared" si="2"/>
        <v>0.25279084348218017</v>
      </c>
    </row>
    <row r="15" spans="2:12" x14ac:dyDescent="0.25">
      <c r="B15" s="3" t="s">
        <v>573</v>
      </c>
      <c r="C15" s="1">
        <v>35432922396000</v>
      </c>
      <c r="D15" s="1">
        <v>21999138194000</v>
      </c>
      <c r="E15" s="1">
        <v>6590400302000</v>
      </c>
      <c r="F15" s="1">
        <v>621462192000</v>
      </c>
      <c r="G15" s="4">
        <v>1487815522000</v>
      </c>
      <c r="H15" s="8">
        <f t="shared" si="3"/>
        <v>13433784202000</v>
      </c>
      <c r="I15" s="8">
        <f>SUM(I4:I14)</f>
        <v>4734106186000</v>
      </c>
      <c r="J15" s="14">
        <f t="shared" si="4"/>
        <v>30698816210000</v>
      </c>
      <c r="K15" s="9">
        <f t="shared" si="1"/>
        <v>0.3791328316604371</v>
      </c>
      <c r="L15" s="9">
        <f t="shared" si="2"/>
        <v>0.13360755664157214</v>
      </c>
    </row>
    <row r="18" spans="1:12" x14ac:dyDescent="0.25">
      <c r="B18" s="11" t="s">
        <v>572</v>
      </c>
      <c r="C18" s="11" t="s">
        <v>582</v>
      </c>
      <c r="D18" s="11" t="s">
        <v>583</v>
      </c>
      <c r="E18" s="11" t="s">
        <v>585</v>
      </c>
      <c r="F18" s="11" t="s">
        <v>584</v>
      </c>
      <c r="G18" s="16" t="s">
        <v>586</v>
      </c>
      <c r="H18" s="12" t="s">
        <v>570</v>
      </c>
      <c r="I18" s="11" t="s">
        <v>589</v>
      </c>
      <c r="J18" s="15" t="s">
        <v>592</v>
      </c>
      <c r="K18" s="12" t="s">
        <v>587</v>
      </c>
      <c r="L18" s="11" t="s">
        <v>588</v>
      </c>
    </row>
    <row r="19" spans="1:12" x14ac:dyDescent="0.25">
      <c r="B19" s="17" t="s">
        <v>30</v>
      </c>
      <c r="C19" s="1">
        <v>5729846251000</v>
      </c>
      <c r="D19" s="1">
        <v>4220582806000</v>
      </c>
      <c r="E19" s="1">
        <v>930496467000</v>
      </c>
      <c r="F19" s="1">
        <v>7251067000</v>
      </c>
      <c r="G19" s="1">
        <v>9851163000</v>
      </c>
      <c r="H19" s="1">
        <f>C19-D19</f>
        <v>1509263445000</v>
      </c>
      <c r="I19" s="1">
        <f>H19-SUM(Table1[[#This Row],[Sum of  Sales, General and Admin. ]:[Sum of  Other Operating Items ]])</f>
        <v>561664748000</v>
      </c>
      <c r="J19" s="1">
        <f>SUM(Table1[[#This Row],[Sum of  Cost of Goods Sold ]:[Sum of  Other Operating Items ]])</f>
        <v>5168181503000</v>
      </c>
      <c r="K19" s="7">
        <f>Table1[[#This Row],[Gross Profit]]/Table1[[#This Row],[Sum of  Total Revenue ]]</f>
        <v>0.2634038295070476</v>
      </c>
      <c r="L19" s="7">
        <f>Table1[[#This Row],[Operating Profit]]/Table1[[#This Row],[Sum of  Total Revenue ]]</f>
        <v>9.8024401248458556E-2</v>
      </c>
    </row>
    <row r="20" spans="1:12" x14ac:dyDescent="0.25">
      <c r="B20" s="17" t="s">
        <v>13</v>
      </c>
      <c r="C20" s="1">
        <v>5623668607000</v>
      </c>
      <c r="D20" s="1">
        <v>3910065646000</v>
      </c>
      <c r="E20" s="1">
        <v>1061780331000</v>
      </c>
      <c r="F20" s="1">
        <v>2387148000</v>
      </c>
      <c r="G20" s="1">
        <v>75189031000</v>
      </c>
      <c r="H20" s="1">
        <f t="shared" ref="H20:H29" si="5">C20-D20</f>
        <v>1713602961000</v>
      </c>
      <c r="I20" s="1">
        <f>H20-SUM(Table1[[#This Row],[Sum of  Sales, General and Admin. ]:[Sum of  Other Operating Items ]])</f>
        <v>574246451000</v>
      </c>
      <c r="J20" s="1">
        <f>SUM(Table1[[#This Row],[Sum of  Cost of Goods Sold ]:[Sum of  Other Operating Items ]])</f>
        <v>5049422156000</v>
      </c>
      <c r="K20" s="7">
        <f>Table1[[#This Row],[Gross Profit]]/Table1[[#This Row],[Sum of  Total Revenue ]]</f>
        <v>0.30471264947351473</v>
      </c>
      <c r="L20" s="7">
        <f>Table1[[#This Row],[Operating Profit]]/Table1[[#This Row],[Sum of  Total Revenue ]]</f>
        <v>0.10211242715924139</v>
      </c>
    </row>
    <row r="21" spans="1:12" x14ac:dyDescent="0.25">
      <c r="B21" s="17" t="s">
        <v>77</v>
      </c>
      <c r="C21" s="1">
        <v>4834114768000</v>
      </c>
      <c r="D21" s="1">
        <v>3426183542000</v>
      </c>
      <c r="E21" s="1">
        <v>614425061000</v>
      </c>
      <c r="F21" s="1">
        <v>2076513000</v>
      </c>
      <c r="G21" s="1">
        <v>351150113000</v>
      </c>
      <c r="H21" s="1">
        <f t="shared" si="5"/>
        <v>1407931226000</v>
      </c>
      <c r="I21" s="1">
        <f>H21-SUM(Table1[[#This Row],[Sum of  Sales, General and Admin. ]:[Sum of  Other Operating Items ]])</f>
        <v>440279539000</v>
      </c>
      <c r="J21" s="1">
        <f>SUM(Table1[[#This Row],[Sum of  Cost of Goods Sold ]:[Sum of  Other Operating Items ]])</f>
        <v>4393835229000</v>
      </c>
      <c r="K21" s="7">
        <f>Table1[[#This Row],[Gross Profit]]/Table1[[#This Row],[Sum of  Total Revenue ]]</f>
        <v>0.29124902770616223</v>
      </c>
      <c r="L21" s="7">
        <f>Table1[[#This Row],[Operating Profit]]/Table1[[#This Row],[Sum of  Total Revenue ]]</f>
        <v>9.1077593340249799E-2</v>
      </c>
    </row>
    <row r="22" spans="1:12" x14ac:dyDescent="0.25">
      <c r="B22" s="17" t="s">
        <v>19</v>
      </c>
      <c r="C22" s="1">
        <v>4458012375000</v>
      </c>
      <c r="D22" s="1">
        <v>2915196726000</v>
      </c>
      <c r="E22" s="1">
        <v>594523810000</v>
      </c>
      <c r="F22" s="1">
        <v>204122900000</v>
      </c>
      <c r="G22" s="1">
        <v>260561290000</v>
      </c>
      <c r="H22" s="1">
        <f t="shared" si="5"/>
        <v>1542815649000</v>
      </c>
      <c r="I22" s="1">
        <f>H22-SUM(Table1[[#This Row],[Sum of  Sales, General and Admin. ]:[Sum of  Other Operating Items ]])</f>
        <v>483607649000</v>
      </c>
      <c r="J22" s="1">
        <f>SUM(Table1[[#This Row],[Sum of  Cost of Goods Sold ]:[Sum of  Other Operating Items ]])</f>
        <v>3974404726000</v>
      </c>
      <c r="K22" s="7">
        <f>Table1[[#This Row],[Gross Profit]]/Table1[[#This Row],[Sum of  Total Revenue ]]</f>
        <v>0.34607702249817107</v>
      </c>
      <c r="L22" s="7">
        <f>Table1[[#This Row],[Operating Profit]]/Table1[[#This Row],[Sum of  Total Revenue ]]</f>
        <v>0.10848055328693429</v>
      </c>
    </row>
    <row r="23" spans="1:12" x14ac:dyDescent="0.25">
      <c r="B23" s="17" t="s">
        <v>7</v>
      </c>
      <c r="C23" s="1">
        <v>4103821019000</v>
      </c>
      <c r="D23" s="1">
        <v>2556081614000</v>
      </c>
      <c r="E23" s="1">
        <v>889318825000</v>
      </c>
      <c r="F23" s="1">
        <v>57699749000</v>
      </c>
      <c r="G23" s="1">
        <v>82636274000</v>
      </c>
      <c r="H23" s="1">
        <f t="shared" si="5"/>
        <v>1547739405000</v>
      </c>
      <c r="I23" s="1">
        <f>H23-SUM(Table1[[#This Row],[Sum of  Sales, General and Admin. ]:[Sum of  Other Operating Items ]])</f>
        <v>518084557000</v>
      </c>
      <c r="J23" s="1">
        <f>SUM(Table1[[#This Row],[Sum of  Cost of Goods Sold ]:[Sum of  Other Operating Items ]])</f>
        <v>3585736462000</v>
      </c>
      <c r="K23" s="7">
        <f>Table1[[#This Row],[Gross Profit]]/Table1[[#This Row],[Sum of  Total Revenue ]]</f>
        <v>0.3771459324941871</v>
      </c>
      <c r="L23" s="7">
        <f>Table1[[#This Row],[Operating Profit]]/Table1[[#This Row],[Sum of  Total Revenue ]]</f>
        <v>0.12624443283499837</v>
      </c>
    </row>
    <row r="24" spans="1:12" x14ac:dyDescent="0.25">
      <c r="B24" s="17" t="s">
        <v>16</v>
      </c>
      <c r="C24" s="1">
        <v>3662792220000</v>
      </c>
      <c r="D24" s="1">
        <v>1888087165000</v>
      </c>
      <c r="E24" s="1">
        <v>610328801000</v>
      </c>
      <c r="F24" s="1">
        <v>325038637000</v>
      </c>
      <c r="G24" s="1">
        <v>18863041000</v>
      </c>
      <c r="H24" s="1">
        <f t="shared" si="5"/>
        <v>1774705055000</v>
      </c>
      <c r="I24" s="1">
        <f>H24-SUM(Table1[[#This Row],[Sum of  Sales, General and Admin. ]:[Sum of  Other Operating Items ]])</f>
        <v>820474576000</v>
      </c>
      <c r="J24" s="1">
        <f>SUM(Table1[[#This Row],[Sum of  Cost of Goods Sold ]:[Sum of  Other Operating Items ]])</f>
        <v>2842317644000</v>
      </c>
      <c r="K24" s="7">
        <f>Table1[[#This Row],[Gross Profit]]/Table1[[#This Row],[Sum of  Total Revenue ]]</f>
        <v>0.4845224485597493</v>
      </c>
      <c r="L24" s="7">
        <f>Table1[[#This Row],[Operating Profit]]/Table1[[#This Row],[Sum of  Total Revenue ]]</f>
        <v>0.22400248955426688</v>
      </c>
    </row>
    <row r="25" spans="1:12" x14ac:dyDescent="0.25">
      <c r="B25" s="17" t="s">
        <v>41</v>
      </c>
      <c r="C25" s="1">
        <v>3415396723000</v>
      </c>
      <c r="D25" s="1">
        <v>1046499348000</v>
      </c>
      <c r="E25" s="1">
        <v>1310306286000</v>
      </c>
      <c r="F25" s="1">
        <v>240130000</v>
      </c>
      <c r="G25" s="1">
        <v>333058181000</v>
      </c>
      <c r="H25" s="1">
        <f t="shared" si="5"/>
        <v>2368897375000</v>
      </c>
      <c r="I25" s="1">
        <f>H25-SUM(Table1[[#This Row],[Sum of  Sales, General and Admin. ]:[Sum of  Other Operating Items ]])</f>
        <v>725292778000</v>
      </c>
      <c r="J25" s="1">
        <f>SUM(Table1[[#This Row],[Sum of  Cost of Goods Sold ]:[Sum of  Other Operating Items ]])</f>
        <v>2690103945000</v>
      </c>
      <c r="K25" s="7">
        <f>Table1[[#This Row],[Gross Profit]]/Table1[[#This Row],[Sum of  Total Revenue ]]</f>
        <v>0.69359361946076326</v>
      </c>
      <c r="L25" s="7">
        <f>Table1[[#This Row],[Operating Profit]]/Table1[[#This Row],[Sum of  Total Revenue ]]</f>
        <v>0.21235974524298329</v>
      </c>
    </row>
    <row r="26" spans="1:12" x14ac:dyDescent="0.25">
      <c r="B26" s="17" t="s">
        <v>176</v>
      </c>
      <c r="C26" s="1">
        <v>1150747853000</v>
      </c>
      <c r="D26" s="1">
        <v>473606000000</v>
      </c>
      <c r="E26" s="1">
        <v>311963141000</v>
      </c>
      <c r="F26" s="1">
        <v>0</v>
      </c>
      <c r="G26" s="1">
        <v>168799807000</v>
      </c>
      <c r="H26" s="1">
        <f t="shared" si="5"/>
        <v>677141853000</v>
      </c>
      <c r="I26" s="1">
        <f>H26-SUM(Table1[[#This Row],[Sum of  Sales, General and Admin. ]:[Sum of  Other Operating Items ]])</f>
        <v>196378905000</v>
      </c>
      <c r="J26" s="1">
        <f>SUM(Table1[[#This Row],[Sum of  Cost of Goods Sold ]:[Sum of  Other Operating Items ]])</f>
        <v>954368948000</v>
      </c>
      <c r="K26" s="7">
        <f>Table1[[#This Row],[Gross Profit]]/Table1[[#This Row],[Sum of  Total Revenue ]]</f>
        <v>0.58843633836438713</v>
      </c>
      <c r="L26" s="7">
        <f>Table1[[#This Row],[Operating Profit]]/Table1[[#This Row],[Sum of  Total Revenue ]]</f>
        <v>0.17065328819692355</v>
      </c>
    </row>
    <row r="27" spans="1:12" x14ac:dyDescent="0.25">
      <c r="B27" s="17" t="s">
        <v>53</v>
      </c>
      <c r="C27" s="1">
        <v>1124278980000</v>
      </c>
      <c r="D27" s="1">
        <v>798181266000</v>
      </c>
      <c r="E27" s="1">
        <v>143884659000</v>
      </c>
      <c r="F27" s="1">
        <v>22497838000</v>
      </c>
      <c r="G27" s="1">
        <v>18778600000</v>
      </c>
      <c r="H27" s="1">
        <f t="shared" si="5"/>
        <v>326097714000</v>
      </c>
      <c r="I27" s="1">
        <f>H27-SUM(Table1[[#This Row],[Sum of  Sales, General and Admin. ]:[Sum of  Other Operating Items ]])</f>
        <v>140936617000</v>
      </c>
      <c r="J27" s="1">
        <f>SUM(Table1[[#This Row],[Sum of  Cost of Goods Sold ]:[Sum of  Other Operating Items ]])</f>
        <v>983342363000</v>
      </c>
      <c r="K27" s="7">
        <f>Table1[[#This Row],[Gross Profit]]/Table1[[#This Row],[Sum of  Total Revenue ]]</f>
        <v>0.29005052998500425</v>
      </c>
      <c r="L27" s="7">
        <f>Table1[[#This Row],[Operating Profit]]/Table1[[#This Row],[Sum of  Total Revenue ]]</f>
        <v>0.12535733524076026</v>
      </c>
    </row>
    <row r="28" spans="1:12" x14ac:dyDescent="0.25">
      <c r="B28" s="17" t="s">
        <v>36</v>
      </c>
      <c r="C28" s="1">
        <v>1069025171000</v>
      </c>
      <c r="D28" s="1">
        <v>646648002000</v>
      </c>
      <c r="E28" s="1">
        <v>94694149000</v>
      </c>
      <c r="F28" s="1">
        <v>0</v>
      </c>
      <c r="G28" s="1">
        <v>120576281000</v>
      </c>
      <c r="H28" s="1">
        <f t="shared" si="5"/>
        <v>422377169000</v>
      </c>
      <c r="I28" s="1">
        <f>H28-SUM(Table1[[#This Row],[Sum of  Sales, General and Admin. ]:[Sum of  Other Operating Items ]])</f>
        <v>207106739000</v>
      </c>
      <c r="J28" s="1">
        <f>SUM(Table1[[#This Row],[Sum of  Cost of Goods Sold ]:[Sum of  Other Operating Items ]])</f>
        <v>861918432000</v>
      </c>
      <c r="K28" s="7">
        <f>Table1[[#This Row],[Gross Profit]]/Table1[[#This Row],[Sum of  Total Revenue ]]</f>
        <v>0.39510498018011592</v>
      </c>
      <c r="L28" s="7">
        <f>Table1[[#This Row],[Operating Profit]]/Table1[[#This Row],[Sum of  Total Revenue ]]</f>
        <v>0.19373420254105503</v>
      </c>
    </row>
    <row r="29" spans="1:12" x14ac:dyDescent="0.25">
      <c r="B29" s="13" t="s">
        <v>46</v>
      </c>
      <c r="C29" s="1">
        <v>261218429000</v>
      </c>
      <c r="D29" s="1">
        <v>118006079000</v>
      </c>
      <c r="E29" s="1">
        <v>28678772000</v>
      </c>
      <c r="F29" s="1">
        <v>148210000</v>
      </c>
      <c r="G29" s="1">
        <v>48351741000</v>
      </c>
      <c r="H29" s="1">
        <f t="shared" si="5"/>
        <v>143212350000</v>
      </c>
      <c r="I29" s="1">
        <f>H29-SUM(Table1[[#This Row],[Sum of  Sales, General and Admin. ]:[Sum of  Other Operating Items ]])</f>
        <v>66033627000</v>
      </c>
      <c r="J29" s="1">
        <f>SUM(Table1[[#This Row],[Sum of  Cost of Goods Sold ]:[Sum of  Other Operating Items ]])</f>
        <v>195184802000</v>
      </c>
      <c r="K29" s="7">
        <f>Table1[[#This Row],[Gross Profit]]/Table1[[#This Row],[Sum of  Total Revenue ]]</f>
        <v>0.54824749749949686</v>
      </c>
      <c r="L29" s="7">
        <f>Table1[[#This Row],[Operating Profit]]/Table1[[#This Row],[Sum of  Total Revenue ]]</f>
        <v>0.25279084348218017</v>
      </c>
    </row>
    <row r="30" spans="1:12" x14ac:dyDescent="0.25">
      <c r="A30" t="s">
        <v>590</v>
      </c>
    </row>
    <row r="32" spans="1:12" x14ac:dyDescent="0.25">
      <c r="D32" t="s">
        <v>591</v>
      </c>
    </row>
  </sheetData>
  <pageMargins left="0.7" right="0.7" top="0.75" bottom="0.75" header="0.3" footer="0.3"/>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17F0B-4032-42D4-9984-8CED3F9A3CF6}">
  <sheetPr codeName="Sheet1"/>
  <dimension ref="A1:N1711"/>
  <sheetViews>
    <sheetView zoomScaleNormal="100" workbookViewId="0">
      <selection activeCell="K25" sqref="K25"/>
    </sheetView>
  </sheetViews>
  <sheetFormatPr defaultRowHeight="15" x14ac:dyDescent="0.25"/>
  <cols>
    <col min="1" max="1" width="15.7109375" customWidth="1"/>
    <col min="2" max="2" width="8.140625" customWidth="1"/>
    <col min="3" max="3" width="15.5703125" customWidth="1"/>
    <col min="4" max="4" width="20" bestFit="1" customWidth="1"/>
    <col min="5" max="5" width="20.42578125" style="1" customWidth="1"/>
    <col min="6" max="6" width="26.5703125" customWidth="1"/>
    <col min="7" max="7" width="28" customWidth="1"/>
    <col min="8" max="8" width="23.140625" customWidth="1"/>
    <col min="9" max="9" width="27.7109375" bestFit="1" customWidth="1"/>
    <col min="10" max="10" width="44" bestFit="1" customWidth="1"/>
    <col min="11" max="11" width="20" bestFit="1" customWidth="1"/>
    <col min="12" max="12" width="25" customWidth="1"/>
    <col min="13" max="13" width="17.42578125" customWidth="1"/>
  </cols>
  <sheetData>
    <row r="1" spans="1:14" x14ac:dyDescent="0.25">
      <c r="A1" s="20" t="s">
        <v>0</v>
      </c>
      <c r="B1" s="20" t="s">
        <v>1</v>
      </c>
      <c r="C1" s="20" t="s">
        <v>2</v>
      </c>
      <c r="D1" s="20" t="s">
        <v>571</v>
      </c>
      <c r="E1" s="20" t="s">
        <v>578</v>
      </c>
      <c r="F1" s="20" t="s">
        <v>579</v>
      </c>
      <c r="G1" s="20" t="s">
        <v>580</v>
      </c>
      <c r="H1" s="20" t="s">
        <v>577</v>
      </c>
      <c r="I1" s="20" t="s">
        <v>3</v>
      </c>
      <c r="J1" s="20" t="s">
        <v>4</v>
      </c>
      <c r="K1" s="20" t="s">
        <v>570</v>
      </c>
      <c r="L1" s="20" t="s">
        <v>581</v>
      </c>
      <c r="M1" s="20" t="s">
        <v>589</v>
      </c>
      <c r="N1" s="6"/>
    </row>
    <row r="2" spans="1:14" x14ac:dyDescent="0.25">
      <c r="A2" t="s">
        <v>5</v>
      </c>
      <c r="B2" t="s">
        <v>6</v>
      </c>
      <c r="C2">
        <v>41274</v>
      </c>
      <c r="D2" s="61">
        <v>24855000000</v>
      </c>
      <c r="E2" s="61">
        <v>10499000000</v>
      </c>
      <c r="F2" s="61">
        <v>12977000000</v>
      </c>
      <c r="G2" s="61">
        <v>0</v>
      </c>
      <c r="H2" s="61">
        <v>845000000</v>
      </c>
      <c r="I2" t="s">
        <v>7</v>
      </c>
      <c r="J2" t="s">
        <v>8</v>
      </c>
      <c r="K2" s="61">
        <f t="shared" ref="K2:K65" si="0">D2-E2</f>
        <v>14356000000</v>
      </c>
      <c r="L2" s="61">
        <f t="shared" ref="L2:L65" si="1">F2+G2+H2</f>
        <v>13822000000</v>
      </c>
      <c r="M2" s="61">
        <f>K2-L2</f>
        <v>534000000</v>
      </c>
    </row>
    <row r="3" spans="1:14" x14ac:dyDescent="0.25">
      <c r="A3" t="s">
        <v>5</v>
      </c>
      <c r="B3" t="s">
        <v>9</v>
      </c>
      <c r="C3">
        <v>41639</v>
      </c>
      <c r="D3" s="61">
        <v>26743000000</v>
      </c>
      <c r="E3" s="61">
        <v>11019000000</v>
      </c>
      <c r="F3" s="61">
        <v>12913000000</v>
      </c>
      <c r="G3" s="61">
        <v>0</v>
      </c>
      <c r="H3" s="61">
        <v>853000000</v>
      </c>
      <c r="I3" t="s">
        <v>7</v>
      </c>
      <c r="J3" t="s">
        <v>8</v>
      </c>
      <c r="K3" s="61">
        <f t="shared" si="0"/>
        <v>15724000000</v>
      </c>
      <c r="L3" s="61">
        <f t="shared" si="1"/>
        <v>13766000000</v>
      </c>
      <c r="M3" s="61">
        <f t="shared" ref="M3:M66" si="2">K3-L3</f>
        <v>1958000000</v>
      </c>
    </row>
    <row r="4" spans="1:14" x14ac:dyDescent="0.25">
      <c r="A4" t="s">
        <v>5</v>
      </c>
      <c r="B4" t="s">
        <v>10</v>
      </c>
      <c r="C4">
        <v>42004</v>
      </c>
      <c r="D4" s="61">
        <v>42650000000</v>
      </c>
      <c r="E4" s="61">
        <v>15620000000</v>
      </c>
      <c r="F4" s="61">
        <v>20686000000</v>
      </c>
      <c r="G4" s="61">
        <v>0</v>
      </c>
      <c r="H4" s="61">
        <v>1295000000</v>
      </c>
      <c r="I4" t="s">
        <v>7</v>
      </c>
      <c r="J4" t="s">
        <v>8</v>
      </c>
      <c r="K4" s="61">
        <f t="shared" si="0"/>
        <v>27030000000</v>
      </c>
      <c r="L4" s="61">
        <f t="shared" si="1"/>
        <v>21981000000</v>
      </c>
      <c r="M4" s="61">
        <f t="shared" si="2"/>
        <v>5049000000</v>
      </c>
    </row>
    <row r="5" spans="1:14" x14ac:dyDescent="0.25">
      <c r="A5" t="s">
        <v>5</v>
      </c>
      <c r="B5" t="s">
        <v>11</v>
      </c>
      <c r="C5">
        <v>42369</v>
      </c>
      <c r="D5" s="61">
        <v>40990000000</v>
      </c>
      <c r="E5" s="61">
        <v>11096000000</v>
      </c>
      <c r="F5" s="61">
        <v>21275000000</v>
      </c>
      <c r="G5" s="61">
        <v>0</v>
      </c>
      <c r="H5" s="61">
        <v>1364000000</v>
      </c>
      <c r="I5" t="s">
        <v>7</v>
      </c>
      <c r="J5" t="s">
        <v>8</v>
      </c>
      <c r="K5" s="61">
        <f t="shared" si="0"/>
        <v>29894000000</v>
      </c>
      <c r="L5" s="61">
        <f t="shared" si="1"/>
        <v>22639000000</v>
      </c>
      <c r="M5" s="61">
        <f t="shared" si="2"/>
        <v>7255000000</v>
      </c>
    </row>
    <row r="6" spans="1:14" x14ac:dyDescent="0.25">
      <c r="A6" t="s">
        <v>12</v>
      </c>
      <c r="B6" t="s">
        <v>6</v>
      </c>
      <c r="C6">
        <v>41272</v>
      </c>
      <c r="D6" s="61">
        <v>6205003000</v>
      </c>
      <c r="E6" s="61">
        <v>3106967000</v>
      </c>
      <c r="F6" s="61">
        <v>2440721000</v>
      </c>
      <c r="G6" s="61">
        <v>0</v>
      </c>
      <c r="H6" s="61">
        <v>0</v>
      </c>
      <c r="I6" t="s">
        <v>13</v>
      </c>
      <c r="J6" t="s">
        <v>14</v>
      </c>
      <c r="K6" s="61">
        <f t="shared" si="0"/>
        <v>3098036000</v>
      </c>
      <c r="L6" s="61">
        <f t="shared" si="1"/>
        <v>2440721000</v>
      </c>
      <c r="M6" s="61">
        <f t="shared" si="2"/>
        <v>657315000</v>
      </c>
    </row>
    <row r="7" spans="1:14" x14ac:dyDescent="0.25">
      <c r="A7" t="s">
        <v>12</v>
      </c>
      <c r="B7" t="s">
        <v>9</v>
      </c>
      <c r="C7">
        <v>41636</v>
      </c>
      <c r="D7" s="61">
        <v>6493814000</v>
      </c>
      <c r="E7" s="61">
        <v>3241668000</v>
      </c>
      <c r="F7" s="61">
        <v>2591828000</v>
      </c>
      <c r="G7" s="61">
        <v>0</v>
      </c>
      <c r="H7" s="61">
        <v>0</v>
      </c>
      <c r="I7" t="s">
        <v>13</v>
      </c>
      <c r="J7" t="s">
        <v>14</v>
      </c>
      <c r="K7" s="61">
        <f t="shared" si="0"/>
        <v>3252146000</v>
      </c>
      <c r="L7" s="61">
        <f t="shared" si="1"/>
        <v>2591828000</v>
      </c>
      <c r="M7" s="61">
        <f t="shared" si="2"/>
        <v>660318000</v>
      </c>
    </row>
    <row r="8" spans="1:14" x14ac:dyDescent="0.25">
      <c r="A8" t="s">
        <v>12</v>
      </c>
      <c r="B8" t="s">
        <v>10</v>
      </c>
      <c r="C8">
        <v>42007</v>
      </c>
      <c r="D8" s="61">
        <v>9843861000</v>
      </c>
      <c r="E8" s="61">
        <v>5390248000</v>
      </c>
      <c r="F8" s="61">
        <v>3601903000</v>
      </c>
      <c r="G8" s="61">
        <v>0</v>
      </c>
      <c r="H8" s="61">
        <v>0</v>
      </c>
      <c r="I8" t="s">
        <v>13</v>
      </c>
      <c r="J8" t="s">
        <v>14</v>
      </c>
      <c r="K8" s="61">
        <f t="shared" si="0"/>
        <v>4453613000</v>
      </c>
      <c r="L8" s="61">
        <f t="shared" si="1"/>
        <v>3601903000</v>
      </c>
      <c r="M8" s="61">
        <f t="shared" si="2"/>
        <v>851710000</v>
      </c>
    </row>
    <row r="9" spans="1:14" x14ac:dyDescent="0.25">
      <c r="A9" t="s">
        <v>12</v>
      </c>
      <c r="B9" t="s">
        <v>11</v>
      </c>
      <c r="C9">
        <v>42371</v>
      </c>
      <c r="D9" s="61">
        <v>9737018000</v>
      </c>
      <c r="E9" s="61">
        <v>5314246000</v>
      </c>
      <c r="F9" s="61">
        <v>3596992000</v>
      </c>
      <c r="G9" s="61">
        <v>0</v>
      </c>
      <c r="H9" s="61">
        <v>0</v>
      </c>
      <c r="I9" t="s">
        <v>13</v>
      </c>
      <c r="J9" t="s">
        <v>14</v>
      </c>
      <c r="K9" s="61">
        <f t="shared" si="0"/>
        <v>4422772000</v>
      </c>
      <c r="L9" s="61">
        <f t="shared" si="1"/>
        <v>3596992000</v>
      </c>
      <c r="M9" s="61">
        <f t="shared" si="2"/>
        <v>825780000</v>
      </c>
    </row>
    <row r="10" spans="1:14" x14ac:dyDescent="0.25">
      <c r="A10" t="s">
        <v>15</v>
      </c>
      <c r="B10" t="s">
        <v>6</v>
      </c>
      <c r="C10">
        <v>41545</v>
      </c>
      <c r="D10" s="61">
        <v>170910000000</v>
      </c>
      <c r="E10" s="61">
        <v>106606000000</v>
      </c>
      <c r="F10" s="61">
        <v>10830000000</v>
      </c>
      <c r="G10" s="61">
        <v>4475000000</v>
      </c>
      <c r="H10" s="61">
        <v>0</v>
      </c>
      <c r="I10" t="s">
        <v>16</v>
      </c>
      <c r="J10" t="s">
        <v>17</v>
      </c>
      <c r="K10" s="61">
        <f t="shared" si="0"/>
        <v>64304000000</v>
      </c>
      <c r="L10" s="61">
        <f t="shared" si="1"/>
        <v>15305000000</v>
      </c>
      <c r="M10" s="61">
        <f t="shared" si="2"/>
        <v>48999000000</v>
      </c>
    </row>
    <row r="11" spans="1:14" x14ac:dyDescent="0.25">
      <c r="A11" t="s">
        <v>15</v>
      </c>
      <c r="B11" t="s">
        <v>9</v>
      </c>
      <c r="C11">
        <v>41909</v>
      </c>
      <c r="D11" s="61">
        <v>182795000000</v>
      </c>
      <c r="E11" s="61">
        <v>112258000000</v>
      </c>
      <c r="F11" s="61">
        <v>11993000000</v>
      </c>
      <c r="G11" s="61">
        <v>6041000000</v>
      </c>
      <c r="H11" s="61">
        <v>0</v>
      </c>
      <c r="I11" t="s">
        <v>16</v>
      </c>
      <c r="J11" t="s">
        <v>17</v>
      </c>
      <c r="K11" s="61">
        <f t="shared" si="0"/>
        <v>70537000000</v>
      </c>
      <c r="L11" s="61">
        <f t="shared" si="1"/>
        <v>18034000000</v>
      </c>
      <c r="M11" s="61">
        <f t="shared" si="2"/>
        <v>52503000000</v>
      </c>
    </row>
    <row r="12" spans="1:14" x14ac:dyDescent="0.25">
      <c r="A12" t="s">
        <v>15</v>
      </c>
      <c r="B12" t="s">
        <v>10</v>
      </c>
      <c r="C12">
        <v>42273</v>
      </c>
      <c r="D12" s="61">
        <v>233715000000</v>
      </c>
      <c r="E12" s="61">
        <v>140089000000</v>
      </c>
      <c r="F12" s="61">
        <v>14329000000</v>
      </c>
      <c r="G12" s="61">
        <v>8067000000</v>
      </c>
      <c r="H12" s="61">
        <v>0</v>
      </c>
      <c r="I12" t="s">
        <v>16</v>
      </c>
      <c r="J12" t="s">
        <v>17</v>
      </c>
      <c r="K12" s="61">
        <f t="shared" si="0"/>
        <v>93626000000</v>
      </c>
      <c r="L12" s="61">
        <f t="shared" si="1"/>
        <v>22396000000</v>
      </c>
      <c r="M12" s="61">
        <f t="shared" si="2"/>
        <v>71230000000</v>
      </c>
    </row>
    <row r="13" spans="1:14" x14ac:dyDescent="0.25">
      <c r="A13" t="s">
        <v>15</v>
      </c>
      <c r="B13" t="s">
        <v>11</v>
      </c>
      <c r="C13">
        <v>42637</v>
      </c>
      <c r="D13" s="61">
        <v>215639000000</v>
      </c>
      <c r="E13" s="61">
        <v>131376000000</v>
      </c>
      <c r="F13" s="61">
        <v>14194000000</v>
      </c>
      <c r="G13" s="61">
        <v>10045000000</v>
      </c>
      <c r="H13" s="61">
        <v>0</v>
      </c>
      <c r="I13" t="s">
        <v>16</v>
      </c>
      <c r="J13" t="s">
        <v>17</v>
      </c>
      <c r="K13" s="61">
        <f t="shared" si="0"/>
        <v>84263000000</v>
      </c>
      <c r="L13" s="61">
        <f t="shared" si="1"/>
        <v>24239000000</v>
      </c>
      <c r="M13" s="61">
        <f t="shared" si="2"/>
        <v>60024000000</v>
      </c>
    </row>
    <row r="14" spans="1:14" x14ac:dyDescent="0.25">
      <c r="A14" t="s">
        <v>18</v>
      </c>
      <c r="B14" t="s">
        <v>6</v>
      </c>
      <c r="C14">
        <v>41274</v>
      </c>
      <c r="D14" s="61">
        <v>18380000000</v>
      </c>
      <c r="E14" s="61">
        <v>4508000000</v>
      </c>
      <c r="F14" s="61">
        <v>4989000000</v>
      </c>
      <c r="G14" s="61">
        <v>2778000000</v>
      </c>
      <c r="H14" s="61">
        <v>0</v>
      </c>
      <c r="I14" t="s">
        <v>19</v>
      </c>
      <c r="J14" t="s">
        <v>20</v>
      </c>
      <c r="K14" s="61">
        <f t="shared" si="0"/>
        <v>13872000000</v>
      </c>
      <c r="L14" s="61">
        <f t="shared" si="1"/>
        <v>7767000000</v>
      </c>
      <c r="M14" s="61">
        <f t="shared" si="2"/>
        <v>6105000000</v>
      </c>
    </row>
    <row r="15" spans="1:14" x14ac:dyDescent="0.25">
      <c r="A15" t="s">
        <v>18</v>
      </c>
      <c r="B15" t="s">
        <v>9</v>
      </c>
      <c r="C15">
        <v>41639</v>
      </c>
      <c r="D15" s="61">
        <v>18790000000</v>
      </c>
      <c r="E15" s="61">
        <v>4581000000</v>
      </c>
      <c r="F15" s="61">
        <v>5352000000</v>
      </c>
      <c r="G15" s="61">
        <v>2855000000</v>
      </c>
      <c r="H15" s="61">
        <v>0</v>
      </c>
      <c r="I15" t="s">
        <v>19</v>
      </c>
      <c r="J15" t="s">
        <v>20</v>
      </c>
      <c r="K15" s="61">
        <f t="shared" si="0"/>
        <v>14209000000</v>
      </c>
      <c r="L15" s="61">
        <f t="shared" si="1"/>
        <v>8207000000</v>
      </c>
      <c r="M15" s="61">
        <f t="shared" si="2"/>
        <v>6002000000</v>
      </c>
    </row>
    <row r="16" spans="1:14" x14ac:dyDescent="0.25">
      <c r="A16" t="s">
        <v>18</v>
      </c>
      <c r="B16" t="s">
        <v>10</v>
      </c>
      <c r="C16">
        <v>42004</v>
      </c>
      <c r="D16" s="61">
        <v>19960000000</v>
      </c>
      <c r="E16" s="61">
        <v>4426000000</v>
      </c>
      <c r="F16" s="61">
        <v>8474000000</v>
      </c>
      <c r="G16" s="61">
        <v>3297000000</v>
      </c>
      <c r="H16" s="61">
        <v>0</v>
      </c>
      <c r="I16" t="s">
        <v>19</v>
      </c>
      <c r="J16" t="s">
        <v>20</v>
      </c>
      <c r="K16" s="61">
        <f t="shared" si="0"/>
        <v>15534000000</v>
      </c>
      <c r="L16" s="61">
        <f t="shared" si="1"/>
        <v>11771000000</v>
      </c>
      <c r="M16" s="61">
        <f t="shared" si="2"/>
        <v>3763000000</v>
      </c>
    </row>
    <row r="17" spans="1:13" x14ac:dyDescent="0.25">
      <c r="A17" t="s">
        <v>18</v>
      </c>
      <c r="B17" t="s">
        <v>11</v>
      </c>
      <c r="C17">
        <v>42369</v>
      </c>
      <c r="D17" s="61">
        <v>22859000000</v>
      </c>
      <c r="E17" s="61">
        <v>4500000000</v>
      </c>
      <c r="F17" s="61">
        <v>6387000000</v>
      </c>
      <c r="G17" s="61">
        <v>4285000000</v>
      </c>
      <c r="H17" s="61">
        <v>0</v>
      </c>
      <c r="I17" t="s">
        <v>19</v>
      </c>
      <c r="J17" t="s">
        <v>20</v>
      </c>
      <c r="K17" s="61">
        <f t="shared" si="0"/>
        <v>18359000000</v>
      </c>
      <c r="L17" s="61">
        <f t="shared" si="1"/>
        <v>10672000000</v>
      </c>
      <c r="M17" s="61">
        <f t="shared" si="2"/>
        <v>7687000000</v>
      </c>
    </row>
    <row r="18" spans="1:13" x14ac:dyDescent="0.25">
      <c r="A18" t="s">
        <v>21</v>
      </c>
      <c r="B18" t="s">
        <v>6</v>
      </c>
      <c r="C18">
        <v>41547</v>
      </c>
      <c r="D18" s="61">
        <v>87959167000</v>
      </c>
      <c r="E18" s="61">
        <v>85451348000</v>
      </c>
      <c r="F18" s="61">
        <v>1447234000</v>
      </c>
      <c r="G18" s="61">
        <v>0</v>
      </c>
      <c r="H18" s="61">
        <v>162186000</v>
      </c>
      <c r="I18" t="s">
        <v>19</v>
      </c>
      <c r="J18" t="s">
        <v>22</v>
      </c>
      <c r="K18" s="61">
        <f t="shared" si="0"/>
        <v>2507819000</v>
      </c>
      <c r="L18" s="61">
        <f t="shared" si="1"/>
        <v>1609420000</v>
      </c>
      <c r="M18" s="61">
        <f t="shared" si="2"/>
        <v>898399000</v>
      </c>
    </row>
    <row r="19" spans="1:13" x14ac:dyDescent="0.25">
      <c r="A19" t="s">
        <v>21</v>
      </c>
      <c r="B19" t="s">
        <v>9</v>
      </c>
      <c r="C19">
        <v>41912</v>
      </c>
      <c r="D19" s="61">
        <v>119569127000</v>
      </c>
      <c r="E19" s="61">
        <v>116586761000</v>
      </c>
      <c r="F19" s="61">
        <v>2011595000</v>
      </c>
      <c r="G19" s="61">
        <v>0</v>
      </c>
      <c r="H19" s="61">
        <v>188680000</v>
      </c>
      <c r="I19" t="s">
        <v>19</v>
      </c>
      <c r="J19" t="s">
        <v>22</v>
      </c>
      <c r="K19" s="61">
        <f t="shared" si="0"/>
        <v>2982366000</v>
      </c>
      <c r="L19" s="61">
        <f t="shared" si="1"/>
        <v>2200275000</v>
      </c>
      <c r="M19" s="61">
        <f t="shared" si="2"/>
        <v>782091000</v>
      </c>
    </row>
    <row r="20" spans="1:13" x14ac:dyDescent="0.25">
      <c r="A20" t="s">
        <v>21</v>
      </c>
      <c r="B20" t="s">
        <v>10</v>
      </c>
      <c r="C20">
        <v>42277</v>
      </c>
      <c r="D20" s="61">
        <v>135961803000</v>
      </c>
      <c r="E20" s="61">
        <v>132432490000</v>
      </c>
      <c r="F20" s="61">
        <v>2858458000</v>
      </c>
      <c r="G20" s="61">
        <v>0</v>
      </c>
      <c r="H20" s="61">
        <v>248635000</v>
      </c>
      <c r="I20" t="s">
        <v>19</v>
      </c>
      <c r="J20" t="s">
        <v>22</v>
      </c>
      <c r="K20" s="61">
        <f t="shared" si="0"/>
        <v>3529313000</v>
      </c>
      <c r="L20" s="61">
        <f t="shared" si="1"/>
        <v>3107093000</v>
      </c>
      <c r="M20" s="61">
        <f t="shared" si="2"/>
        <v>422220000</v>
      </c>
    </row>
    <row r="21" spans="1:13" x14ac:dyDescent="0.25">
      <c r="A21" t="s">
        <v>21</v>
      </c>
      <c r="B21" t="s">
        <v>11</v>
      </c>
      <c r="C21">
        <v>42643</v>
      </c>
      <c r="D21" s="61">
        <v>146849686000</v>
      </c>
      <c r="E21" s="61">
        <v>142577080000</v>
      </c>
      <c r="F21" s="61">
        <v>2382097000</v>
      </c>
      <c r="G21" s="61">
        <v>0</v>
      </c>
      <c r="H21" s="61">
        <v>364735000</v>
      </c>
      <c r="I21" t="s">
        <v>19</v>
      </c>
      <c r="J21" t="s">
        <v>22</v>
      </c>
      <c r="K21" s="61">
        <f t="shared" si="0"/>
        <v>4272606000</v>
      </c>
      <c r="L21" s="61">
        <f t="shared" si="1"/>
        <v>2746832000</v>
      </c>
      <c r="M21" s="61">
        <f t="shared" si="2"/>
        <v>1525774000</v>
      </c>
    </row>
    <row r="22" spans="1:13" x14ac:dyDescent="0.25">
      <c r="A22" t="s">
        <v>23</v>
      </c>
      <c r="B22" t="s">
        <v>6</v>
      </c>
      <c r="C22">
        <v>41274</v>
      </c>
      <c r="D22" s="61">
        <v>19050000000</v>
      </c>
      <c r="E22" s="61">
        <v>8899000000</v>
      </c>
      <c r="F22" s="61">
        <v>6735000000</v>
      </c>
      <c r="G22" s="61">
        <v>1461000000</v>
      </c>
      <c r="H22" s="61">
        <v>595000000</v>
      </c>
      <c r="I22" t="s">
        <v>19</v>
      </c>
      <c r="J22" t="s">
        <v>24</v>
      </c>
      <c r="K22" s="61">
        <f t="shared" si="0"/>
        <v>10151000000</v>
      </c>
      <c r="L22" s="61">
        <f t="shared" si="1"/>
        <v>8791000000</v>
      </c>
      <c r="M22" s="61">
        <f t="shared" si="2"/>
        <v>1360000000</v>
      </c>
    </row>
    <row r="23" spans="1:13" x14ac:dyDescent="0.25">
      <c r="A23" t="s">
        <v>23</v>
      </c>
      <c r="B23" t="s">
        <v>9</v>
      </c>
      <c r="C23">
        <v>41639</v>
      </c>
      <c r="D23" s="61">
        <v>19657000000</v>
      </c>
      <c r="E23" s="61">
        <v>9193000000</v>
      </c>
      <c r="F23" s="61">
        <v>6372000000</v>
      </c>
      <c r="G23" s="61">
        <v>1371000000</v>
      </c>
      <c r="H23" s="61">
        <v>588000000</v>
      </c>
      <c r="I23" t="s">
        <v>19</v>
      </c>
      <c r="J23" t="s">
        <v>24</v>
      </c>
      <c r="K23" s="61">
        <f t="shared" si="0"/>
        <v>10464000000</v>
      </c>
      <c r="L23" s="61">
        <f t="shared" si="1"/>
        <v>8331000000</v>
      </c>
      <c r="M23" s="61">
        <f t="shared" si="2"/>
        <v>2133000000</v>
      </c>
    </row>
    <row r="24" spans="1:13" x14ac:dyDescent="0.25">
      <c r="A24" t="s">
        <v>23</v>
      </c>
      <c r="B24" t="s">
        <v>10</v>
      </c>
      <c r="C24">
        <v>42004</v>
      </c>
      <c r="D24" s="61">
        <v>20247000000</v>
      </c>
      <c r="E24" s="61">
        <v>9218000000</v>
      </c>
      <c r="F24" s="61">
        <v>6530000000</v>
      </c>
      <c r="G24" s="61">
        <v>1345000000</v>
      </c>
      <c r="H24" s="61">
        <v>555000000</v>
      </c>
      <c r="I24" t="s">
        <v>19</v>
      </c>
      <c r="J24" t="s">
        <v>24</v>
      </c>
      <c r="K24" s="61">
        <f>D24-E24</f>
        <v>11029000000</v>
      </c>
      <c r="L24" s="61">
        <f t="shared" si="1"/>
        <v>8430000000</v>
      </c>
      <c r="M24" s="61">
        <f t="shared" si="2"/>
        <v>2599000000</v>
      </c>
    </row>
    <row r="25" spans="1:13" x14ac:dyDescent="0.25">
      <c r="A25" t="s">
        <v>23</v>
      </c>
      <c r="B25" t="s">
        <v>11</v>
      </c>
      <c r="C25">
        <v>42369</v>
      </c>
      <c r="D25" s="61">
        <v>20405000000</v>
      </c>
      <c r="E25" s="61">
        <v>8747000000</v>
      </c>
      <c r="F25" s="61">
        <v>6785000000</v>
      </c>
      <c r="G25" s="61">
        <v>1405000000</v>
      </c>
      <c r="H25" s="61">
        <v>601000000</v>
      </c>
      <c r="I25" t="s">
        <v>19</v>
      </c>
      <c r="J25" t="s">
        <v>24</v>
      </c>
      <c r="K25" s="61">
        <f t="shared" si="0"/>
        <v>11658000000</v>
      </c>
      <c r="L25" s="61">
        <f t="shared" si="1"/>
        <v>8791000000</v>
      </c>
      <c r="M25" s="61">
        <f t="shared" si="2"/>
        <v>2867000000</v>
      </c>
    </row>
    <row r="26" spans="1:13" x14ac:dyDescent="0.25">
      <c r="A26" t="s">
        <v>25</v>
      </c>
      <c r="B26" t="s">
        <v>6</v>
      </c>
      <c r="C26">
        <v>41607</v>
      </c>
      <c r="D26" s="61">
        <v>4055240000</v>
      </c>
      <c r="E26" s="61">
        <v>586557000</v>
      </c>
      <c r="F26" s="61">
        <v>2140578000</v>
      </c>
      <c r="G26" s="61">
        <v>826631000</v>
      </c>
      <c r="H26" s="61">
        <v>52254000</v>
      </c>
      <c r="I26" t="s">
        <v>16</v>
      </c>
      <c r="J26" t="s">
        <v>26</v>
      </c>
      <c r="K26" s="61">
        <f t="shared" si="0"/>
        <v>3468683000</v>
      </c>
      <c r="L26" s="61">
        <f t="shared" si="1"/>
        <v>3019463000</v>
      </c>
      <c r="M26" s="61">
        <f t="shared" si="2"/>
        <v>449220000</v>
      </c>
    </row>
    <row r="27" spans="1:13" x14ac:dyDescent="0.25">
      <c r="A27" t="s">
        <v>25</v>
      </c>
      <c r="B27" t="s">
        <v>9</v>
      </c>
      <c r="C27">
        <v>41971</v>
      </c>
      <c r="D27" s="61">
        <v>4147065000</v>
      </c>
      <c r="E27" s="61">
        <v>622080000</v>
      </c>
      <c r="F27" s="61">
        <v>2195640000</v>
      </c>
      <c r="G27" s="61">
        <v>844353000</v>
      </c>
      <c r="H27" s="61">
        <v>52424000</v>
      </c>
      <c r="I27" t="s">
        <v>16</v>
      </c>
      <c r="J27" t="s">
        <v>26</v>
      </c>
      <c r="K27" s="61">
        <f t="shared" si="0"/>
        <v>3524985000</v>
      </c>
      <c r="L27" s="61">
        <f t="shared" si="1"/>
        <v>3092417000</v>
      </c>
      <c r="M27" s="61">
        <f t="shared" si="2"/>
        <v>432568000</v>
      </c>
    </row>
    <row r="28" spans="1:13" x14ac:dyDescent="0.25">
      <c r="A28" t="s">
        <v>25</v>
      </c>
      <c r="B28" t="s">
        <v>10</v>
      </c>
      <c r="C28">
        <v>42335</v>
      </c>
      <c r="D28" s="61">
        <v>4795511000</v>
      </c>
      <c r="E28" s="61">
        <v>744317000</v>
      </c>
      <c r="F28" s="61">
        <v>2215161000</v>
      </c>
      <c r="G28" s="61">
        <v>862730000</v>
      </c>
      <c r="H28" s="61">
        <v>68649000</v>
      </c>
      <c r="I28" t="s">
        <v>16</v>
      </c>
      <c r="J28" t="s">
        <v>26</v>
      </c>
      <c r="K28" s="61">
        <f t="shared" si="0"/>
        <v>4051194000</v>
      </c>
      <c r="L28" s="61">
        <f t="shared" si="1"/>
        <v>3146540000</v>
      </c>
      <c r="M28" s="61">
        <f t="shared" si="2"/>
        <v>904654000</v>
      </c>
    </row>
    <row r="29" spans="1:13" x14ac:dyDescent="0.25">
      <c r="A29" t="s">
        <v>25</v>
      </c>
      <c r="B29" t="s">
        <v>11</v>
      </c>
      <c r="C29">
        <v>42706</v>
      </c>
      <c r="D29" s="61">
        <v>5854430000</v>
      </c>
      <c r="E29" s="61">
        <v>819908000</v>
      </c>
      <c r="F29" s="61">
        <v>2487907000</v>
      </c>
      <c r="G29" s="61">
        <v>975987000</v>
      </c>
      <c r="H29" s="61">
        <v>78534000</v>
      </c>
      <c r="I29" t="s">
        <v>16</v>
      </c>
      <c r="J29" t="s">
        <v>26</v>
      </c>
      <c r="K29" s="61">
        <f t="shared" si="0"/>
        <v>5034522000</v>
      </c>
      <c r="L29" s="61">
        <f t="shared" si="1"/>
        <v>3542428000</v>
      </c>
      <c r="M29" s="61">
        <f t="shared" si="2"/>
        <v>1492094000</v>
      </c>
    </row>
    <row r="30" spans="1:13" x14ac:dyDescent="0.25">
      <c r="A30" t="s">
        <v>27</v>
      </c>
      <c r="B30" t="s">
        <v>6</v>
      </c>
      <c r="C30">
        <v>41580</v>
      </c>
      <c r="D30" s="61">
        <v>2633689000</v>
      </c>
      <c r="E30" s="61">
        <v>941278000</v>
      </c>
      <c r="F30" s="61">
        <v>396233000</v>
      </c>
      <c r="G30" s="61">
        <v>513035000</v>
      </c>
      <c r="H30" s="61">
        <v>220000</v>
      </c>
      <c r="I30" t="s">
        <v>16</v>
      </c>
      <c r="J30" t="s">
        <v>28</v>
      </c>
      <c r="K30" s="61">
        <f t="shared" si="0"/>
        <v>1692411000</v>
      </c>
      <c r="L30" s="61">
        <f t="shared" si="1"/>
        <v>909488000</v>
      </c>
      <c r="M30" s="61">
        <f t="shared" si="2"/>
        <v>782923000</v>
      </c>
    </row>
    <row r="31" spans="1:13" x14ac:dyDescent="0.25">
      <c r="A31" t="s">
        <v>27</v>
      </c>
      <c r="B31" t="s">
        <v>9</v>
      </c>
      <c r="C31">
        <v>41944</v>
      </c>
      <c r="D31" s="61">
        <v>2864773000</v>
      </c>
      <c r="E31" s="61">
        <v>1034585000</v>
      </c>
      <c r="F31" s="61">
        <v>454676000</v>
      </c>
      <c r="G31" s="61">
        <v>559686000</v>
      </c>
      <c r="H31" s="61">
        <v>26020000</v>
      </c>
      <c r="I31" t="s">
        <v>16</v>
      </c>
      <c r="J31" t="s">
        <v>28</v>
      </c>
      <c r="K31" s="61">
        <f t="shared" si="0"/>
        <v>1830188000</v>
      </c>
      <c r="L31" s="61">
        <f t="shared" si="1"/>
        <v>1040382000</v>
      </c>
      <c r="M31" s="61">
        <f t="shared" si="2"/>
        <v>789806000</v>
      </c>
    </row>
    <row r="32" spans="1:13" x14ac:dyDescent="0.25">
      <c r="A32" t="s">
        <v>27</v>
      </c>
      <c r="B32" t="s">
        <v>10</v>
      </c>
      <c r="C32">
        <v>42308</v>
      </c>
      <c r="D32" s="61">
        <v>3435092000</v>
      </c>
      <c r="E32" s="61">
        <v>1175830000</v>
      </c>
      <c r="F32" s="61">
        <v>702644000</v>
      </c>
      <c r="G32" s="61">
        <v>637459000</v>
      </c>
      <c r="H32" s="61">
        <v>88318000</v>
      </c>
      <c r="I32" t="s">
        <v>16</v>
      </c>
      <c r="J32" t="s">
        <v>28</v>
      </c>
      <c r="K32" s="61">
        <f t="shared" si="0"/>
        <v>2259262000</v>
      </c>
      <c r="L32" s="61">
        <f t="shared" si="1"/>
        <v>1428421000</v>
      </c>
      <c r="M32" s="61">
        <f t="shared" si="2"/>
        <v>830841000</v>
      </c>
    </row>
    <row r="33" spans="1:13" x14ac:dyDescent="0.25">
      <c r="A33" t="s">
        <v>27</v>
      </c>
      <c r="B33" t="s">
        <v>11</v>
      </c>
      <c r="C33">
        <v>42672</v>
      </c>
      <c r="D33" s="61">
        <v>3421409000</v>
      </c>
      <c r="E33" s="61">
        <v>1194236000</v>
      </c>
      <c r="F33" s="61">
        <v>461438000</v>
      </c>
      <c r="G33" s="61">
        <v>653816000</v>
      </c>
      <c r="H33" s="61">
        <v>70123000</v>
      </c>
      <c r="I33" t="s">
        <v>16</v>
      </c>
      <c r="J33" t="s">
        <v>28</v>
      </c>
      <c r="K33" s="61">
        <f t="shared" si="0"/>
        <v>2227173000</v>
      </c>
      <c r="L33" s="61">
        <f t="shared" si="1"/>
        <v>1185377000</v>
      </c>
      <c r="M33" s="61">
        <f t="shared" si="2"/>
        <v>1041796000</v>
      </c>
    </row>
    <row r="34" spans="1:13" x14ac:dyDescent="0.25">
      <c r="A34" t="s">
        <v>29</v>
      </c>
      <c r="B34" t="s">
        <v>6</v>
      </c>
      <c r="C34">
        <v>41274</v>
      </c>
      <c r="D34" s="61">
        <v>90559000000</v>
      </c>
      <c r="E34" s="61">
        <v>86936000000</v>
      </c>
      <c r="F34" s="61">
        <v>1665000000</v>
      </c>
      <c r="G34" s="61">
        <v>0</v>
      </c>
      <c r="H34" s="61">
        <v>0</v>
      </c>
      <c r="I34" t="s">
        <v>30</v>
      </c>
      <c r="J34" t="s">
        <v>31</v>
      </c>
      <c r="K34" s="61">
        <f t="shared" si="0"/>
        <v>3623000000</v>
      </c>
      <c r="L34" s="61">
        <f t="shared" si="1"/>
        <v>1665000000</v>
      </c>
      <c r="M34" s="61">
        <f t="shared" si="2"/>
        <v>1958000000</v>
      </c>
    </row>
    <row r="35" spans="1:13" x14ac:dyDescent="0.25">
      <c r="A35" t="s">
        <v>29</v>
      </c>
      <c r="B35" t="s">
        <v>9</v>
      </c>
      <c r="C35">
        <v>41639</v>
      </c>
      <c r="D35" s="61">
        <v>89804000000</v>
      </c>
      <c r="E35" s="61">
        <v>85915000000</v>
      </c>
      <c r="F35" s="61">
        <v>1759000000</v>
      </c>
      <c r="G35" s="61">
        <v>0</v>
      </c>
      <c r="H35" s="61">
        <v>0</v>
      </c>
      <c r="I35" t="s">
        <v>30</v>
      </c>
      <c r="J35" t="s">
        <v>31</v>
      </c>
      <c r="K35" s="61">
        <f t="shared" si="0"/>
        <v>3889000000</v>
      </c>
      <c r="L35" s="61">
        <f t="shared" si="1"/>
        <v>1759000000</v>
      </c>
      <c r="M35" s="61">
        <f t="shared" si="2"/>
        <v>2130000000</v>
      </c>
    </row>
    <row r="36" spans="1:13" x14ac:dyDescent="0.25">
      <c r="A36" t="s">
        <v>29</v>
      </c>
      <c r="B36" t="s">
        <v>10</v>
      </c>
      <c r="C36">
        <v>42004</v>
      </c>
      <c r="D36" s="61">
        <v>81201000000</v>
      </c>
      <c r="E36" s="61">
        <v>76433000000</v>
      </c>
      <c r="F36" s="61">
        <v>1907000000</v>
      </c>
      <c r="G36" s="61">
        <v>0</v>
      </c>
      <c r="H36" s="61">
        <v>0</v>
      </c>
      <c r="I36" t="s">
        <v>30</v>
      </c>
      <c r="J36" t="s">
        <v>31</v>
      </c>
      <c r="K36" s="61">
        <f t="shared" si="0"/>
        <v>4768000000</v>
      </c>
      <c r="L36" s="61">
        <f t="shared" si="1"/>
        <v>1907000000</v>
      </c>
      <c r="M36" s="61">
        <f t="shared" si="2"/>
        <v>2861000000</v>
      </c>
    </row>
    <row r="37" spans="1:13" x14ac:dyDescent="0.25">
      <c r="A37" t="s">
        <v>29</v>
      </c>
      <c r="B37" t="s">
        <v>11</v>
      </c>
      <c r="C37">
        <v>42369</v>
      </c>
      <c r="D37" s="61">
        <v>67702000000</v>
      </c>
      <c r="E37" s="61">
        <v>63682000000</v>
      </c>
      <c r="F37" s="61">
        <v>2010000000</v>
      </c>
      <c r="G37" s="61">
        <v>0</v>
      </c>
      <c r="H37" s="61">
        <v>0</v>
      </c>
      <c r="I37" t="s">
        <v>30</v>
      </c>
      <c r="J37" t="s">
        <v>31</v>
      </c>
      <c r="K37" s="61">
        <f t="shared" si="0"/>
        <v>4020000000</v>
      </c>
      <c r="L37" s="61">
        <f t="shared" si="1"/>
        <v>2010000000</v>
      </c>
      <c r="M37" s="61">
        <f t="shared" si="2"/>
        <v>2010000000</v>
      </c>
    </row>
    <row r="38" spans="1:13" x14ac:dyDescent="0.25">
      <c r="A38" t="s">
        <v>32</v>
      </c>
      <c r="B38" t="s">
        <v>6</v>
      </c>
      <c r="C38">
        <v>41274</v>
      </c>
      <c r="D38" s="61">
        <v>3641390000</v>
      </c>
      <c r="E38" s="61">
        <v>2392091000</v>
      </c>
      <c r="F38" s="61">
        <v>108059000</v>
      </c>
      <c r="G38" s="61">
        <v>0</v>
      </c>
      <c r="H38" s="61">
        <v>166876000</v>
      </c>
      <c r="I38" t="s">
        <v>16</v>
      </c>
      <c r="J38" t="s">
        <v>33</v>
      </c>
      <c r="K38" s="61">
        <f t="shared" si="0"/>
        <v>1249299000</v>
      </c>
      <c r="L38" s="61">
        <f t="shared" si="1"/>
        <v>274935000</v>
      </c>
      <c r="M38" s="61">
        <f t="shared" si="2"/>
        <v>974364000</v>
      </c>
    </row>
    <row r="39" spans="1:13" x14ac:dyDescent="0.25">
      <c r="A39" t="s">
        <v>32</v>
      </c>
      <c r="B39" t="s">
        <v>9</v>
      </c>
      <c r="C39">
        <v>41639</v>
      </c>
      <c r="D39" s="61">
        <v>4319063000</v>
      </c>
      <c r="E39" s="61">
        <v>2894917000</v>
      </c>
      <c r="F39" s="61">
        <v>109115000</v>
      </c>
      <c r="G39" s="61">
        <v>0</v>
      </c>
      <c r="H39" s="61">
        <v>216119000</v>
      </c>
      <c r="I39" t="s">
        <v>16</v>
      </c>
      <c r="J39" t="s">
        <v>33</v>
      </c>
      <c r="K39" s="61">
        <f t="shared" si="0"/>
        <v>1424146000</v>
      </c>
      <c r="L39" s="61">
        <f t="shared" si="1"/>
        <v>325234000</v>
      </c>
      <c r="M39" s="61">
        <f t="shared" si="2"/>
        <v>1098912000</v>
      </c>
    </row>
    <row r="40" spans="1:13" x14ac:dyDescent="0.25">
      <c r="A40" t="s">
        <v>32</v>
      </c>
      <c r="B40" t="s">
        <v>10</v>
      </c>
      <c r="C40">
        <v>42004</v>
      </c>
      <c r="D40" s="61">
        <v>5302940000</v>
      </c>
      <c r="E40" s="61">
        <v>3643979000</v>
      </c>
      <c r="F40" s="61">
        <v>247412000</v>
      </c>
      <c r="G40" s="61">
        <v>0</v>
      </c>
      <c r="H40" s="61">
        <v>313082000</v>
      </c>
      <c r="I40" t="s">
        <v>16</v>
      </c>
      <c r="J40" t="s">
        <v>33</v>
      </c>
      <c r="K40" s="61">
        <f t="shared" si="0"/>
        <v>1658961000</v>
      </c>
      <c r="L40" s="61">
        <f t="shared" si="1"/>
        <v>560494000</v>
      </c>
      <c r="M40" s="61">
        <f t="shared" si="2"/>
        <v>1098467000</v>
      </c>
    </row>
    <row r="41" spans="1:13" x14ac:dyDescent="0.25">
      <c r="A41" t="s">
        <v>32</v>
      </c>
      <c r="B41" t="s">
        <v>11</v>
      </c>
      <c r="C41">
        <v>42369</v>
      </c>
      <c r="D41" s="61">
        <v>6439746000</v>
      </c>
      <c r="E41" s="61">
        <v>4482700000</v>
      </c>
      <c r="F41" s="61">
        <v>203046000</v>
      </c>
      <c r="G41" s="61">
        <v>0</v>
      </c>
      <c r="H41" s="61">
        <v>492140000</v>
      </c>
      <c r="I41" t="s">
        <v>16</v>
      </c>
      <c r="J41" t="s">
        <v>33</v>
      </c>
      <c r="K41" s="61">
        <f t="shared" si="0"/>
        <v>1957046000</v>
      </c>
      <c r="L41" s="61">
        <f t="shared" si="1"/>
        <v>695186000</v>
      </c>
      <c r="M41" s="61">
        <f t="shared" si="2"/>
        <v>1261860000</v>
      </c>
    </row>
    <row r="42" spans="1:13" x14ac:dyDescent="0.25">
      <c r="A42" t="s">
        <v>34</v>
      </c>
      <c r="B42" t="s">
        <v>6</v>
      </c>
      <c r="C42">
        <v>41305</v>
      </c>
      <c r="D42" s="61">
        <v>2312200000</v>
      </c>
      <c r="E42" s="61">
        <v>238500000</v>
      </c>
      <c r="F42" s="61">
        <v>1081800000</v>
      </c>
      <c r="G42" s="61">
        <v>600000000</v>
      </c>
      <c r="H42" s="61">
        <v>42100000</v>
      </c>
      <c r="I42" t="s">
        <v>16</v>
      </c>
      <c r="J42" t="s">
        <v>26</v>
      </c>
      <c r="K42" s="61">
        <f t="shared" si="0"/>
        <v>2073700000</v>
      </c>
      <c r="L42" s="61">
        <f t="shared" si="1"/>
        <v>1723900000</v>
      </c>
      <c r="M42" s="61">
        <f t="shared" si="2"/>
        <v>349800000</v>
      </c>
    </row>
    <row r="43" spans="1:13" x14ac:dyDescent="0.25">
      <c r="A43" t="s">
        <v>34</v>
      </c>
      <c r="B43" t="s">
        <v>9</v>
      </c>
      <c r="C43">
        <v>41670</v>
      </c>
      <c r="D43" s="61">
        <v>2273900000</v>
      </c>
      <c r="E43" s="61">
        <v>274300000</v>
      </c>
      <c r="F43" s="61">
        <v>1054400000</v>
      </c>
      <c r="G43" s="61">
        <v>611100000</v>
      </c>
      <c r="H43" s="61">
        <v>36500000</v>
      </c>
      <c r="I43" t="s">
        <v>16</v>
      </c>
      <c r="J43" t="s">
        <v>26</v>
      </c>
      <c r="K43" s="61">
        <f t="shared" si="0"/>
        <v>1999600000</v>
      </c>
      <c r="L43" s="61">
        <f t="shared" si="1"/>
        <v>1702000000</v>
      </c>
      <c r="M43" s="61">
        <f t="shared" si="2"/>
        <v>297600000</v>
      </c>
    </row>
    <row r="44" spans="1:13" x14ac:dyDescent="0.25">
      <c r="A44" t="s">
        <v>34</v>
      </c>
      <c r="B44" t="s">
        <v>10</v>
      </c>
      <c r="C44">
        <v>42035</v>
      </c>
      <c r="D44" s="61">
        <v>2512200000</v>
      </c>
      <c r="E44" s="61">
        <v>342100000</v>
      </c>
      <c r="F44" s="61">
        <v>1281300000</v>
      </c>
      <c r="G44" s="61">
        <v>725200000</v>
      </c>
      <c r="H44" s="61">
        <v>39800000</v>
      </c>
      <c r="I44" t="s">
        <v>16</v>
      </c>
      <c r="J44" t="s">
        <v>26</v>
      </c>
      <c r="K44" s="61">
        <f t="shared" si="0"/>
        <v>2170100000</v>
      </c>
      <c r="L44" s="61">
        <f t="shared" si="1"/>
        <v>2046300000</v>
      </c>
      <c r="M44" s="61">
        <f t="shared" si="2"/>
        <v>123800000</v>
      </c>
    </row>
    <row r="45" spans="1:13" x14ac:dyDescent="0.25">
      <c r="A45" t="s">
        <v>34</v>
      </c>
      <c r="B45" t="s">
        <v>11</v>
      </c>
      <c r="C45">
        <v>42400</v>
      </c>
      <c r="D45" s="61">
        <v>2504100000</v>
      </c>
      <c r="E45" s="61">
        <v>370700000</v>
      </c>
      <c r="F45" s="61">
        <v>1308900000</v>
      </c>
      <c r="G45" s="61">
        <v>790000000</v>
      </c>
      <c r="H45" s="61">
        <v>33200000</v>
      </c>
      <c r="I45" t="s">
        <v>16</v>
      </c>
      <c r="J45" t="s">
        <v>26</v>
      </c>
      <c r="K45" s="61">
        <f t="shared" si="0"/>
        <v>2133400000</v>
      </c>
      <c r="L45" s="61">
        <f t="shared" si="1"/>
        <v>2132100000</v>
      </c>
      <c r="M45" s="61">
        <f t="shared" si="2"/>
        <v>1300000</v>
      </c>
    </row>
    <row r="46" spans="1:13" x14ac:dyDescent="0.25">
      <c r="A46" t="s">
        <v>35</v>
      </c>
      <c r="B46" t="s">
        <v>6</v>
      </c>
      <c r="C46">
        <v>41274</v>
      </c>
      <c r="D46" s="61">
        <v>5781000000</v>
      </c>
      <c r="E46" s="61">
        <v>3477000000</v>
      </c>
      <c r="F46" s="61">
        <v>443000000</v>
      </c>
      <c r="G46" s="61">
        <v>0</v>
      </c>
      <c r="H46" s="61">
        <v>673000000</v>
      </c>
      <c r="I46" t="s">
        <v>36</v>
      </c>
      <c r="J46" t="s">
        <v>37</v>
      </c>
      <c r="K46" s="61">
        <f t="shared" si="0"/>
        <v>2304000000</v>
      </c>
      <c r="L46" s="61">
        <f t="shared" si="1"/>
        <v>1116000000</v>
      </c>
      <c r="M46" s="61">
        <f t="shared" si="2"/>
        <v>1188000000</v>
      </c>
    </row>
    <row r="47" spans="1:13" x14ac:dyDescent="0.25">
      <c r="A47" t="s">
        <v>35</v>
      </c>
      <c r="B47" t="s">
        <v>9</v>
      </c>
      <c r="C47">
        <v>41639</v>
      </c>
      <c r="D47" s="61">
        <v>5838000000</v>
      </c>
      <c r="E47" s="61">
        <v>3490000000</v>
      </c>
      <c r="F47" s="61">
        <v>458000000</v>
      </c>
      <c r="G47" s="61">
        <v>0</v>
      </c>
      <c r="H47" s="61">
        <v>706000000</v>
      </c>
      <c r="I47" t="s">
        <v>36</v>
      </c>
      <c r="J47" t="s">
        <v>37</v>
      </c>
      <c r="K47" s="61">
        <f t="shared" si="0"/>
        <v>2348000000</v>
      </c>
      <c r="L47" s="61">
        <f t="shared" si="1"/>
        <v>1164000000</v>
      </c>
      <c r="M47" s="61">
        <f t="shared" si="2"/>
        <v>1184000000</v>
      </c>
    </row>
    <row r="48" spans="1:13" x14ac:dyDescent="0.25">
      <c r="A48" t="s">
        <v>35</v>
      </c>
      <c r="B48" t="s">
        <v>10</v>
      </c>
      <c r="C48">
        <v>42004</v>
      </c>
      <c r="D48" s="61">
        <v>6053000000</v>
      </c>
      <c r="E48" s="61">
        <v>3586000000</v>
      </c>
      <c r="F48" s="61">
        <v>468000000</v>
      </c>
      <c r="G48" s="61">
        <v>0</v>
      </c>
      <c r="H48" s="61">
        <v>745000000</v>
      </c>
      <c r="I48" t="s">
        <v>36</v>
      </c>
      <c r="J48" t="s">
        <v>37</v>
      </c>
      <c r="K48" s="61">
        <f t="shared" si="0"/>
        <v>2467000000</v>
      </c>
      <c r="L48" s="61">
        <f t="shared" si="1"/>
        <v>1213000000</v>
      </c>
      <c r="M48" s="61">
        <f t="shared" si="2"/>
        <v>1254000000</v>
      </c>
    </row>
    <row r="49" spans="1:13" x14ac:dyDescent="0.25">
      <c r="A49" t="s">
        <v>35</v>
      </c>
      <c r="B49" t="s">
        <v>11</v>
      </c>
      <c r="C49">
        <v>42369</v>
      </c>
      <c r="D49" s="61">
        <v>6098000000</v>
      </c>
      <c r="E49" s="61">
        <v>3501000000</v>
      </c>
      <c r="F49" s="61">
        <v>542000000</v>
      </c>
      <c r="G49" s="61">
        <v>0</v>
      </c>
      <c r="H49" s="61">
        <v>796000000</v>
      </c>
      <c r="I49" t="s">
        <v>36</v>
      </c>
      <c r="J49" t="s">
        <v>37</v>
      </c>
      <c r="K49" s="61">
        <f t="shared" si="0"/>
        <v>2597000000</v>
      </c>
      <c r="L49" s="61">
        <f t="shared" si="1"/>
        <v>1338000000</v>
      </c>
      <c r="M49" s="61">
        <f t="shared" si="2"/>
        <v>1259000000</v>
      </c>
    </row>
    <row r="50" spans="1:13" x14ac:dyDescent="0.25">
      <c r="A50" t="s">
        <v>38</v>
      </c>
      <c r="B50" t="s">
        <v>6</v>
      </c>
      <c r="C50">
        <v>41274</v>
      </c>
      <c r="D50" s="61">
        <v>14945000000</v>
      </c>
      <c r="E50" s="61">
        <v>6395000000</v>
      </c>
      <c r="F50" s="61">
        <v>3812000000</v>
      </c>
      <c r="G50" s="61">
        <v>0</v>
      </c>
      <c r="H50" s="61">
        <v>1782000000</v>
      </c>
      <c r="I50" t="s">
        <v>36</v>
      </c>
      <c r="J50" t="s">
        <v>39</v>
      </c>
      <c r="K50" s="61">
        <f t="shared" si="0"/>
        <v>8550000000</v>
      </c>
      <c r="L50" s="61">
        <f t="shared" si="1"/>
        <v>5594000000</v>
      </c>
      <c r="M50" s="61">
        <f t="shared" si="2"/>
        <v>2956000000</v>
      </c>
    </row>
    <row r="51" spans="1:13" x14ac:dyDescent="0.25">
      <c r="A51" t="s">
        <v>38</v>
      </c>
      <c r="B51" t="s">
        <v>9</v>
      </c>
      <c r="C51">
        <v>41639</v>
      </c>
      <c r="D51" s="61">
        <v>14813500000</v>
      </c>
      <c r="E51" s="61">
        <v>6722300000</v>
      </c>
      <c r="F51" s="61">
        <v>3329800000</v>
      </c>
      <c r="G51" s="61">
        <v>0</v>
      </c>
      <c r="H51" s="61">
        <v>1712500000</v>
      </c>
      <c r="I51" t="s">
        <v>36</v>
      </c>
      <c r="J51" t="s">
        <v>39</v>
      </c>
      <c r="K51" s="61">
        <f t="shared" si="0"/>
        <v>8091200000</v>
      </c>
      <c r="L51" s="61">
        <f t="shared" si="1"/>
        <v>5042300000</v>
      </c>
      <c r="M51" s="61">
        <f t="shared" si="2"/>
        <v>3048900000</v>
      </c>
    </row>
    <row r="52" spans="1:13" x14ac:dyDescent="0.25">
      <c r="A52" t="s">
        <v>38</v>
      </c>
      <c r="B52" t="s">
        <v>10</v>
      </c>
      <c r="C52">
        <v>42004</v>
      </c>
      <c r="D52" s="61">
        <v>16378600000</v>
      </c>
      <c r="E52" s="61">
        <v>7685700000</v>
      </c>
      <c r="F52" s="61">
        <v>3667900000</v>
      </c>
      <c r="G52" s="61">
        <v>0</v>
      </c>
      <c r="H52" s="61">
        <v>1897600000</v>
      </c>
      <c r="I52" t="s">
        <v>36</v>
      </c>
      <c r="J52" t="s">
        <v>39</v>
      </c>
      <c r="K52" s="61">
        <f t="shared" si="0"/>
        <v>8692900000</v>
      </c>
      <c r="L52" s="61">
        <f t="shared" si="1"/>
        <v>5565500000</v>
      </c>
      <c r="M52" s="61">
        <f t="shared" si="2"/>
        <v>3127400000</v>
      </c>
    </row>
    <row r="53" spans="1:13" x14ac:dyDescent="0.25">
      <c r="A53" t="s">
        <v>38</v>
      </c>
      <c r="B53" t="s">
        <v>11</v>
      </c>
      <c r="C53">
        <v>42369</v>
      </c>
      <c r="D53" s="61">
        <v>16453200000</v>
      </c>
      <c r="E53" s="61">
        <v>7433500000</v>
      </c>
      <c r="F53" s="61">
        <v>3676500000</v>
      </c>
      <c r="G53" s="61">
        <v>0</v>
      </c>
      <c r="H53" s="61">
        <v>2009700000</v>
      </c>
      <c r="I53" t="s">
        <v>36</v>
      </c>
      <c r="J53" t="s">
        <v>39</v>
      </c>
      <c r="K53" s="61">
        <f t="shared" si="0"/>
        <v>9019700000</v>
      </c>
      <c r="L53" s="61">
        <f t="shared" si="1"/>
        <v>5686200000</v>
      </c>
      <c r="M53" s="61">
        <f t="shared" si="2"/>
        <v>3333500000</v>
      </c>
    </row>
    <row r="54" spans="1:13" x14ac:dyDescent="0.25">
      <c r="A54" t="s">
        <v>40</v>
      </c>
      <c r="B54" t="s">
        <v>6</v>
      </c>
      <c r="C54">
        <v>41274</v>
      </c>
      <c r="D54" s="61">
        <v>25364000000</v>
      </c>
      <c r="E54" s="61">
        <v>17074000000</v>
      </c>
      <c r="F54" s="61">
        <v>0</v>
      </c>
      <c r="G54" s="61">
        <v>0</v>
      </c>
      <c r="H54" s="61">
        <v>3727000000</v>
      </c>
      <c r="I54" t="s">
        <v>41</v>
      </c>
      <c r="J54" t="s">
        <v>42</v>
      </c>
      <c r="K54" s="61">
        <f t="shared" si="0"/>
        <v>8290000000</v>
      </c>
      <c r="L54" s="61">
        <f t="shared" si="1"/>
        <v>3727000000</v>
      </c>
      <c r="M54" s="61">
        <f t="shared" si="2"/>
        <v>4563000000</v>
      </c>
    </row>
    <row r="55" spans="1:13" x14ac:dyDescent="0.25">
      <c r="A55" t="s">
        <v>40</v>
      </c>
      <c r="B55" t="s">
        <v>9</v>
      </c>
      <c r="C55">
        <v>41639</v>
      </c>
      <c r="D55" s="61">
        <v>23939000000</v>
      </c>
      <c r="E55" s="61">
        <v>15341000000</v>
      </c>
      <c r="F55" s="61">
        <v>0</v>
      </c>
      <c r="G55" s="61">
        <v>0</v>
      </c>
      <c r="H55" s="61">
        <v>3489000000</v>
      </c>
      <c r="I55" t="s">
        <v>41</v>
      </c>
      <c r="J55" t="s">
        <v>42</v>
      </c>
      <c r="K55" s="61">
        <f t="shared" si="0"/>
        <v>8598000000</v>
      </c>
      <c r="L55" s="61">
        <f t="shared" si="1"/>
        <v>3489000000</v>
      </c>
      <c r="M55" s="61">
        <f t="shared" si="2"/>
        <v>5109000000</v>
      </c>
    </row>
    <row r="56" spans="1:13" x14ac:dyDescent="0.25">
      <c r="A56" t="s">
        <v>40</v>
      </c>
      <c r="B56" t="s">
        <v>10</v>
      </c>
      <c r="C56">
        <v>42004</v>
      </c>
      <c r="D56" s="61">
        <v>22728000000</v>
      </c>
      <c r="E56" s="61">
        <v>14373000000</v>
      </c>
      <c r="F56" s="61">
        <v>0</v>
      </c>
      <c r="G56" s="61">
        <v>0</v>
      </c>
      <c r="H56" s="61">
        <v>3547000000</v>
      </c>
      <c r="I56" t="s">
        <v>41</v>
      </c>
      <c r="J56" t="s">
        <v>42</v>
      </c>
      <c r="K56" s="61">
        <f t="shared" si="0"/>
        <v>8355000000</v>
      </c>
      <c r="L56" s="61">
        <f t="shared" si="1"/>
        <v>3547000000</v>
      </c>
      <c r="M56" s="61">
        <f t="shared" si="2"/>
        <v>4808000000</v>
      </c>
    </row>
    <row r="57" spans="1:13" x14ac:dyDescent="0.25">
      <c r="A57" t="s">
        <v>40</v>
      </c>
      <c r="B57" t="s">
        <v>11</v>
      </c>
      <c r="C57">
        <v>42369</v>
      </c>
      <c r="D57" s="61">
        <v>20872000000</v>
      </c>
      <c r="E57" s="61">
        <v>13049000000</v>
      </c>
      <c r="F57" s="61">
        <v>0</v>
      </c>
      <c r="G57" s="61">
        <v>0</v>
      </c>
      <c r="H57" s="61">
        <v>3672000000</v>
      </c>
      <c r="I57" t="s">
        <v>41</v>
      </c>
      <c r="J57" t="s">
        <v>42</v>
      </c>
      <c r="K57" s="61">
        <f t="shared" si="0"/>
        <v>7823000000</v>
      </c>
      <c r="L57" s="61">
        <f t="shared" si="1"/>
        <v>3672000000</v>
      </c>
      <c r="M57" s="61">
        <f t="shared" si="2"/>
        <v>4151000000</v>
      </c>
    </row>
    <row r="58" spans="1:13" x14ac:dyDescent="0.25">
      <c r="A58" t="s">
        <v>43</v>
      </c>
      <c r="B58" t="s">
        <v>6</v>
      </c>
      <c r="C58">
        <v>41274</v>
      </c>
      <c r="D58" s="61">
        <v>71214000000</v>
      </c>
      <c r="E58" s="61">
        <v>37745000000</v>
      </c>
      <c r="F58" s="61">
        <v>21491000000</v>
      </c>
      <c r="G58" s="61">
        <v>0</v>
      </c>
      <c r="H58" s="61">
        <v>0</v>
      </c>
      <c r="I58" t="s">
        <v>41</v>
      </c>
      <c r="J58" t="s">
        <v>44</v>
      </c>
      <c r="K58" s="61">
        <f t="shared" si="0"/>
        <v>33469000000</v>
      </c>
      <c r="L58" s="61">
        <f t="shared" si="1"/>
        <v>21491000000</v>
      </c>
      <c r="M58" s="61">
        <f t="shared" si="2"/>
        <v>11978000000</v>
      </c>
    </row>
    <row r="59" spans="1:13" x14ac:dyDescent="0.25">
      <c r="A59" t="s">
        <v>43</v>
      </c>
      <c r="B59" t="s">
        <v>9</v>
      </c>
      <c r="C59">
        <v>41639</v>
      </c>
      <c r="D59" s="61">
        <v>68874000000</v>
      </c>
      <c r="E59" s="61">
        <v>34660000000</v>
      </c>
      <c r="F59" s="61">
        <v>22005000000</v>
      </c>
      <c r="G59" s="61">
        <v>0</v>
      </c>
      <c r="H59" s="61">
        <v>0</v>
      </c>
      <c r="I59" t="s">
        <v>41</v>
      </c>
      <c r="J59" t="s">
        <v>44</v>
      </c>
      <c r="K59" s="61">
        <f t="shared" si="0"/>
        <v>34214000000</v>
      </c>
      <c r="L59" s="61">
        <f t="shared" si="1"/>
        <v>22005000000</v>
      </c>
      <c r="M59" s="61">
        <f t="shared" si="2"/>
        <v>12209000000</v>
      </c>
    </row>
    <row r="60" spans="1:13" x14ac:dyDescent="0.25">
      <c r="A60" t="s">
        <v>43</v>
      </c>
      <c r="B60" t="s">
        <v>10</v>
      </c>
      <c r="C60">
        <v>42004</v>
      </c>
      <c r="D60" s="61">
        <v>64406000000</v>
      </c>
      <c r="E60" s="61">
        <v>33611000000</v>
      </c>
      <c r="F60" s="61">
        <v>18491000000</v>
      </c>
      <c r="G60" s="61">
        <v>0</v>
      </c>
      <c r="H60" s="61">
        <v>0</v>
      </c>
      <c r="I60" t="s">
        <v>41</v>
      </c>
      <c r="J60" t="s">
        <v>44</v>
      </c>
      <c r="K60" s="61">
        <f t="shared" si="0"/>
        <v>30795000000</v>
      </c>
      <c r="L60" s="61">
        <f t="shared" si="1"/>
        <v>18491000000</v>
      </c>
      <c r="M60" s="61">
        <f t="shared" si="2"/>
        <v>12304000000</v>
      </c>
    </row>
    <row r="61" spans="1:13" x14ac:dyDescent="0.25">
      <c r="A61" t="s">
        <v>43</v>
      </c>
      <c r="B61" t="s">
        <v>11</v>
      </c>
      <c r="C61">
        <v>42369</v>
      </c>
      <c r="D61" s="61">
        <v>58327000000</v>
      </c>
      <c r="E61" s="61">
        <v>36581000000</v>
      </c>
      <c r="F61" s="61">
        <v>16417000000</v>
      </c>
      <c r="G61" s="61">
        <v>0</v>
      </c>
      <c r="H61" s="61">
        <v>0</v>
      </c>
      <c r="I61" t="s">
        <v>41</v>
      </c>
      <c r="J61" t="s">
        <v>44</v>
      </c>
      <c r="K61" s="61">
        <f t="shared" si="0"/>
        <v>21746000000</v>
      </c>
      <c r="L61" s="61">
        <f t="shared" si="1"/>
        <v>16417000000</v>
      </c>
      <c r="M61" s="61">
        <f t="shared" si="2"/>
        <v>5329000000</v>
      </c>
    </row>
    <row r="62" spans="1:13" x14ac:dyDescent="0.25">
      <c r="A62" t="s">
        <v>45</v>
      </c>
      <c r="B62" t="s">
        <v>6</v>
      </c>
      <c r="C62">
        <v>41274</v>
      </c>
      <c r="D62" s="61">
        <v>958511000</v>
      </c>
      <c r="E62" s="61">
        <v>386355000</v>
      </c>
      <c r="F62" s="61">
        <v>61732000</v>
      </c>
      <c r="G62" s="61">
        <v>0</v>
      </c>
      <c r="H62" s="61">
        <v>325173000</v>
      </c>
      <c r="I62" t="s">
        <v>46</v>
      </c>
      <c r="J62" t="s">
        <v>47</v>
      </c>
      <c r="K62" s="61">
        <f t="shared" si="0"/>
        <v>572156000</v>
      </c>
      <c r="L62" s="61">
        <f t="shared" si="1"/>
        <v>386905000</v>
      </c>
      <c r="M62" s="61">
        <f t="shared" si="2"/>
        <v>185251000</v>
      </c>
    </row>
    <row r="63" spans="1:13" x14ac:dyDescent="0.25">
      <c r="A63" t="s">
        <v>45</v>
      </c>
      <c r="B63" t="s">
        <v>9</v>
      </c>
      <c r="C63">
        <v>41639</v>
      </c>
      <c r="D63" s="61">
        <v>974053000</v>
      </c>
      <c r="E63" s="61">
        <v>380051000</v>
      </c>
      <c r="F63" s="61">
        <v>53073000</v>
      </c>
      <c r="G63" s="61">
        <v>0</v>
      </c>
      <c r="H63" s="61">
        <v>291910000</v>
      </c>
      <c r="I63" t="s">
        <v>46</v>
      </c>
      <c r="J63" t="s">
        <v>47</v>
      </c>
      <c r="K63" s="61">
        <f t="shared" si="0"/>
        <v>594002000</v>
      </c>
      <c r="L63" s="61">
        <f t="shared" si="1"/>
        <v>344983000</v>
      </c>
      <c r="M63" s="61">
        <f t="shared" si="2"/>
        <v>249019000</v>
      </c>
    </row>
    <row r="64" spans="1:13" x14ac:dyDescent="0.25">
      <c r="A64" t="s">
        <v>45</v>
      </c>
      <c r="B64" t="s">
        <v>10</v>
      </c>
      <c r="C64">
        <v>42004</v>
      </c>
      <c r="D64" s="61">
        <v>984363000</v>
      </c>
      <c r="E64" s="61">
        <v>380964000</v>
      </c>
      <c r="F64" s="61">
        <v>56621000</v>
      </c>
      <c r="G64" s="61">
        <v>0</v>
      </c>
      <c r="H64" s="61">
        <v>282608000</v>
      </c>
      <c r="I64" t="s">
        <v>46</v>
      </c>
      <c r="J64" t="s">
        <v>47</v>
      </c>
      <c r="K64" s="61">
        <f t="shared" si="0"/>
        <v>603399000</v>
      </c>
      <c r="L64" s="61">
        <f t="shared" si="1"/>
        <v>339229000</v>
      </c>
      <c r="M64" s="61">
        <f t="shared" si="2"/>
        <v>264170000</v>
      </c>
    </row>
    <row r="65" spans="1:13" x14ac:dyDescent="0.25">
      <c r="A65" t="s">
        <v>45</v>
      </c>
      <c r="B65" t="s">
        <v>11</v>
      </c>
      <c r="C65">
        <v>42369</v>
      </c>
      <c r="D65" s="61">
        <v>981310000</v>
      </c>
      <c r="E65" s="61">
        <v>365248000</v>
      </c>
      <c r="F65" s="61">
        <v>53546000</v>
      </c>
      <c r="G65" s="61">
        <v>0</v>
      </c>
      <c r="H65" s="61">
        <v>306301000</v>
      </c>
      <c r="I65" t="s">
        <v>46</v>
      </c>
      <c r="J65" t="s">
        <v>47</v>
      </c>
      <c r="K65" s="61">
        <f t="shared" si="0"/>
        <v>616062000</v>
      </c>
      <c r="L65" s="61">
        <f t="shared" si="1"/>
        <v>359847000</v>
      </c>
      <c r="M65" s="61">
        <f t="shared" si="2"/>
        <v>256215000</v>
      </c>
    </row>
    <row r="66" spans="1:13" x14ac:dyDescent="0.25">
      <c r="A66" t="s">
        <v>48</v>
      </c>
      <c r="B66" t="s">
        <v>6</v>
      </c>
      <c r="C66">
        <v>41639</v>
      </c>
      <c r="D66" s="61">
        <v>9047657000</v>
      </c>
      <c r="E66" s="61">
        <v>6709936000</v>
      </c>
      <c r="F66" s="61">
        <v>0</v>
      </c>
      <c r="G66" s="61">
        <v>0</v>
      </c>
      <c r="H66" s="61">
        <v>1470287000</v>
      </c>
      <c r="I66" t="s">
        <v>41</v>
      </c>
      <c r="J66" t="s">
        <v>49</v>
      </c>
      <c r="K66" s="61">
        <f t="shared" ref="K66:K129" si="3">D66-E66</f>
        <v>2337721000</v>
      </c>
      <c r="L66" s="61">
        <f t="shared" ref="L66:L129" si="4">F66+G66+H66</f>
        <v>1470287000</v>
      </c>
      <c r="M66" s="61">
        <f t="shared" si="2"/>
        <v>867434000</v>
      </c>
    </row>
    <row r="67" spans="1:13" x14ac:dyDescent="0.25">
      <c r="A67" t="s">
        <v>48</v>
      </c>
      <c r="B67" t="s">
        <v>9</v>
      </c>
      <c r="C67">
        <v>42004</v>
      </c>
      <c r="D67" s="61">
        <v>10381653000</v>
      </c>
      <c r="E67" s="61">
        <v>8093563000</v>
      </c>
      <c r="F67" s="61">
        <v>0</v>
      </c>
      <c r="G67" s="61">
        <v>0</v>
      </c>
      <c r="H67" s="61">
        <v>1485558000</v>
      </c>
      <c r="I67" t="s">
        <v>41</v>
      </c>
      <c r="J67" t="s">
        <v>49</v>
      </c>
      <c r="K67" s="61">
        <f t="shared" si="3"/>
        <v>2288090000</v>
      </c>
      <c r="L67" s="61">
        <f t="shared" si="4"/>
        <v>1485558000</v>
      </c>
      <c r="M67" s="61">
        <f t="shared" ref="M67:M130" si="5">K67-L67</f>
        <v>802532000</v>
      </c>
    </row>
    <row r="68" spans="1:13" x14ac:dyDescent="0.25">
      <c r="A68" t="s">
        <v>48</v>
      </c>
      <c r="B68" t="s">
        <v>10</v>
      </c>
      <c r="C68">
        <v>42369</v>
      </c>
      <c r="D68" s="61">
        <v>10325494000</v>
      </c>
      <c r="E68" s="61">
        <v>8666624000</v>
      </c>
      <c r="F68" s="61">
        <v>0</v>
      </c>
      <c r="G68" s="61">
        <v>0</v>
      </c>
      <c r="H68" s="61">
        <v>1402573000</v>
      </c>
      <c r="I68" t="s">
        <v>41</v>
      </c>
      <c r="J68" t="s">
        <v>49</v>
      </c>
      <c r="K68" s="61">
        <f t="shared" si="3"/>
        <v>1658870000</v>
      </c>
      <c r="L68" s="61">
        <f t="shared" si="4"/>
        <v>1402573000</v>
      </c>
      <c r="M68" s="61">
        <f t="shared" si="5"/>
        <v>256297000</v>
      </c>
    </row>
    <row r="69" spans="1:13" x14ac:dyDescent="0.25">
      <c r="A69" t="s">
        <v>48</v>
      </c>
      <c r="B69" t="s">
        <v>11</v>
      </c>
      <c r="C69">
        <v>42735</v>
      </c>
      <c r="D69" s="61">
        <v>7531780000</v>
      </c>
      <c r="E69" s="61">
        <v>5251228000</v>
      </c>
      <c r="F69" s="61">
        <v>0</v>
      </c>
      <c r="G69" s="61">
        <v>0</v>
      </c>
      <c r="H69" s="61">
        <v>1351314000</v>
      </c>
      <c r="I69" t="s">
        <v>41</v>
      </c>
      <c r="J69" t="s">
        <v>49</v>
      </c>
      <c r="K69" s="61">
        <f t="shared" si="3"/>
        <v>2280552000</v>
      </c>
      <c r="L69" s="61">
        <f t="shared" si="4"/>
        <v>1351314000</v>
      </c>
      <c r="M69" s="61">
        <f t="shared" si="5"/>
        <v>929238000</v>
      </c>
    </row>
    <row r="70" spans="1:13" x14ac:dyDescent="0.25">
      <c r="A70" t="s">
        <v>50</v>
      </c>
      <c r="B70" t="s">
        <v>6</v>
      </c>
      <c r="C70">
        <v>41274</v>
      </c>
      <c r="D70" s="61">
        <v>1373947000</v>
      </c>
      <c r="E70" s="61">
        <v>529900000</v>
      </c>
      <c r="F70" s="61">
        <v>433448000</v>
      </c>
      <c r="G70" s="61">
        <v>74744000</v>
      </c>
      <c r="H70" s="61">
        <v>20962000</v>
      </c>
      <c r="I70" t="s">
        <v>16</v>
      </c>
      <c r="J70" t="s">
        <v>51</v>
      </c>
      <c r="K70" s="61">
        <f t="shared" si="3"/>
        <v>844047000</v>
      </c>
      <c r="L70" s="61">
        <f t="shared" si="4"/>
        <v>529154000</v>
      </c>
      <c r="M70" s="61">
        <f t="shared" si="5"/>
        <v>314893000</v>
      </c>
    </row>
    <row r="71" spans="1:13" x14ac:dyDescent="0.25">
      <c r="A71" t="s">
        <v>50</v>
      </c>
      <c r="B71" t="s">
        <v>9</v>
      </c>
      <c r="C71">
        <v>41639</v>
      </c>
      <c r="D71" s="61">
        <v>1577922000</v>
      </c>
      <c r="E71" s="61">
        <v>511087000</v>
      </c>
      <c r="F71" s="61">
        <v>535598000</v>
      </c>
      <c r="G71" s="61">
        <v>93879000</v>
      </c>
      <c r="H71" s="61">
        <v>21547000</v>
      </c>
      <c r="I71" t="s">
        <v>16</v>
      </c>
      <c r="J71" t="s">
        <v>51</v>
      </c>
      <c r="K71" s="61">
        <f t="shared" si="3"/>
        <v>1066835000</v>
      </c>
      <c r="L71" s="61">
        <f t="shared" si="4"/>
        <v>651024000</v>
      </c>
      <c r="M71" s="61">
        <f t="shared" si="5"/>
        <v>415811000</v>
      </c>
    </row>
    <row r="72" spans="1:13" x14ac:dyDescent="0.25">
      <c r="A72" t="s">
        <v>50</v>
      </c>
      <c r="B72" t="s">
        <v>10</v>
      </c>
      <c r="C72">
        <v>42004</v>
      </c>
      <c r="D72" s="61">
        <v>1963874000</v>
      </c>
      <c r="E72" s="61">
        <v>610943000</v>
      </c>
      <c r="F72" s="61">
        <v>704880000</v>
      </c>
      <c r="G72" s="61">
        <v>125286000</v>
      </c>
      <c r="H72" s="61">
        <v>32057000</v>
      </c>
      <c r="I72" t="s">
        <v>16</v>
      </c>
      <c r="J72" t="s">
        <v>51</v>
      </c>
      <c r="K72" s="61">
        <f t="shared" si="3"/>
        <v>1352931000</v>
      </c>
      <c r="L72" s="61">
        <f t="shared" si="4"/>
        <v>862223000</v>
      </c>
      <c r="M72" s="61">
        <f t="shared" si="5"/>
        <v>490708000</v>
      </c>
    </row>
    <row r="73" spans="1:13" x14ac:dyDescent="0.25">
      <c r="A73" t="s">
        <v>50</v>
      </c>
      <c r="B73" t="s">
        <v>11</v>
      </c>
      <c r="C73">
        <v>42369</v>
      </c>
      <c r="D73" s="61">
        <v>2197448000</v>
      </c>
      <c r="E73" s="61">
        <v>725620000</v>
      </c>
      <c r="F73" s="61">
        <v>829253000</v>
      </c>
      <c r="G73" s="61">
        <v>148591000</v>
      </c>
      <c r="H73" s="61">
        <v>27067000</v>
      </c>
      <c r="I73" t="s">
        <v>16</v>
      </c>
      <c r="J73" t="s">
        <v>51</v>
      </c>
      <c r="K73" s="61">
        <f t="shared" si="3"/>
        <v>1471828000</v>
      </c>
      <c r="L73" s="61">
        <f t="shared" si="4"/>
        <v>1004911000</v>
      </c>
      <c r="M73" s="61">
        <f t="shared" si="5"/>
        <v>466917000</v>
      </c>
    </row>
    <row r="74" spans="1:13" x14ac:dyDescent="0.25">
      <c r="A74" t="s">
        <v>52</v>
      </c>
      <c r="B74" t="s">
        <v>6</v>
      </c>
      <c r="C74">
        <v>41274</v>
      </c>
      <c r="D74" s="61">
        <v>2519154000</v>
      </c>
      <c r="E74" s="61">
        <v>1620311000</v>
      </c>
      <c r="F74" s="61">
        <v>308456000</v>
      </c>
      <c r="G74" s="61">
        <v>78919000</v>
      </c>
      <c r="H74" s="61">
        <v>0</v>
      </c>
      <c r="I74" t="s">
        <v>53</v>
      </c>
      <c r="J74" t="s">
        <v>54</v>
      </c>
      <c r="K74" s="61">
        <f t="shared" si="3"/>
        <v>898843000</v>
      </c>
      <c r="L74" s="61">
        <f t="shared" si="4"/>
        <v>387375000</v>
      </c>
      <c r="M74" s="61">
        <f t="shared" si="5"/>
        <v>511468000</v>
      </c>
    </row>
    <row r="75" spans="1:13" x14ac:dyDescent="0.25">
      <c r="A75" t="s">
        <v>52</v>
      </c>
      <c r="B75" t="s">
        <v>9</v>
      </c>
      <c r="C75">
        <v>41639</v>
      </c>
      <c r="D75" s="61">
        <v>2394270000</v>
      </c>
      <c r="E75" s="61">
        <v>1543799000</v>
      </c>
      <c r="F75" s="61">
        <v>158189000</v>
      </c>
      <c r="G75" s="61">
        <v>82246000</v>
      </c>
      <c r="H75" s="61">
        <v>0</v>
      </c>
      <c r="I75" t="s">
        <v>53</v>
      </c>
      <c r="J75" t="s">
        <v>54</v>
      </c>
      <c r="K75" s="61">
        <f t="shared" si="3"/>
        <v>850471000</v>
      </c>
      <c r="L75" s="61">
        <f t="shared" si="4"/>
        <v>240435000</v>
      </c>
      <c r="M75" s="61">
        <f t="shared" si="5"/>
        <v>610036000</v>
      </c>
    </row>
    <row r="76" spans="1:13" x14ac:dyDescent="0.25">
      <c r="A76" t="s">
        <v>52</v>
      </c>
      <c r="B76" t="s">
        <v>10</v>
      </c>
      <c r="C76">
        <v>42004</v>
      </c>
      <c r="D76" s="61">
        <v>2445548000</v>
      </c>
      <c r="E76" s="61">
        <v>1674700000</v>
      </c>
      <c r="F76" s="61">
        <v>355135000</v>
      </c>
      <c r="G76" s="61">
        <v>88310000</v>
      </c>
      <c r="H76" s="61">
        <v>0</v>
      </c>
      <c r="I76" t="s">
        <v>53</v>
      </c>
      <c r="J76" t="s">
        <v>54</v>
      </c>
      <c r="K76" s="61">
        <f t="shared" si="3"/>
        <v>770848000</v>
      </c>
      <c r="L76" s="61">
        <f t="shared" si="4"/>
        <v>443445000</v>
      </c>
      <c r="M76" s="61">
        <f t="shared" si="5"/>
        <v>327403000</v>
      </c>
    </row>
    <row r="77" spans="1:13" x14ac:dyDescent="0.25">
      <c r="A77" t="s">
        <v>52</v>
      </c>
      <c r="B77" t="s">
        <v>11</v>
      </c>
      <c r="C77">
        <v>42369</v>
      </c>
      <c r="D77" s="61">
        <v>3651335000</v>
      </c>
      <c r="E77" s="61">
        <v>2454463000</v>
      </c>
      <c r="F77" s="61">
        <v>512274000</v>
      </c>
      <c r="G77" s="61">
        <v>102871000</v>
      </c>
      <c r="H77" s="61">
        <v>0</v>
      </c>
      <c r="I77" t="s">
        <v>53</v>
      </c>
      <c r="J77" t="s">
        <v>54</v>
      </c>
      <c r="K77" s="61">
        <f t="shared" si="3"/>
        <v>1196872000</v>
      </c>
      <c r="L77" s="61">
        <f t="shared" si="4"/>
        <v>615145000</v>
      </c>
      <c r="M77" s="61">
        <f t="shared" si="5"/>
        <v>581727000</v>
      </c>
    </row>
    <row r="78" spans="1:13" x14ac:dyDescent="0.25">
      <c r="A78" t="s">
        <v>55</v>
      </c>
      <c r="B78" t="s">
        <v>6</v>
      </c>
      <c r="C78">
        <v>41274</v>
      </c>
      <c r="D78" s="61">
        <v>4657000000</v>
      </c>
      <c r="E78" s="61">
        <v>2319000000</v>
      </c>
      <c r="F78" s="61">
        <v>1542000000</v>
      </c>
      <c r="G78" s="61">
        <v>0</v>
      </c>
      <c r="H78" s="61">
        <v>264000000</v>
      </c>
      <c r="I78" t="s">
        <v>7</v>
      </c>
      <c r="J78" t="s">
        <v>8</v>
      </c>
      <c r="K78" s="61">
        <f t="shared" si="3"/>
        <v>2338000000</v>
      </c>
      <c r="L78" s="61">
        <f t="shared" si="4"/>
        <v>1806000000</v>
      </c>
      <c r="M78" s="61">
        <f t="shared" si="5"/>
        <v>532000000</v>
      </c>
    </row>
    <row r="79" spans="1:13" x14ac:dyDescent="0.25">
      <c r="A79" t="s">
        <v>55</v>
      </c>
      <c r="B79" t="s">
        <v>9</v>
      </c>
      <c r="C79">
        <v>41639</v>
      </c>
      <c r="D79" s="61">
        <v>5156000000</v>
      </c>
      <c r="E79" s="61">
        <v>2355000000</v>
      </c>
      <c r="F79" s="61">
        <v>1693000000</v>
      </c>
      <c r="G79" s="61">
        <v>0</v>
      </c>
      <c r="H79" s="61">
        <v>270000000</v>
      </c>
      <c r="I79" t="s">
        <v>7</v>
      </c>
      <c r="J79" t="s">
        <v>8</v>
      </c>
      <c r="K79" s="61">
        <f t="shared" si="3"/>
        <v>2801000000</v>
      </c>
      <c r="L79" s="61">
        <f t="shared" si="4"/>
        <v>1963000000</v>
      </c>
      <c r="M79" s="61">
        <f t="shared" si="5"/>
        <v>838000000</v>
      </c>
    </row>
    <row r="80" spans="1:13" x14ac:dyDescent="0.25">
      <c r="A80" t="s">
        <v>55</v>
      </c>
      <c r="B80" t="s">
        <v>10</v>
      </c>
      <c r="C80">
        <v>42004</v>
      </c>
      <c r="D80" s="61">
        <v>5368000000</v>
      </c>
      <c r="E80" s="61">
        <v>2325000000</v>
      </c>
      <c r="F80" s="61">
        <v>1817000000</v>
      </c>
      <c r="G80" s="61">
        <v>0</v>
      </c>
      <c r="H80" s="61">
        <v>294000000</v>
      </c>
      <c r="I80" t="s">
        <v>7</v>
      </c>
      <c r="J80" t="s">
        <v>8</v>
      </c>
      <c r="K80" s="61">
        <f t="shared" si="3"/>
        <v>3043000000</v>
      </c>
      <c r="L80" s="61">
        <f t="shared" si="4"/>
        <v>2111000000</v>
      </c>
      <c r="M80" s="61">
        <f t="shared" si="5"/>
        <v>932000000</v>
      </c>
    </row>
    <row r="81" spans="1:13" x14ac:dyDescent="0.25">
      <c r="A81" t="s">
        <v>55</v>
      </c>
      <c r="B81" t="s">
        <v>11</v>
      </c>
      <c r="C81">
        <v>42369</v>
      </c>
      <c r="D81" s="61">
        <v>5598000000</v>
      </c>
      <c r="E81" s="61">
        <v>1935000000</v>
      </c>
      <c r="F81" s="61">
        <v>2013000000</v>
      </c>
      <c r="G81" s="61">
        <v>0</v>
      </c>
      <c r="H81" s="61">
        <v>320000000</v>
      </c>
      <c r="I81" t="s">
        <v>7</v>
      </c>
      <c r="J81" t="s">
        <v>8</v>
      </c>
      <c r="K81" s="61">
        <f t="shared" si="3"/>
        <v>3663000000</v>
      </c>
      <c r="L81" s="61">
        <f t="shared" si="4"/>
        <v>2333000000</v>
      </c>
      <c r="M81" s="61">
        <f t="shared" si="5"/>
        <v>1330000000</v>
      </c>
    </row>
    <row r="82" spans="1:13" x14ac:dyDescent="0.25">
      <c r="A82" t="s">
        <v>56</v>
      </c>
      <c r="B82" t="s">
        <v>6</v>
      </c>
      <c r="C82">
        <v>41274</v>
      </c>
      <c r="D82" s="61">
        <v>33315000000</v>
      </c>
      <c r="E82" s="61">
        <v>21618000000</v>
      </c>
      <c r="F82" s="61">
        <v>0</v>
      </c>
      <c r="G82" s="61">
        <v>0</v>
      </c>
      <c r="H82" s="61">
        <v>8002000000</v>
      </c>
      <c r="I82" t="s">
        <v>41</v>
      </c>
      <c r="J82" t="s">
        <v>44</v>
      </c>
      <c r="K82" s="61">
        <f t="shared" si="3"/>
        <v>11697000000</v>
      </c>
      <c r="L82" s="61">
        <f t="shared" si="4"/>
        <v>8002000000</v>
      </c>
      <c r="M82" s="61">
        <f t="shared" si="5"/>
        <v>3695000000</v>
      </c>
    </row>
    <row r="83" spans="1:13" x14ac:dyDescent="0.25">
      <c r="A83" t="s">
        <v>56</v>
      </c>
      <c r="B83" t="s">
        <v>9</v>
      </c>
      <c r="C83">
        <v>41639</v>
      </c>
      <c r="D83" s="61">
        <v>34507000000</v>
      </c>
      <c r="E83" s="61">
        <v>19828000000</v>
      </c>
      <c r="F83" s="61">
        <v>1278000000</v>
      </c>
      <c r="G83" s="61">
        <v>0</v>
      </c>
      <c r="H83" s="61">
        <v>8389000000</v>
      </c>
      <c r="I83" t="s">
        <v>41</v>
      </c>
      <c r="J83" t="s">
        <v>44</v>
      </c>
      <c r="K83" s="61">
        <f t="shared" si="3"/>
        <v>14679000000</v>
      </c>
      <c r="L83" s="61">
        <f t="shared" si="4"/>
        <v>9667000000</v>
      </c>
      <c r="M83" s="61">
        <f t="shared" si="5"/>
        <v>5012000000</v>
      </c>
    </row>
    <row r="84" spans="1:13" x14ac:dyDescent="0.25">
      <c r="A84" t="s">
        <v>56</v>
      </c>
      <c r="B84" t="s">
        <v>10</v>
      </c>
      <c r="C84">
        <v>42004</v>
      </c>
      <c r="D84" s="61">
        <v>35239000000</v>
      </c>
      <c r="E84" s="61">
        <v>21193000000</v>
      </c>
      <c r="F84" s="61">
        <v>919000000</v>
      </c>
      <c r="G84" s="61">
        <v>0</v>
      </c>
      <c r="H84" s="61">
        <v>8476000000</v>
      </c>
      <c r="I84" t="s">
        <v>41</v>
      </c>
      <c r="J84" t="s">
        <v>44</v>
      </c>
      <c r="K84" s="61">
        <f t="shared" si="3"/>
        <v>14046000000</v>
      </c>
      <c r="L84" s="61">
        <f t="shared" si="4"/>
        <v>9395000000</v>
      </c>
      <c r="M84" s="61">
        <f t="shared" si="5"/>
        <v>4651000000</v>
      </c>
    </row>
    <row r="85" spans="1:13" x14ac:dyDescent="0.25">
      <c r="A85" t="s">
        <v>56</v>
      </c>
      <c r="B85" t="s">
        <v>11</v>
      </c>
      <c r="C85">
        <v>42369</v>
      </c>
      <c r="D85" s="61">
        <v>35653000000</v>
      </c>
      <c r="E85" s="61">
        <v>22837000000</v>
      </c>
      <c r="F85" s="61">
        <v>761000000</v>
      </c>
      <c r="G85" s="61">
        <v>0</v>
      </c>
      <c r="H85" s="61">
        <v>8445000000</v>
      </c>
      <c r="I85" t="s">
        <v>41</v>
      </c>
      <c r="J85" t="s">
        <v>44</v>
      </c>
      <c r="K85" s="61">
        <f t="shared" si="3"/>
        <v>12816000000</v>
      </c>
      <c r="L85" s="61">
        <f t="shared" si="4"/>
        <v>9206000000</v>
      </c>
      <c r="M85" s="61">
        <f t="shared" si="5"/>
        <v>3610000000</v>
      </c>
    </row>
    <row r="86" spans="1:13" x14ac:dyDescent="0.25">
      <c r="A86" t="s">
        <v>57</v>
      </c>
      <c r="B86" t="s">
        <v>6</v>
      </c>
      <c r="C86">
        <v>41639</v>
      </c>
      <c r="D86" s="61">
        <v>2069600000</v>
      </c>
      <c r="E86" s="61">
        <v>1208100000</v>
      </c>
      <c r="F86" s="61">
        <v>483100000</v>
      </c>
      <c r="G86" s="61">
        <v>0</v>
      </c>
      <c r="H86" s="61">
        <v>0</v>
      </c>
      <c r="I86" t="s">
        <v>7</v>
      </c>
      <c r="J86" t="s">
        <v>58</v>
      </c>
      <c r="K86" s="61">
        <f t="shared" si="3"/>
        <v>861500000</v>
      </c>
      <c r="L86" s="61">
        <f t="shared" si="4"/>
        <v>483100000</v>
      </c>
      <c r="M86" s="61">
        <f t="shared" si="5"/>
        <v>378400000</v>
      </c>
    </row>
    <row r="87" spans="1:13" x14ac:dyDescent="0.25">
      <c r="A87" t="s">
        <v>57</v>
      </c>
      <c r="B87" t="s">
        <v>9</v>
      </c>
      <c r="C87">
        <v>42004</v>
      </c>
      <c r="D87" s="61">
        <v>2118300000</v>
      </c>
      <c r="E87" s="61">
        <v>1264600000</v>
      </c>
      <c r="F87" s="61">
        <v>527400000</v>
      </c>
      <c r="G87" s="61">
        <v>0</v>
      </c>
      <c r="H87" s="61">
        <v>0</v>
      </c>
      <c r="I87" t="s">
        <v>7</v>
      </c>
      <c r="J87" t="s">
        <v>58</v>
      </c>
      <c r="K87" s="61">
        <f t="shared" si="3"/>
        <v>853700000</v>
      </c>
      <c r="L87" s="61">
        <f t="shared" si="4"/>
        <v>527400000</v>
      </c>
      <c r="M87" s="61">
        <f t="shared" si="5"/>
        <v>326300000</v>
      </c>
    </row>
    <row r="88" spans="1:13" x14ac:dyDescent="0.25">
      <c r="A88" t="s">
        <v>57</v>
      </c>
      <c r="B88" t="s">
        <v>10</v>
      </c>
      <c r="C88">
        <v>42369</v>
      </c>
      <c r="D88" s="61">
        <v>2068100000</v>
      </c>
      <c r="E88" s="61">
        <v>1199000000</v>
      </c>
      <c r="F88" s="61">
        <v>510500000</v>
      </c>
      <c r="G88" s="61">
        <v>0</v>
      </c>
      <c r="H88" s="61">
        <v>0</v>
      </c>
      <c r="I88" t="s">
        <v>7</v>
      </c>
      <c r="J88" t="s">
        <v>58</v>
      </c>
      <c r="K88" s="61">
        <f t="shared" si="3"/>
        <v>869100000</v>
      </c>
      <c r="L88" s="61">
        <f t="shared" si="4"/>
        <v>510500000</v>
      </c>
      <c r="M88" s="61">
        <f t="shared" si="5"/>
        <v>358600000</v>
      </c>
    </row>
    <row r="89" spans="1:13" x14ac:dyDescent="0.25">
      <c r="A89" t="s">
        <v>57</v>
      </c>
      <c r="B89" t="s">
        <v>11</v>
      </c>
      <c r="C89">
        <v>42735</v>
      </c>
      <c r="D89" s="61">
        <v>2238000000</v>
      </c>
      <c r="E89" s="61">
        <v>1252700000</v>
      </c>
      <c r="F89" s="61">
        <v>559800000</v>
      </c>
      <c r="G89" s="61">
        <v>0</v>
      </c>
      <c r="H89" s="61">
        <v>0</v>
      </c>
      <c r="I89" t="s">
        <v>7</v>
      </c>
      <c r="J89" t="s">
        <v>58</v>
      </c>
      <c r="K89" s="61">
        <f t="shared" si="3"/>
        <v>985300000</v>
      </c>
      <c r="L89" s="61">
        <f t="shared" si="4"/>
        <v>559800000</v>
      </c>
      <c r="M89" s="61">
        <f t="shared" si="5"/>
        <v>425500000</v>
      </c>
    </row>
    <row r="90" spans="1:13" x14ac:dyDescent="0.25">
      <c r="A90" t="s">
        <v>59</v>
      </c>
      <c r="B90" t="s">
        <v>6</v>
      </c>
      <c r="C90">
        <v>41639</v>
      </c>
      <c r="D90" s="61">
        <v>1551346000</v>
      </c>
      <c r="E90" s="61">
        <v>177556000</v>
      </c>
      <c r="F90" s="61">
        <v>493726000</v>
      </c>
      <c r="G90" s="61">
        <v>317093000</v>
      </c>
      <c r="H90" s="61">
        <v>417000</v>
      </c>
      <c r="I90" t="s">
        <v>19</v>
      </c>
      <c r="J90" t="s">
        <v>60</v>
      </c>
      <c r="K90" s="61">
        <f t="shared" si="3"/>
        <v>1373790000</v>
      </c>
      <c r="L90" s="61">
        <f t="shared" si="4"/>
        <v>811236000</v>
      </c>
      <c r="M90" s="61">
        <f t="shared" si="5"/>
        <v>562554000</v>
      </c>
    </row>
    <row r="91" spans="1:13" x14ac:dyDescent="0.25">
      <c r="A91" t="s">
        <v>59</v>
      </c>
      <c r="B91" t="s">
        <v>9</v>
      </c>
      <c r="C91">
        <v>42004</v>
      </c>
      <c r="D91" s="61">
        <v>2234000000</v>
      </c>
      <c r="E91" s="61">
        <v>174000000</v>
      </c>
      <c r="F91" s="61">
        <v>650000000</v>
      </c>
      <c r="G91" s="61">
        <v>514000000</v>
      </c>
      <c r="H91" s="61">
        <v>0</v>
      </c>
      <c r="I91" t="s">
        <v>19</v>
      </c>
      <c r="J91" t="s">
        <v>60</v>
      </c>
      <c r="K91" s="61">
        <f t="shared" si="3"/>
        <v>2060000000</v>
      </c>
      <c r="L91" s="61">
        <f t="shared" si="4"/>
        <v>1164000000</v>
      </c>
      <c r="M91" s="61">
        <f t="shared" si="5"/>
        <v>896000000</v>
      </c>
    </row>
    <row r="92" spans="1:13" x14ac:dyDescent="0.25">
      <c r="A92" t="s">
        <v>59</v>
      </c>
      <c r="B92" t="s">
        <v>10</v>
      </c>
      <c r="C92">
        <v>42369</v>
      </c>
      <c r="D92" s="61">
        <v>2604000000</v>
      </c>
      <c r="E92" s="61">
        <v>233000000</v>
      </c>
      <c r="F92" s="61">
        <v>927000000</v>
      </c>
      <c r="G92" s="61">
        <v>709000000</v>
      </c>
      <c r="H92" s="61">
        <v>117000000</v>
      </c>
      <c r="I92" t="s">
        <v>19</v>
      </c>
      <c r="J92" t="s">
        <v>60</v>
      </c>
      <c r="K92" s="61">
        <f t="shared" si="3"/>
        <v>2371000000</v>
      </c>
      <c r="L92" s="61">
        <f t="shared" si="4"/>
        <v>1753000000</v>
      </c>
      <c r="M92" s="61">
        <f t="shared" si="5"/>
        <v>618000000</v>
      </c>
    </row>
    <row r="93" spans="1:13" x14ac:dyDescent="0.25">
      <c r="A93" t="s">
        <v>59</v>
      </c>
      <c r="B93" t="s">
        <v>11</v>
      </c>
      <c r="C93">
        <v>42735</v>
      </c>
      <c r="D93" s="61">
        <v>3084000000</v>
      </c>
      <c r="E93" s="61">
        <v>258000000</v>
      </c>
      <c r="F93" s="61">
        <v>990000000</v>
      </c>
      <c r="G93" s="61">
        <v>757000000</v>
      </c>
      <c r="H93" s="61">
        <v>322000000</v>
      </c>
      <c r="I93" t="s">
        <v>19</v>
      </c>
      <c r="J93" t="s">
        <v>60</v>
      </c>
      <c r="K93" s="61">
        <f t="shared" si="3"/>
        <v>2826000000</v>
      </c>
      <c r="L93" s="61">
        <f t="shared" si="4"/>
        <v>2069000000</v>
      </c>
      <c r="M93" s="61">
        <f t="shared" si="5"/>
        <v>757000000</v>
      </c>
    </row>
    <row r="94" spans="1:13" x14ac:dyDescent="0.25">
      <c r="A94" t="s">
        <v>61</v>
      </c>
      <c r="B94" t="s">
        <v>6</v>
      </c>
      <c r="C94">
        <v>41574</v>
      </c>
      <c r="D94" s="61">
        <v>7509000000</v>
      </c>
      <c r="E94" s="61">
        <v>4518000000</v>
      </c>
      <c r="F94" s="61">
        <v>898000000</v>
      </c>
      <c r="G94" s="61">
        <v>1320000000</v>
      </c>
      <c r="H94" s="61">
        <v>0</v>
      </c>
      <c r="I94" t="s">
        <v>16</v>
      </c>
      <c r="J94" t="s">
        <v>62</v>
      </c>
      <c r="K94" s="61">
        <f t="shared" si="3"/>
        <v>2991000000</v>
      </c>
      <c r="L94" s="61">
        <f t="shared" si="4"/>
        <v>2218000000</v>
      </c>
      <c r="M94" s="61">
        <f t="shared" si="5"/>
        <v>773000000</v>
      </c>
    </row>
    <row r="95" spans="1:13" x14ac:dyDescent="0.25">
      <c r="A95" t="s">
        <v>61</v>
      </c>
      <c r="B95" t="s">
        <v>9</v>
      </c>
      <c r="C95">
        <v>41938</v>
      </c>
      <c r="D95" s="61">
        <v>9072000000</v>
      </c>
      <c r="E95" s="61">
        <v>5229000000</v>
      </c>
      <c r="F95" s="61">
        <v>895000000</v>
      </c>
      <c r="G95" s="61">
        <v>1428000000</v>
      </c>
      <c r="H95" s="61">
        <v>0</v>
      </c>
      <c r="I95" t="s">
        <v>16</v>
      </c>
      <c r="J95" t="s">
        <v>62</v>
      </c>
      <c r="K95" s="61">
        <f t="shared" si="3"/>
        <v>3843000000</v>
      </c>
      <c r="L95" s="61">
        <f t="shared" si="4"/>
        <v>2323000000</v>
      </c>
      <c r="M95" s="61">
        <f t="shared" si="5"/>
        <v>1520000000</v>
      </c>
    </row>
    <row r="96" spans="1:13" x14ac:dyDescent="0.25">
      <c r="A96" t="s">
        <v>61</v>
      </c>
      <c r="B96" t="s">
        <v>10</v>
      </c>
      <c r="C96">
        <v>42302</v>
      </c>
      <c r="D96" s="61">
        <v>9659000000</v>
      </c>
      <c r="E96" s="61">
        <v>5707000000</v>
      </c>
      <c r="F96" s="61">
        <v>808000000</v>
      </c>
      <c r="G96" s="61">
        <v>1451000000</v>
      </c>
      <c r="H96" s="61">
        <v>0</v>
      </c>
      <c r="I96" t="s">
        <v>16</v>
      </c>
      <c r="J96" t="s">
        <v>62</v>
      </c>
      <c r="K96" s="61">
        <f t="shared" si="3"/>
        <v>3952000000</v>
      </c>
      <c r="L96" s="61">
        <f t="shared" si="4"/>
        <v>2259000000</v>
      </c>
      <c r="M96" s="61">
        <f t="shared" si="5"/>
        <v>1693000000</v>
      </c>
    </row>
    <row r="97" spans="1:13" x14ac:dyDescent="0.25">
      <c r="A97" t="s">
        <v>61</v>
      </c>
      <c r="B97" t="s">
        <v>11</v>
      </c>
      <c r="C97">
        <v>42673</v>
      </c>
      <c r="D97" s="61">
        <v>10825000000</v>
      </c>
      <c r="E97" s="61">
        <v>6314000000</v>
      </c>
      <c r="F97" s="61">
        <v>819000000</v>
      </c>
      <c r="G97" s="61">
        <v>1540000000</v>
      </c>
      <c r="H97" s="61">
        <v>0</v>
      </c>
      <c r="I97" t="s">
        <v>16</v>
      </c>
      <c r="J97" t="s">
        <v>62</v>
      </c>
      <c r="K97" s="61">
        <f t="shared" si="3"/>
        <v>4511000000</v>
      </c>
      <c r="L97" s="61">
        <f t="shared" si="4"/>
        <v>2359000000</v>
      </c>
      <c r="M97" s="61">
        <f t="shared" si="5"/>
        <v>2152000000</v>
      </c>
    </row>
    <row r="98" spans="1:13" x14ac:dyDescent="0.25">
      <c r="A98" t="s">
        <v>63</v>
      </c>
      <c r="B98" t="s">
        <v>6</v>
      </c>
      <c r="C98">
        <v>41274</v>
      </c>
      <c r="D98" s="61">
        <v>3334213000</v>
      </c>
      <c r="E98" s="61">
        <v>2154132000</v>
      </c>
      <c r="F98" s="61">
        <v>380532000</v>
      </c>
      <c r="G98" s="61">
        <v>0</v>
      </c>
      <c r="H98" s="61">
        <v>53677000</v>
      </c>
      <c r="I98" t="s">
        <v>7</v>
      </c>
      <c r="J98" t="s">
        <v>64</v>
      </c>
      <c r="K98" s="61">
        <f t="shared" si="3"/>
        <v>1180081000</v>
      </c>
      <c r="L98" s="61">
        <f t="shared" si="4"/>
        <v>434209000</v>
      </c>
      <c r="M98" s="61">
        <f t="shared" si="5"/>
        <v>745872000</v>
      </c>
    </row>
    <row r="99" spans="1:13" x14ac:dyDescent="0.25">
      <c r="A99" t="s">
        <v>63</v>
      </c>
      <c r="B99" t="s">
        <v>9</v>
      </c>
      <c r="C99">
        <v>41639</v>
      </c>
      <c r="D99" s="61">
        <v>3594136000</v>
      </c>
      <c r="E99" s="61">
        <v>2323642000</v>
      </c>
      <c r="F99" s="61">
        <v>398177000</v>
      </c>
      <c r="G99" s="61">
        <v>0</v>
      </c>
      <c r="H99" s="61">
        <v>57238000</v>
      </c>
      <c r="I99" t="s">
        <v>7</v>
      </c>
      <c r="J99" t="s">
        <v>64</v>
      </c>
      <c r="K99" s="61">
        <f t="shared" si="3"/>
        <v>1270494000</v>
      </c>
      <c r="L99" s="61">
        <f t="shared" si="4"/>
        <v>455415000</v>
      </c>
      <c r="M99" s="61">
        <f t="shared" si="5"/>
        <v>815079000</v>
      </c>
    </row>
    <row r="100" spans="1:13" x14ac:dyDescent="0.25">
      <c r="A100" t="s">
        <v>63</v>
      </c>
      <c r="B100" t="s">
        <v>10</v>
      </c>
      <c r="C100">
        <v>42004</v>
      </c>
      <c r="D100" s="61">
        <v>4021964000</v>
      </c>
      <c r="E100" s="61">
        <v>2597017000</v>
      </c>
      <c r="F100" s="61">
        <v>462637000</v>
      </c>
      <c r="G100" s="61">
        <v>0</v>
      </c>
      <c r="H100" s="61">
        <v>63724000</v>
      </c>
      <c r="I100" t="s">
        <v>7</v>
      </c>
      <c r="J100" t="s">
        <v>64</v>
      </c>
      <c r="K100" s="61">
        <f t="shared" si="3"/>
        <v>1424947000</v>
      </c>
      <c r="L100" s="61">
        <f t="shared" si="4"/>
        <v>526361000</v>
      </c>
      <c r="M100" s="61">
        <f t="shared" si="5"/>
        <v>898586000</v>
      </c>
    </row>
    <row r="101" spans="1:13" x14ac:dyDescent="0.25">
      <c r="A101" t="s">
        <v>63</v>
      </c>
      <c r="B101" t="s">
        <v>11</v>
      </c>
      <c r="C101">
        <v>42369</v>
      </c>
      <c r="D101" s="61">
        <v>3974295000</v>
      </c>
      <c r="E101" s="61">
        <v>2549280000</v>
      </c>
      <c r="F101" s="61">
        <v>448592000</v>
      </c>
      <c r="G101" s="61">
        <v>0</v>
      </c>
      <c r="H101" s="61">
        <v>68707000</v>
      </c>
      <c r="I101" t="s">
        <v>7</v>
      </c>
      <c r="J101" t="s">
        <v>64</v>
      </c>
      <c r="K101" s="61">
        <f t="shared" si="3"/>
        <v>1425015000</v>
      </c>
      <c r="L101" s="61">
        <f t="shared" si="4"/>
        <v>517299000</v>
      </c>
      <c r="M101" s="61">
        <f t="shared" si="5"/>
        <v>907716000</v>
      </c>
    </row>
    <row r="102" spans="1:13" x14ac:dyDescent="0.25">
      <c r="A102" t="s">
        <v>65</v>
      </c>
      <c r="B102" t="s">
        <v>6</v>
      </c>
      <c r="C102">
        <v>41639</v>
      </c>
      <c r="D102" s="61">
        <v>18676000000</v>
      </c>
      <c r="E102" s="61">
        <v>3346000000</v>
      </c>
      <c r="F102" s="61">
        <v>5380000000</v>
      </c>
      <c r="G102" s="61">
        <v>4083000000</v>
      </c>
      <c r="H102" s="61">
        <v>0</v>
      </c>
      <c r="I102" t="s">
        <v>19</v>
      </c>
      <c r="J102" t="s">
        <v>60</v>
      </c>
      <c r="K102" s="61">
        <f t="shared" si="3"/>
        <v>15330000000</v>
      </c>
      <c r="L102" s="61">
        <f t="shared" si="4"/>
        <v>9463000000</v>
      </c>
      <c r="M102" s="61">
        <f t="shared" si="5"/>
        <v>5867000000</v>
      </c>
    </row>
    <row r="103" spans="1:13" x14ac:dyDescent="0.25">
      <c r="A103" t="s">
        <v>65</v>
      </c>
      <c r="B103" t="s">
        <v>9</v>
      </c>
      <c r="C103">
        <v>42004</v>
      </c>
      <c r="D103" s="61">
        <v>20063000000</v>
      </c>
      <c r="E103" s="61">
        <v>4422000000</v>
      </c>
      <c r="F103" s="61">
        <v>5153000000</v>
      </c>
      <c r="G103" s="61">
        <v>4297000000</v>
      </c>
      <c r="H103" s="61">
        <v>0</v>
      </c>
      <c r="I103" t="s">
        <v>19</v>
      </c>
      <c r="J103" t="s">
        <v>60</v>
      </c>
      <c r="K103" s="61">
        <f t="shared" si="3"/>
        <v>15641000000</v>
      </c>
      <c r="L103" s="61">
        <f t="shared" si="4"/>
        <v>9450000000</v>
      </c>
      <c r="M103" s="61">
        <f t="shared" si="5"/>
        <v>6191000000</v>
      </c>
    </row>
    <row r="104" spans="1:13" x14ac:dyDescent="0.25">
      <c r="A104" t="s">
        <v>65</v>
      </c>
      <c r="B104" t="s">
        <v>10</v>
      </c>
      <c r="C104">
        <v>42369</v>
      </c>
      <c r="D104" s="61">
        <v>21662000000</v>
      </c>
      <c r="E104" s="61">
        <v>4227000000</v>
      </c>
      <c r="F104" s="61">
        <v>4895000000</v>
      </c>
      <c r="G104" s="61">
        <v>4070000000</v>
      </c>
      <c r="H104" s="61">
        <v>0</v>
      </c>
      <c r="I104" t="s">
        <v>19</v>
      </c>
      <c r="J104" t="s">
        <v>60</v>
      </c>
      <c r="K104" s="61">
        <f t="shared" si="3"/>
        <v>17435000000</v>
      </c>
      <c r="L104" s="61">
        <f t="shared" si="4"/>
        <v>8965000000</v>
      </c>
      <c r="M104" s="61">
        <f t="shared" si="5"/>
        <v>8470000000</v>
      </c>
    </row>
    <row r="105" spans="1:13" x14ac:dyDescent="0.25">
      <c r="A105" t="s">
        <v>65</v>
      </c>
      <c r="B105" t="s">
        <v>11</v>
      </c>
      <c r="C105">
        <v>42735</v>
      </c>
      <c r="D105" s="61">
        <v>22991000000</v>
      </c>
      <c r="E105" s="61">
        <v>4162000000</v>
      </c>
      <c r="F105" s="61">
        <v>5195000000</v>
      </c>
      <c r="G105" s="61">
        <v>3840000000</v>
      </c>
      <c r="H105" s="61">
        <v>0</v>
      </c>
      <c r="I105" t="s">
        <v>19</v>
      </c>
      <c r="J105" t="s">
        <v>60</v>
      </c>
      <c r="K105" s="61">
        <f t="shared" si="3"/>
        <v>18829000000</v>
      </c>
      <c r="L105" s="61">
        <f t="shared" si="4"/>
        <v>9035000000</v>
      </c>
      <c r="M105" s="61">
        <f t="shared" si="5"/>
        <v>9794000000</v>
      </c>
    </row>
    <row r="106" spans="1:13" x14ac:dyDescent="0.25">
      <c r="A106" t="s">
        <v>66</v>
      </c>
      <c r="B106" t="s">
        <v>6</v>
      </c>
      <c r="C106">
        <v>41274</v>
      </c>
      <c r="D106" s="61">
        <v>10259000000</v>
      </c>
      <c r="E106" s="61">
        <v>1899000000</v>
      </c>
      <c r="F106" s="61">
        <v>3927000000</v>
      </c>
      <c r="G106" s="61">
        <v>0</v>
      </c>
      <c r="H106" s="61">
        <v>2877000000</v>
      </c>
      <c r="I106" t="s">
        <v>41</v>
      </c>
      <c r="J106" t="s">
        <v>67</v>
      </c>
      <c r="K106" s="61">
        <f t="shared" si="3"/>
        <v>8360000000</v>
      </c>
      <c r="L106" s="61">
        <f t="shared" si="4"/>
        <v>6804000000</v>
      </c>
      <c r="M106" s="61">
        <f t="shared" si="5"/>
        <v>1556000000</v>
      </c>
    </row>
    <row r="107" spans="1:13" x14ac:dyDescent="0.25">
      <c r="A107" t="s">
        <v>66</v>
      </c>
      <c r="B107" t="s">
        <v>9</v>
      </c>
      <c r="C107">
        <v>41639</v>
      </c>
      <c r="D107" s="61">
        <v>11230000000</v>
      </c>
      <c r="E107" s="61">
        <v>1954000000</v>
      </c>
      <c r="F107" s="61">
        <v>3862000000</v>
      </c>
      <c r="G107" s="61">
        <v>0</v>
      </c>
      <c r="H107" s="61">
        <v>3132000000</v>
      </c>
      <c r="I107" t="s">
        <v>41</v>
      </c>
      <c r="J107" t="s">
        <v>67</v>
      </c>
      <c r="K107" s="61">
        <f t="shared" si="3"/>
        <v>9276000000</v>
      </c>
      <c r="L107" s="61">
        <f t="shared" si="4"/>
        <v>6994000000</v>
      </c>
      <c r="M107" s="61">
        <f t="shared" si="5"/>
        <v>2282000000</v>
      </c>
    </row>
    <row r="108" spans="1:13" x14ac:dyDescent="0.25">
      <c r="A108" t="s">
        <v>66</v>
      </c>
      <c r="B108" t="s">
        <v>10</v>
      </c>
      <c r="C108">
        <v>42004</v>
      </c>
      <c r="D108" s="61">
        <v>12296000000</v>
      </c>
      <c r="E108" s="61">
        <v>1982000000</v>
      </c>
      <c r="F108" s="61">
        <v>3808000000</v>
      </c>
      <c r="G108" s="61">
        <v>0</v>
      </c>
      <c r="H108" s="61">
        <v>3603000000</v>
      </c>
      <c r="I108" t="s">
        <v>41</v>
      </c>
      <c r="J108" t="s">
        <v>67</v>
      </c>
      <c r="K108" s="61">
        <f t="shared" si="3"/>
        <v>10314000000</v>
      </c>
      <c r="L108" s="61">
        <f t="shared" si="4"/>
        <v>7411000000</v>
      </c>
      <c r="M108" s="61">
        <f t="shared" si="5"/>
        <v>2903000000</v>
      </c>
    </row>
    <row r="109" spans="1:13" x14ac:dyDescent="0.25">
      <c r="A109" t="s">
        <v>66</v>
      </c>
      <c r="B109" t="s">
        <v>11</v>
      </c>
      <c r="C109">
        <v>42369</v>
      </c>
      <c r="D109" s="61">
        <v>12200000000</v>
      </c>
      <c r="E109" s="61">
        <v>2261000000</v>
      </c>
      <c r="F109" s="61">
        <v>3750000000</v>
      </c>
      <c r="G109" s="61">
        <v>0</v>
      </c>
      <c r="H109" s="61">
        <v>3630000000</v>
      </c>
      <c r="I109" t="s">
        <v>41</v>
      </c>
      <c r="J109" t="s">
        <v>67</v>
      </c>
      <c r="K109" s="61">
        <f t="shared" si="3"/>
        <v>9939000000</v>
      </c>
      <c r="L109" s="61">
        <f t="shared" si="4"/>
        <v>7380000000</v>
      </c>
      <c r="M109" s="61">
        <f t="shared" si="5"/>
        <v>2559000000</v>
      </c>
    </row>
    <row r="110" spans="1:13" x14ac:dyDescent="0.25">
      <c r="A110" t="s">
        <v>68</v>
      </c>
      <c r="B110" t="s">
        <v>6</v>
      </c>
      <c r="C110">
        <v>41274</v>
      </c>
      <c r="D110" s="61">
        <v>2875960000</v>
      </c>
      <c r="E110" s="61">
        <v>722479000</v>
      </c>
      <c r="F110" s="61">
        <v>389486000</v>
      </c>
      <c r="G110" s="61">
        <v>0</v>
      </c>
      <c r="H110" s="61">
        <v>644276000</v>
      </c>
      <c r="I110" t="s">
        <v>46</v>
      </c>
      <c r="J110" t="s">
        <v>69</v>
      </c>
      <c r="K110" s="61">
        <f t="shared" si="3"/>
        <v>2153481000</v>
      </c>
      <c r="L110" s="61">
        <f t="shared" si="4"/>
        <v>1033762000</v>
      </c>
      <c r="M110" s="61">
        <f t="shared" si="5"/>
        <v>1119719000</v>
      </c>
    </row>
    <row r="111" spans="1:13" x14ac:dyDescent="0.25">
      <c r="A111" t="s">
        <v>68</v>
      </c>
      <c r="B111" t="s">
        <v>9</v>
      </c>
      <c r="C111">
        <v>41639</v>
      </c>
      <c r="D111" s="61">
        <v>3361407000</v>
      </c>
      <c r="E111" s="61">
        <v>859873000</v>
      </c>
      <c r="F111" s="61">
        <v>487084000</v>
      </c>
      <c r="G111" s="61">
        <v>0</v>
      </c>
      <c r="H111" s="61">
        <v>800145000</v>
      </c>
      <c r="I111" t="s">
        <v>46</v>
      </c>
      <c r="J111" t="s">
        <v>69</v>
      </c>
      <c r="K111" s="61">
        <f t="shared" si="3"/>
        <v>2501534000</v>
      </c>
      <c r="L111" s="61">
        <f t="shared" si="4"/>
        <v>1287229000</v>
      </c>
      <c r="M111" s="61">
        <f t="shared" si="5"/>
        <v>1214305000</v>
      </c>
    </row>
    <row r="112" spans="1:13" x14ac:dyDescent="0.25">
      <c r="A112" t="s">
        <v>68</v>
      </c>
      <c r="B112" t="s">
        <v>10</v>
      </c>
      <c r="C112">
        <v>42004</v>
      </c>
      <c r="D112" s="61">
        <v>4100048000</v>
      </c>
      <c r="E112" s="61">
        <v>1094265000</v>
      </c>
      <c r="F112" s="61">
        <v>515059000</v>
      </c>
      <c r="G112" s="61">
        <v>0</v>
      </c>
      <c r="H112" s="61">
        <v>1003802000</v>
      </c>
      <c r="I112" t="s">
        <v>46</v>
      </c>
      <c r="J112" t="s">
        <v>69</v>
      </c>
      <c r="K112" s="61">
        <f t="shared" si="3"/>
        <v>3005783000</v>
      </c>
      <c r="L112" s="61">
        <f t="shared" si="4"/>
        <v>1518861000</v>
      </c>
      <c r="M112" s="61">
        <f t="shared" si="5"/>
        <v>1486922000</v>
      </c>
    </row>
    <row r="113" spans="1:13" x14ac:dyDescent="0.25">
      <c r="A113" t="s">
        <v>68</v>
      </c>
      <c r="B113" t="s">
        <v>11</v>
      </c>
      <c r="C113">
        <v>42369</v>
      </c>
      <c r="D113" s="61">
        <v>4771516000</v>
      </c>
      <c r="E113" s="61">
        <v>1308868000</v>
      </c>
      <c r="F113" s="61">
        <v>564531000</v>
      </c>
      <c r="G113" s="61">
        <v>0</v>
      </c>
      <c r="H113" s="61">
        <v>1285328000</v>
      </c>
      <c r="I113" t="s">
        <v>46</v>
      </c>
      <c r="J113" t="s">
        <v>69</v>
      </c>
      <c r="K113" s="61">
        <f t="shared" si="3"/>
        <v>3462648000</v>
      </c>
      <c r="L113" s="61">
        <f t="shared" si="4"/>
        <v>1849859000</v>
      </c>
      <c r="M113" s="61">
        <f t="shared" si="5"/>
        <v>1612789000</v>
      </c>
    </row>
    <row r="114" spans="1:13" x14ac:dyDescent="0.25">
      <c r="A114" t="s">
        <v>70</v>
      </c>
      <c r="B114" t="s">
        <v>6</v>
      </c>
      <c r="C114">
        <v>41639</v>
      </c>
      <c r="D114" s="61">
        <v>74452000000</v>
      </c>
      <c r="E114" s="61">
        <v>54181000000</v>
      </c>
      <c r="F114" s="61">
        <v>19526000000</v>
      </c>
      <c r="G114" s="61">
        <v>0</v>
      </c>
      <c r="H114" s="61">
        <v>0</v>
      </c>
      <c r="I114" t="s">
        <v>13</v>
      </c>
      <c r="J114" t="s">
        <v>71</v>
      </c>
      <c r="K114" s="61">
        <f t="shared" si="3"/>
        <v>20271000000</v>
      </c>
      <c r="L114" s="61">
        <f t="shared" si="4"/>
        <v>19526000000</v>
      </c>
      <c r="M114" s="61">
        <f t="shared" si="5"/>
        <v>745000000</v>
      </c>
    </row>
    <row r="115" spans="1:13" x14ac:dyDescent="0.25">
      <c r="A115" t="s">
        <v>70</v>
      </c>
      <c r="B115" t="s">
        <v>9</v>
      </c>
      <c r="C115">
        <v>42004</v>
      </c>
      <c r="D115" s="61">
        <v>88988000000</v>
      </c>
      <c r="E115" s="61">
        <v>62752000000</v>
      </c>
      <c r="F115" s="61">
        <v>26058000000</v>
      </c>
      <c r="G115" s="61">
        <v>0</v>
      </c>
      <c r="H115" s="61">
        <v>0</v>
      </c>
      <c r="I115" t="s">
        <v>13</v>
      </c>
      <c r="J115" t="s">
        <v>71</v>
      </c>
      <c r="K115" s="61">
        <f t="shared" si="3"/>
        <v>26236000000</v>
      </c>
      <c r="L115" s="61">
        <f t="shared" si="4"/>
        <v>26058000000</v>
      </c>
      <c r="M115" s="61">
        <f t="shared" si="5"/>
        <v>178000000</v>
      </c>
    </row>
    <row r="116" spans="1:13" x14ac:dyDescent="0.25">
      <c r="A116" t="s">
        <v>70</v>
      </c>
      <c r="B116" t="s">
        <v>10</v>
      </c>
      <c r="C116">
        <v>42369</v>
      </c>
      <c r="D116" s="61">
        <v>107006000000</v>
      </c>
      <c r="E116" s="61">
        <v>71651000000</v>
      </c>
      <c r="F116" s="61">
        <v>33122000000</v>
      </c>
      <c r="G116" s="61">
        <v>0</v>
      </c>
      <c r="H116" s="61">
        <v>0</v>
      </c>
      <c r="I116" t="s">
        <v>13</v>
      </c>
      <c r="J116" t="s">
        <v>71</v>
      </c>
      <c r="K116" s="61">
        <f t="shared" si="3"/>
        <v>35355000000</v>
      </c>
      <c r="L116" s="61">
        <f t="shared" si="4"/>
        <v>33122000000</v>
      </c>
      <c r="M116" s="61">
        <f t="shared" si="5"/>
        <v>2233000000</v>
      </c>
    </row>
    <row r="117" spans="1:13" x14ac:dyDescent="0.25">
      <c r="A117" t="s">
        <v>70</v>
      </c>
      <c r="B117" t="s">
        <v>11</v>
      </c>
      <c r="C117">
        <v>42735</v>
      </c>
      <c r="D117" s="61">
        <v>135987000000</v>
      </c>
      <c r="E117" s="61">
        <v>88265000000</v>
      </c>
      <c r="F117" s="61">
        <v>43536000000</v>
      </c>
      <c r="G117" s="61">
        <v>0</v>
      </c>
      <c r="H117" s="61">
        <v>0</v>
      </c>
      <c r="I117" t="s">
        <v>13</v>
      </c>
      <c r="J117" t="s">
        <v>71</v>
      </c>
      <c r="K117" s="61">
        <f t="shared" si="3"/>
        <v>47722000000</v>
      </c>
      <c r="L117" s="61">
        <f t="shared" si="4"/>
        <v>43536000000</v>
      </c>
      <c r="M117" s="61">
        <f t="shared" si="5"/>
        <v>4186000000</v>
      </c>
    </row>
    <row r="118" spans="1:13" x14ac:dyDescent="0.25">
      <c r="A118" t="s">
        <v>72</v>
      </c>
      <c r="B118" t="s">
        <v>6</v>
      </c>
      <c r="C118">
        <v>41639</v>
      </c>
      <c r="D118" s="61">
        <v>17517600000</v>
      </c>
      <c r="E118" s="61">
        <v>14757700000</v>
      </c>
      <c r="F118" s="61">
        <v>1924300000</v>
      </c>
      <c r="G118" s="61">
        <v>0</v>
      </c>
      <c r="H118" s="61">
        <v>95300000</v>
      </c>
      <c r="I118" t="s">
        <v>13</v>
      </c>
      <c r="J118" t="s">
        <v>73</v>
      </c>
      <c r="K118" s="61">
        <f t="shared" si="3"/>
        <v>2759900000</v>
      </c>
      <c r="L118" s="61">
        <f t="shared" si="4"/>
        <v>2019600000</v>
      </c>
      <c r="M118" s="61">
        <f t="shared" si="5"/>
        <v>740300000</v>
      </c>
    </row>
    <row r="119" spans="1:13" x14ac:dyDescent="0.25">
      <c r="A119" t="s">
        <v>72</v>
      </c>
      <c r="B119" t="s">
        <v>9</v>
      </c>
      <c r="C119">
        <v>42004</v>
      </c>
      <c r="D119" s="61">
        <v>19108800000</v>
      </c>
      <c r="E119" s="61">
        <v>16120100000</v>
      </c>
      <c r="F119" s="61">
        <v>2061000000</v>
      </c>
      <c r="G119" s="61">
        <v>0</v>
      </c>
      <c r="H119" s="61">
        <v>106900000</v>
      </c>
      <c r="I119" t="s">
        <v>13</v>
      </c>
      <c r="J119" t="s">
        <v>73</v>
      </c>
      <c r="K119" s="61">
        <f t="shared" si="3"/>
        <v>2988700000</v>
      </c>
      <c r="L119" s="61">
        <f t="shared" si="4"/>
        <v>2167900000</v>
      </c>
      <c r="M119" s="61">
        <f t="shared" si="5"/>
        <v>820800000</v>
      </c>
    </row>
    <row r="120" spans="1:13" x14ac:dyDescent="0.25">
      <c r="A120" t="s">
        <v>72</v>
      </c>
      <c r="B120" t="s">
        <v>10</v>
      </c>
      <c r="C120">
        <v>42369</v>
      </c>
      <c r="D120" s="61">
        <v>20862000000</v>
      </c>
      <c r="E120" s="61">
        <v>17600500000</v>
      </c>
      <c r="F120" s="61">
        <v>2245600000</v>
      </c>
      <c r="G120" s="61">
        <v>0</v>
      </c>
      <c r="H120" s="61">
        <v>127400000</v>
      </c>
      <c r="I120" t="s">
        <v>13</v>
      </c>
      <c r="J120" t="s">
        <v>73</v>
      </c>
      <c r="K120" s="61">
        <f t="shared" si="3"/>
        <v>3261500000</v>
      </c>
      <c r="L120" s="61">
        <f t="shared" si="4"/>
        <v>2373000000</v>
      </c>
      <c r="M120" s="61">
        <f t="shared" si="5"/>
        <v>888500000</v>
      </c>
    </row>
    <row r="121" spans="1:13" x14ac:dyDescent="0.25">
      <c r="A121" t="s">
        <v>72</v>
      </c>
      <c r="B121" t="s">
        <v>11</v>
      </c>
      <c r="C121">
        <v>42735</v>
      </c>
      <c r="D121" s="61">
        <v>21609000000</v>
      </c>
      <c r="E121" s="61">
        <v>18295800000</v>
      </c>
      <c r="F121" s="61">
        <v>2280300000</v>
      </c>
      <c r="G121" s="61">
        <v>0</v>
      </c>
      <c r="H121" s="61">
        <v>143400000</v>
      </c>
      <c r="I121" t="s">
        <v>13</v>
      </c>
      <c r="J121" t="s">
        <v>73</v>
      </c>
      <c r="K121" s="61">
        <f t="shared" si="3"/>
        <v>3313200000</v>
      </c>
      <c r="L121" s="61">
        <f t="shared" si="4"/>
        <v>2423700000</v>
      </c>
      <c r="M121" s="61">
        <f t="shared" si="5"/>
        <v>889500000</v>
      </c>
    </row>
    <row r="122" spans="1:13" x14ac:dyDescent="0.25">
      <c r="A122" t="s">
        <v>74</v>
      </c>
      <c r="B122" t="s">
        <v>6</v>
      </c>
      <c r="C122">
        <v>41274</v>
      </c>
      <c r="D122" s="61">
        <v>61497200000</v>
      </c>
      <c r="E122" s="61">
        <v>48213600000</v>
      </c>
      <c r="F122" s="61">
        <v>8680500000</v>
      </c>
      <c r="G122" s="61">
        <v>0</v>
      </c>
      <c r="H122" s="61">
        <v>233000000</v>
      </c>
      <c r="I122" t="s">
        <v>19</v>
      </c>
      <c r="J122" t="s">
        <v>75</v>
      </c>
      <c r="K122" s="61">
        <f t="shared" si="3"/>
        <v>13283600000</v>
      </c>
      <c r="L122" s="61">
        <f t="shared" si="4"/>
        <v>8913500000</v>
      </c>
      <c r="M122" s="61">
        <f t="shared" si="5"/>
        <v>4370100000</v>
      </c>
    </row>
    <row r="123" spans="1:13" x14ac:dyDescent="0.25">
      <c r="A123" t="s">
        <v>74</v>
      </c>
      <c r="B123" t="s">
        <v>9</v>
      </c>
      <c r="C123">
        <v>41639</v>
      </c>
      <c r="D123" s="61">
        <v>71023500000</v>
      </c>
      <c r="E123" s="61">
        <v>56237100000</v>
      </c>
      <c r="F123" s="61">
        <v>9952900000</v>
      </c>
      <c r="G123" s="61">
        <v>0</v>
      </c>
      <c r="H123" s="61">
        <v>245300000</v>
      </c>
      <c r="I123" t="s">
        <v>19</v>
      </c>
      <c r="J123" t="s">
        <v>75</v>
      </c>
      <c r="K123" s="61">
        <f t="shared" si="3"/>
        <v>14786400000</v>
      </c>
      <c r="L123" s="61">
        <f t="shared" si="4"/>
        <v>10198200000</v>
      </c>
      <c r="M123" s="61">
        <f t="shared" si="5"/>
        <v>4588200000</v>
      </c>
    </row>
    <row r="124" spans="1:13" x14ac:dyDescent="0.25">
      <c r="A124" t="s">
        <v>74</v>
      </c>
      <c r="B124" t="s">
        <v>10</v>
      </c>
      <c r="C124">
        <v>42004</v>
      </c>
      <c r="D124" s="61">
        <v>73874100000</v>
      </c>
      <c r="E124" s="61">
        <v>56854900000</v>
      </c>
      <c r="F124" s="61">
        <v>11748400000</v>
      </c>
      <c r="G124" s="61">
        <v>0</v>
      </c>
      <c r="H124" s="61">
        <v>220900000</v>
      </c>
      <c r="I124" t="s">
        <v>19</v>
      </c>
      <c r="J124" t="s">
        <v>75</v>
      </c>
      <c r="K124" s="61">
        <f t="shared" si="3"/>
        <v>17019200000</v>
      </c>
      <c r="L124" s="61">
        <f t="shared" si="4"/>
        <v>11969300000</v>
      </c>
      <c r="M124" s="61">
        <f t="shared" si="5"/>
        <v>5049900000</v>
      </c>
    </row>
    <row r="125" spans="1:13" x14ac:dyDescent="0.25">
      <c r="A125" t="s">
        <v>74</v>
      </c>
      <c r="B125" t="s">
        <v>11</v>
      </c>
      <c r="C125">
        <v>42369</v>
      </c>
      <c r="D125" s="61">
        <v>79156500000</v>
      </c>
      <c r="E125" s="61">
        <v>61116900000</v>
      </c>
      <c r="F125" s="61">
        <v>12534800000</v>
      </c>
      <c r="G125" s="61">
        <v>0</v>
      </c>
      <c r="H125" s="61">
        <v>230100000</v>
      </c>
      <c r="I125" t="s">
        <v>19</v>
      </c>
      <c r="J125" t="s">
        <v>75</v>
      </c>
      <c r="K125" s="61">
        <f t="shared" si="3"/>
        <v>18039600000</v>
      </c>
      <c r="L125" s="61">
        <f t="shared" si="4"/>
        <v>12764900000</v>
      </c>
      <c r="M125" s="61">
        <f t="shared" si="5"/>
        <v>5274700000</v>
      </c>
    </row>
    <row r="126" spans="1:13" x14ac:dyDescent="0.25">
      <c r="A126" t="s">
        <v>76</v>
      </c>
      <c r="B126" t="s">
        <v>6</v>
      </c>
      <c r="C126">
        <v>41274</v>
      </c>
      <c r="D126" s="61">
        <v>16428000000</v>
      </c>
      <c r="E126" s="61">
        <v>3079000000</v>
      </c>
      <c r="F126" s="61">
        <v>1333000000</v>
      </c>
      <c r="G126" s="61">
        <v>0</v>
      </c>
      <c r="H126" s="61">
        <v>6881000000</v>
      </c>
      <c r="I126" t="s">
        <v>77</v>
      </c>
      <c r="J126" t="s">
        <v>78</v>
      </c>
      <c r="K126" s="61">
        <f t="shared" si="3"/>
        <v>13349000000</v>
      </c>
      <c r="L126" s="61">
        <f t="shared" si="4"/>
        <v>8214000000</v>
      </c>
      <c r="M126" s="61">
        <f t="shared" si="5"/>
        <v>5135000000</v>
      </c>
    </row>
    <row r="127" spans="1:13" x14ac:dyDescent="0.25">
      <c r="A127" t="s">
        <v>76</v>
      </c>
      <c r="B127" t="s">
        <v>9</v>
      </c>
      <c r="C127">
        <v>41639</v>
      </c>
      <c r="D127" s="61">
        <v>14771000000</v>
      </c>
      <c r="E127" s="61">
        <v>2938000000</v>
      </c>
      <c r="F127" s="61">
        <v>1286000000</v>
      </c>
      <c r="G127" s="61">
        <v>0</v>
      </c>
      <c r="H127" s="61">
        <v>5866000000</v>
      </c>
      <c r="I127" t="s">
        <v>77</v>
      </c>
      <c r="J127" t="s">
        <v>78</v>
      </c>
      <c r="K127" s="61">
        <f t="shared" si="3"/>
        <v>11833000000</v>
      </c>
      <c r="L127" s="61">
        <f t="shared" si="4"/>
        <v>7152000000</v>
      </c>
      <c r="M127" s="61">
        <f t="shared" si="5"/>
        <v>4681000000</v>
      </c>
    </row>
    <row r="128" spans="1:13" x14ac:dyDescent="0.25">
      <c r="A128" t="s">
        <v>76</v>
      </c>
      <c r="B128" t="s">
        <v>10</v>
      </c>
      <c r="C128">
        <v>42004</v>
      </c>
      <c r="D128" s="61">
        <v>12691000000</v>
      </c>
      <c r="E128" s="61">
        <v>2511000000</v>
      </c>
      <c r="F128" s="61">
        <v>1095000000</v>
      </c>
      <c r="G128" s="61">
        <v>0</v>
      </c>
      <c r="H128" s="61">
        <v>9720000000</v>
      </c>
      <c r="I128" t="s">
        <v>77</v>
      </c>
      <c r="J128" t="s">
        <v>78</v>
      </c>
      <c r="K128" s="61">
        <f t="shared" si="3"/>
        <v>10180000000</v>
      </c>
      <c r="L128" s="61">
        <f t="shared" si="4"/>
        <v>10815000000</v>
      </c>
      <c r="M128" s="61">
        <f t="shared" si="5"/>
        <v>-635000000</v>
      </c>
    </row>
    <row r="129" spans="1:13" x14ac:dyDescent="0.25">
      <c r="A129" t="s">
        <v>76</v>
      </c>
      <c r="B129" t="s">
        <v>11</v>
      </c>
      <c r="C129">
        <v>42369</v>
      </c>
      <c r="D129" s="61">
        <v>6383000000</v>
      </c>
      <c r="E129" s="61">
        <v>2065000000</v>
      </c>
      <c r="F129" s="61">
        <v>791000000</v>
      </c>
      <c r="G129" s="61">
        <v>0</v>
      </c>
      <c r="H129" s="61">
        <v>29372000000</v>
      </c>
      <c r="I129" t="s">
        <v>77</v>
      </c>
      <c r="J129" t="s">
        <v>78</v>
      </c>
      <c r="K129" s="61">
        <f t="shared" si="3"/>
        <v>4318000000</v>
      </c>
      <c r="L129" s="61">
        <f t="shared" si="4"/>
        <v>30163000000</v>
      </c>
      <c r="M129" s="61">
        <f t="shared" si="5"/>
        <v>-25845000000</v>
      </c>
    </row>
    <row r="130" spans="1:13" x14ac:dyDescent="0.25">
      <c r="A130" t="s">
        <v>79</v>
      </c>
      <c r="B130" t="s">
        <v>6</v>
      </c>
      <c r="C130">
        <v>41639</v>
      </c>
      <c r="D130" s="61">
        <v>14581000000</v>
      </c>
      <c r="E130" s="61">
        <v>2942000000</v>
      </c>
      <c r="F130" s="61">
        <v>2256000000</v>
      </c>
      <c r="G130" s="61">
        <v>0</v>
      </c>
      <c r="H130" s="61">
        <v>3927000000</v>
      </c>
      <c r="I130" t="s">
        <v>77</v>
      </c>
      <c r="J130" t="s">
        <v>78</v>
      </c>
      <c r="K130" s="61">
        <f t="shared" ref="K130:K193" si="6">D130-E130</f>
        <v>11639000000</v>
      </c>
      <c r="L130" s="61">
        <f t="shared" ref="L130:L193" si="7">F130+G130+H130</f>
        <v>6183000000</v>
      </c>
      <c r="M130" s="61">
        <f t="shared" si="5"/>
        <v>5456000000</v>
      </c>
    </row>
    <row r="131" spans="1:13" x14ac:dyDescent="0.25">
      <c r="A131" t="s">
        <v>79</v>
      </c>
      <c r="B131" t="s">
        <v>9</v>
      </c>
      <c r="C131">
        <v>42004</v>
      </c>
      <c r="D131" s="61">
        <v>18470000000</v>
      </c>
      <c r="E131" s="61">
        <v>3317000000</v>
      </c>
      <c r="F131" s="61">
        <v>2725000000</v>
      </c>
      <c r="G131" s="61">
        <v>0</v>
      </c>
      <c r="H131" s="61">
        <v>4550000000</v>
      </c>
      <c r="I131" t="s">
        <v>77</v>
      </c>
      <c r="J131" t="s">
        <v>78</v>
      </c>
      <c r="K131" s="61">
        <f t="shared" si="6"/>
        <v>15153000000</v>
      </c>
      <c r="L131" s="61">
        <f t="shared" si="7"/>
        <v>7275000000</v>
      </c>
      <c r="M131" s="61">
        <f t="shared" ref="M131:M194" si="8">K131-L131</f>
        <v>7878000000</v>
      </c>
    </row>
    <row r="132" spans="1:13" x14ac:dyDescent="0.25">
      <c r="A132" t="s">
        <v>79</v>
      </c>
      <c r="B132" t="s">
        <v>10</v>
      </c>
      <c r="C132">
        <v>42369</v>
      </c>
      <c r="D132" s="61">
        <v>8698000000</v>
      </c>
      <c r="E132" s="61">
        <v>3185000000</v>
      </c>
      <c r="F132" s="61">
        <v>2000000000</v>
      </c>
      <c r="G132" s="61">
        <v>0</v>
      </c>
      <c r="H132" s="61">
        <v>4603000000</v>
      </c>
      <c r="I132" t="s">
        <v>77</v>
      </c>
      <c r="J132" t="s">
        <v>78</v>
      </c>
      <c r="K132" s="61">
        <f t="shared" si="6"/>
        <v>5513000000</v>
      </c>
      <c r="L132" s="61">
        <f t="shared" si="7"/>
        <v>6603000000</v>
      </c>
      <c r="M132" s="61">
        <f t="shared" si="8"/>
        <v>-1090000000</v>
      </c>
    </row>
    <row r="133" spans="1:13" x14ac:dyDescent="0.25">
      <c r="A133" t="s">
        <v>79</v>
      </c>
      <c r="B133" t="s">
        <v>11</v>
      </c>
      <c r="C133">
        <v>42735</v>
      </c>
      <c r="D133" s="61">
        <v>7869000000</v>
      </c>
      <c r="E133" s="61">
        <v>2900000000</v>
      </c>
      <c r="F133" s="61">
        <v>2094000000</v>
      </c>
      <c r="G133" s="61">
        <v>0</v>
      </c>
      <c r="H133" s="61">
        <v>4301000000</v>
      </c>
      <c r="I133" t="s">
        <v>77</v>
      </c>
      <c r="J133" t="s">
        <v>78</v>
      </c>
      <c r="K133" s="61">
        <f t="shared" si="6"/>
        <v>4969000000</v>
      </c>
      <c r="L133" s="61">
        <f t="shared" si="7"/>
        <v>6395000000</v>
      </c>
      <c r="M133" s="61">
        <f t="shared" si="8"/>
        <v>-1426000000</v>
      </c>
    </row>
    <row r="134" spans="1:13" x14ac:dyDescent="0.25">
      <c r="A134" t="s">
        <v>80</v>
      </c>
      <c r="B134" t="s">
        <v>6</v>
      </c>
      <c r="C134">
        <v>41547</v>
      </c>
      <c r="D134" s="61">
        <v>10180400000</v>
      </c>
      <c r="E134" s="61">
        <v>7472100000</v>
      </c>
      <c r="F134" s="61">
        <v>1018600000</v>
      </c>
      <c r="G134" s="61">
        <v>133700000</v>
      </c>
      <c r="H134" s="61">
        <v>0</v>
      </c>
      <c r="I134" t="s">
        <v>53</v>
      </c>
      <c r="J134" t="s">
        <v>81</v>
      </c>
      <c r="K134" s="61">
        <f t="shared" si="6"/>
        <v>2708300000</v>
      </c>
      <c r="L134" s="61">
        <f t="shared" si="7"/>
        <v>1152300000</v>
      </c>
      <c r="M134" s="61">
        <f t="shared" si="8"/>
        <v>1556000000</v>
      </c>
    </row>
    <row r="135" spans="1:13" x14ac:dyDescent="0.25">
      <c r="A135" t="s">
        <v>80</v>
      </c>
      <c r="B135" t="s">
        <v>9</v>
      </c>
      <c r="C135">
        <v>41912</v>
      </c>
      <c r="D135" s="61">
        <v>10439000000</v>
      </c>
      <c r="E135" s="61">
        <v>7629900000</v>
      </c>
      <c r="F135" s="61">
        <v>1007400000</v>
      </c>
      <c r="G135" s="61">
        <v>139800000</v>
      </c>
      <c r="H135" s="61">
        <v>0</v>
      </c>
      <c r="I135" t="s">
        <v>53</v>
      </c>
      <c r="J135" t="s">
        <v>81</v>
      </c>
      <c r="K135" s="61">
        <f t="shared" si="6"/>
        <v>2809100000</v>
      </c>
      <c r="L135" s="61">
        <f t="shared" si="7"/>
        <v>1147200000</v>
      </c>
      <c r="M135" s="61">
        <f t="shared" si="8"/>
        <v>1661900000</v>
      </c>
    </row>
    <row r="136" spans="1:13" x14ac:dyDescent="0.25">
      <c r="A136" t="s">
        <v>80</v>
      </c>
      <c r="B136" t="s">
        <v>10</v>
      </c>
      <c r="C136">
        <v>42277</v>
      </c>
      <c r="D136" s="61">
        <v>9894900000</v>
      </c>
      <c r="E136" s="61">
        <v>6939000000</v>
      </c>
      <c r="F136" s="61">
        <v>895300000</v>
      </c>
      <c r="G136" s="61">
        <v>137100000</v>
      </c>
      <c r="H136" s="61">
        <v>0</v>
      </c>
      <c r="I136" t="s">
        <v>53</v>
      </c>
      <c r="J136" t="s">
        <v>81</v>
      </c>
      <c r="K136" s="61">
        <f t="shared" si="6"/>
        <v>2955900000</v>
      </c>
      <c r="L136" s="61">
        <f t="shared" si="7"/>
        <v>1032400000</v>
      </c>
      <c r="M136" s="61">
        <f t="shared" si="8"/>
        <v>1923500000</v>
      </c>
    </row>
    <row r="137" spans="1:13" x14ac:dyDescent="0.25">
      <c r="A137" t="s">
        <v>80</v>
      </c>
      <c r="B137" t="s">
        <v>11</v>
      </c>
      <c r="C137">
        <v>42643</v>
      </c>
      <c r="D137" s="61">
        <v>9524400000</v>
      </c>
      <c r="E137" s="61">
        <v>6402700000</v>
      </c>
      <c r="F137" s="61">
        <v>797600000</v>
      </c>
      <c r="G137" s="61">
        <v>132000000</v>
      </c>
      <c r="H137" s="61">
        <v>0</v>
      </c>
      <c r="I137" t="s">
        <v>53</v>
      </c>
      <c r="J137" t="s">
        <v>81</v>
      </c>
      <c r="K137" s="61">
        <f t="shared" si="6"/>
        <v>3121700000</v>
      </c>
      <c r="L137" s="61">
        <f t="shared" si="7"/>
        <v>929600000</v>
      </c>
      <c r="M137" s="61">
        <f t="shared" si="8"/>
        <v>2192100000</v>
      </c>
    </row>
    <row r="138" spans="1:13" x14ac:dyDescent="0.25">
      <c r="A138" t="s">
        <v>82</v>
      </c>
      <c r="B138" t="s">
        <v>6</v>
      </c>
      <c r="C138">
        <v>41274</v>
      </c>
      <c r="D138" s="61">
        <v>4292100000</v>
      </c>
      <c r="E138" s="61">
        <v>2948900000</v>
      </c>
      <c r="F138" s="61">
        <v>512900000</v>
      </c>
      <c r="G138" s="61">
        <v>0</v>
      </c>
      <c r="H138" s="61">
        <v>0</v>
      </c>
      <c r="I138" t="s">
        <v>16</v>
      </c>
      <c r="J138" t="s">
        <v>83</v>
      </c>
      <c r="K138" s="61">
        <f t="shared" si="6"/>
        <v>1343200000</v>
      </c>
      <c r="L138" s="61">
        <f t="shared" si="7"/>
        <v>512900000</v>
      </c>
      <c r="M138" s="61">
        <f t="shared" si="8"/>
        <v>830300000</v>
      </c>
    </row>
    <row r="139" spans="1:13" x14ac:dyDescent="0.25">
      <c r="A139" t="s">
        <v>82</v>
      </c>
      <c r="B139" t="s">
        <v>9</v>
      </c>
      <c r="C139">
        <v>41639</v>
      </c>
      <c r="D139" s="61">
        <v>4614700000</v>
      </c>
      <c r="E139" s="61">
        <v>3163900000</v>
      </c>
      <c r="F139" s="61">
        <v>548000000</v>
      </c>
      <c r="G139" s="61">
        <v>0</v>
      </c>
      <c r="H139" s="61">
        <v>0</v>
      </c>
      <c r="I139" t="s">
        <v>16</v>
      </c>
      <c r="J139" t="s">
        <v>83</v>
      </c>
      <c r="K139" s="61">
        <f t="shared" si="6"/>
        <v>1450800000</v>
      </c>
      <c r="L139" s="61">
        <f t="shared" si="7"/>
        <v>548000000</v>
      </c>
      <c r="M139" s="61">
        <f t="shared" si="8"/>
        <v>902800000</v>
      </c>
    </row>
    <row r="140" spans="1:13" x14ac:dyDescent="0.25">
      <c r="A140" t="s">
        <v>82</v>
      </c>
      <c r="B140" t="s">
        <v>10</v>
      </c>
      <c r="C140">
        <v>42004</v>
      </c>
      <c r="D140" s="61">
        <v>5345500000</v>
      </c>
      <c r="E140" s="61">
        <v>3651700000</v>
      </c>
      <c r="F140" s="61">
        <v>645100000</v>
      </c>
      <c r="G140" s="61">
        <v>0</v>
      </c>
      <c r="H140" s="61">
        <v>0</v>
      </c>
      <c r="I140" t="s">
        <v>16</v>
      </c>
      <c r="J140" t="s">
        <v>83</v>
      </c>
      <c r="K140" s="61">
        <f t="shared" si="6"/>
        <v>1693800000</v>
      </c>
      <c r="L140" s="61">
        <f t="shared" si="7"/>
        <v>645100000</v>
      </c>
      <c r="M140" s="61">
        <f t="shared" si="8"/>
        <v>1048700000</v>
      </c>
    </row>
    <row r="141" spans="1:13" x14ac:dyDescent="0.25">
      <c r="A141" t="s">
        <v>82</v>
      </c>
      <c r="B141" t="s">
        <v>11</v>
      </c>
      <c r="C141">
        <v>42369</v>
      </c>
      <c r="D141" s="61">
        <v>5568700000</v>
      </c>
      <c r="E141" s="61">
        <v>3789200000</v>
      </c>
      <c r="F141" s="61">
        <v>669100000</v>
      </c>
      <c r="G141" s="61">
        <v>0</v>
      </c>
      <c r="H141" s="61">
        <v>0</v>
      </c>
      <c r="I141" t="s">
        <v>16</v>
      </c>
      <c r="J141" t="s">
        <v>83</v>
      </c>
      <c r="K141" s="61">
        <f t="shared" si="6"/>
        <v>1779500000</v>
      </c>
      <c r="L141" s="61">
        <f t="shared" si="7"/>
        <v>669100000</v>
      </c>
      <c r="M141" s="61">
        <f t="shared" si="8"/>
        <v>1110400000</v>
      </c>
    </row>
    <row r="142" spans="1:13" x14ac:dyDescent="0.25">
      <c r="A142" t="s">
        <v>84</v>
      </c>
      <c r="B142" t="s">
        <v>6</v>
      </c>
      <c r="C142">
        <v>41274</v>
      </c>
      <c r="D142" s="61">
        <v>23700000000</v>
      </c>
      <c r="E142" s="61">
        <v>20401000000</v>
      </c>
      <c r="F142" s="61">
        <v>997000000</v>
      </c>
      <c r="G142" s="61">
        <v>197000000</v>
      </c>
      <c r="H142" s="61">
        <v>1460000000</v>
      </c>
      <c r="I142" t="s">
        <v>7</v>
      </c>
      <c r="J142" t="s">
        <v>85</v>
      </c>
      <c r="K142" s="61">
        <f t="shared" si="6"/>
        <v>3299000000</v>
      </c>
      <c r="L142" s="61">
        <f t="shared" si="7"/>
        <v>2654000000</v>
      </c>
      <c r="M142" s="61">
        <f t="shared" si="8"/>
        <v>645000000</v>
      </c>
    </row>
    <row r="143" spans="1:13" x14ac:dyDescent="0.25">
      <c r="A143" t="s">
        <v>84</v>
      </c>
      <c r="B143" t="s">
        <v>9</v>
      </c>
      <c r="C143">
        <v>41639</v>
      </c>
      <c r="D143" s="61">
        <v>23032000000</v>
      </c>
      <c r="E143" s="61">
        <v>19286000000</v>
      </c>
      <c r="F143" s="61">
        <v>1008000000</v>
      </c>
      <c r="G143" s="61">
        <v>192000000</v>
      </c>
      <c r="H143" s="61">
        <v>1421000000</v>
      </c>
      <c r="I143" t="s">
        <v>7</v>
      </c>
      <c r="J143" t="s">
        <v>85</v>
      </c>
      <c r="K143" s="61">
        <f t="shared" si="6"/>
        <v>3746000000</v>
      </c>
      <c r="L143" s="61">
        <f t="shared" si="7"/>
        <v>2621000000</v>
      </c>
      <c r="M143" s="61">
        <f t="shared" si="8"/>
        <v>1125000000</v>
      </c>
    </row>
    <row r="144" spans="1:13" x14ac:dyDescent="0.25">
      <c r="A144" t="s">
        <v>84</v>
      </c>
      <c r="B144" t="s">
        <v>10</v>
      </c>
      <c r="C144">
        <v>42004</v>
      </c>
      <c r="D144" s="61">
        <v>23906000000</v>
      </c>
      <c r="E144" s="61">
        <v>19137000000</v>
      </c>
      <c r="F144" s="61">
        <v>995000000</v>
      </c>
      <c r="G144" s="61">
        <v>218000000</v>
      </c>
      <c r="H144" s="61">
        <v>1371000000</v>
      </c>
      <c r="I144" t="s">
        <v>7</v>
      </c>
      <c r="J144" t="s">
        <v>85</v>
      </c>
      <c r="K144" s="61">
        <f t="shared" si="6"/>
        <v>4769000000</v>
      </c>
      <c r="L144" s="61">
        <f t="shared" si="7"/>
        <v>2584000000</v>
      </c>
      <c r="M144" s="61">
        <f t="shared" si="8"/>
        <v>2185000000</v>
      </c>
    </row>
    <row r="145" spans="1:13" x14ac:dyDescent="0.25">
      <c r="A145" t="s">
        <v>84</v>
      </c>
      <c r="B145" t="s">
        <v>11</v>
      </c>
      <c r="C145">
        <v>42369</v>
      </c>
      <c r="D145" s="61">
        <v>22534000000</v>
      </c>
      <c r="E145" s="61">
        <v>18069000000</v>
      </c>
      <c r="F145" s="61">
        <v>979000000</v>
      </c>
      <c r="G145" s="61">
        <v>238000000</v>
      </c>
      <c r="H145" s="61">
        <v>1280000000</v>
      </c>
      <c r="I145" t="s">
        <v>7</v>
      </c>
      <c r="J145" t="s">
        <v>85</v>
      </c>
      <c r="K145" s="61">
        <f t="shared" si="6"/>
        <v>4465000000</v>
      </c>
      <c r="L145" s="61">
        <f t="shared" si="7"/>
        <v>2497000000</v>
      </c>
      <c r="M145" s="61">
        <f t="shared" si="8"/>
        <v>1968000000</v>
      </c>
    </row>
    <row r="146" spans="1:13" x14ac:dyDescent="0.25">
      <c r="A146" t="s">
        <v>86</v>
      </c>
      <c r="B146" t="s">
        <v>6</v>
      </c>
      <c r="C146">
        <v>41274</v>
      </c>
      <c r="D146" s="61">
        <v>4856000000</v>
      </c>
      <c r="E146" s="61">
        <v>1662000000</v>
      </c>
      <c r="F146" s="61">
        <v>1139000000</v>
      </c>
      <c r="G146" s="61">
        <v>604000000</v>
      </c>
      <c r="H146" s="61">
        <v>0</v>
      </c>
      <c r="I146" t="s">
        <v>16</v>
      </c>
      <c r="J146" t="s">
        <v>87</v>
      </c>
      <c r="K146" s="61">
        <f t="shared" si="6"/>
        <v>3194000000</v>
      </c>
      <c r="L146" s="61">
        <f t="shared" si="7"/>
        <v>1743000000</v>
      </c>
      <c r="M146" s="61">
        <f t="shared" si="8"/>
        <v>1451000000</v>
      </c>
    </row>
    <row r="147" spans="1:13" x14ac:dyDescent="0.25">
      <c r="A147" t="s">
        <v>86</v>
      </c>
      <c r="B147" t="s">
        <v>9</v>
      </c>
      <c r="C147">
        <v>41639</v>
      </c>
      <c r="D147" s="61">
        <v>4583000000</v>
      </c>
      <c r="E147" s="61">
        <v>1531000000</v>
      </c>
      <c r="F147" s="61">
        <v>1096000000</v>
      </c>
      <c r="G147" s="61">
        <v>584000000</v>
      </c>
      <c r="H147" s="61">
        <v>0</v>
      </c>
      <c r="I147" t="s">
        <v>16</v>
      </c>
      <c r="J147" t="s">
        <v>87</v>
      </c>
      <c r="K147" s="61">
        <f t="shared" si="6"/>
        <v>3052000000</v>
      </c>
      <c r="L147" s="61">
        <f t="shared" si="7"/>
        <v>1680000000</v>
      </c>
      <c r="M147" s="61">
        <f t="shared" si="8"/>
        <v>1372000000</v>
      </c>
    </row>
    <row r="148" spans="1:13" x14ac:dyDescent="0.25">
      <c r="A148" t="s">
        <v>86</v>
      </c>
      <c r="B148" t="s">
        <v>10</v>
      </c>
      <c r="C148">
        <v>42004</v>
      </c>
      <c r="D148" s="61">
        <v>4408000000</v>
      </c>
      <c r="E148" s="61">
        <v>1525000000</v>
      </c>
      <c r="F148" s="61">
        <v>1129000000</v>
      </c>
      <c r="G148" s="61">
        <v>571000000</v>
      </c>
      <c r="H148" s="61">
        <v>0</v>
      </c>
      <c r="I148" t="s">
        <v>16</v>
      </c>
      <c r="J148" t="s">
        <v>87</v>
      </c>
      <c r="K148" s="61">
        <f t="shared" si="6"/>
        <v>2883000000</v>
      </c>
      <c r="L148" s="61">
        <f t="shared" si="7"/>
        <v>1700000000</v>
      </c>
      <c r="M148" s="61">
        <f t="shared" si="8"/>
        <v>1183000000</v>
      </c>
    </row>
    <row r="149" spans="1:13" x14ac:dyDescent="0.25">
      <c r="A149" t="s">
        <v>86</v>
      </c>
      <c r="B149" t="s">
        <v>11</v>
      </c>
      <c r="C149">
        <v>42369</v>
      </c>
      <c r="D149" s="61">
        <v>4664000000</v>
      </c>
      <c r="E149" s="61">
        <v>1585000000</v>
      </c>
      <c r="F149" s="61">
        <v>1114000000</v>
      </c>
      <c r="G149" s="61">
        <v>646000000</v>
      </c>
      <c r="H149" s="61">
        <v>0</v>
      </c>
      <c r="I149" t="s">
        <v>16</v>
      </c>
      <c r="J149" t="s">
        <v>87</v>
      </c>
      <c r="K149" s="61">
        <f t="shared" si="6"/>
        <v>3079000000</v>
      </c>
      <c r="L149" s="61">
        <f t="shared" si="7"/>
        <v>1760000000</v>
      </c>
      <c r="M149" s="61">
        <f t="shared" si="8"/>
        <v>1319000000</v>
      </c>
    </row>
    <row r="150" spans="1:13" x14ac:dyDescent="0.25">
      <c r="A150" t="s">
        <v>88</v>
      </c>
      <c r="B150" t="s">
        <v>6</v>
      </c>
      <c r="C150">
        <v>42309</v>
      </c>
      <c r="D150" s="61">
        <v>6824000000</v>
      </c>
      <c r="E150" s="61">
        <v>3271000000</v>
      </c>
      <c r="F150" s="61">
        <v>486000000</v>
      </c>
      <c r="G150" s="61">
        <v>1049000000</v>
      </c>
      <c r="H150" s="61">
        <v>249000000</v>
      </c>
      <c r="I150" t="s">
        <v>16</v>
      </c>
      <c r="J150" t="s">
        <v>28</v>
      </c>
      <c r="K150" s="61">
        <f t="shared" si="6"/>
        <v>3553000000</v>
      </c>
      <c r="L150" s="61">
        <f t="shared" si="7"/>
        <v>1784000000</v>
      </c>
      <c r="M150" s="61">
        <f t="shared" si="8"/>
        <v>1769000000</v>
      </c>
    </row>
    <row r="151" spans="1:13" x14ac:dyDescent="0.25">
      <c r="A151" t="s">
        <v>88</v>
      </c>
      <c r="B151" t="s">
        <v>9</v>
      </c>
      <c r="C151">
        <v>42673</v>
      </c>
      <c r="D151" s="61">
        <v>13240000000</v>
      </c>
      <c r="E151" s="61">
        <v>7300000000</v>
      </c>
      <c r="F151" s="61">
        <v>806000000</v>
      </c>
      <c r="G151" s="61">
        <v>2674000000</v>
      </c>
      <c r="H151" s="61">
        <v>1873000000</v>
      </c>
      <c r="I151" t="s">
        <v>16</v>
      </c>
      <c r="J151" t="s">
        <v>28</v>
      </c>
      <c r="K151" s="61">
        <f t="shared" si="6"/>
        <v>5940000000</v>
      </c>
      <c r="L151" s="61">
        <f t="shared" si="7"/>
        <v>5353000000</v>
      </c>
      <c r="M151" s="61">
        <f t="shared" si="8"/>
        <v>587000000</v>
      </c>
    </row>
    <row r="152" spans="1:13" x14ac:dyDescent="0.25">
      <c r="A152" t="s">
        <v>89</v>
      </c>
      <c r="B152" t="s">
        <v>6</v>
      </c>
      <c r="C152">
        <v>41274</v>
      </c>
      <c r="D152" s="61">
        <v>5863500000</v>
      </c>
      <c r="E152" s="61">
        <v>4335300000</v>
      </c>
      <c r="F152" s="61">
        <v>1148900000</v>
      </c>
      <c r="G152" s="61">
        <v>0</v>
      </c>
      <c r="H152" s="61">
        <v>0</v>
      </c>
      <c r="I152" t="s">
        <v>53</v>
      </c>
      <c r="J152" t="s">
        <v>90</v>
      </c>
      <c r="K152" s="61">
        <f t="shared" si="6"/>
        <v>1528200000</v>
      </c>
      <c r="L152" s="61">
        <f t="shared" si="7"/>
        <v>1148900000</v>
      </c>
      <c r="M152" s="61">
        <f t="shared" si="8"/>
        <v>379300000</v>
      </c>
    </row>
    <row r="153" spans="1:13" x14ac:dyDescent="0.25">
      <c r="A153" t="s">
        <v>89</v>
      </c>
      <c r="B153" t="s">
        <v>9</v>
      </c>
      <c r="C153">
        <v>41636</v>
      </c>
      <c r="D153" s="61">
        <v>6140000000</v>
      </c>
      <c r="E153" s="61">
        <v>4502300000</v>
      </c>
      <c r="F153" s="61">
        <v>1174200000</v>
      </c>
      <c r="G153" s="61">
        <v>0</v>
      </c>
      <c r="H153" s="61">
        <v>0</v>
      </c>
      <c r="I153" t="s">
        <v>53</v>
      </c>
      <c r="J153" t="s">
        <v>90</v>
      </c>
      <c r="K153" s="61">
        <f t="shared" si="6"/>
        <v>1637700000</v>
      </c>
      <c r="L153" s="61">
        <f t="shared" si="7"/>
        <v>1174200000</v>
      </c>
      <c r="M153" s="61">
        <f t="shared" si="8"/>
        <v>463500000</v>
      </c>
    </row>
    <row r="154" spans="1:13" x14ac:dyDescent="0.25">
      <c r="A154" t="s">
        <v>89</v>
      </c>
      <c r="B154" t="s">
        <v>10</v>
      </c>
      <c r="C154">
        <v>42007</v>
      </c>
      <c r="D154" s="61">
        <v>6330300000</v>
      </c>
      <c r="E154" s="61">
        <v>4679100000</v>
      </c>
      <c r="F154" s="61">
        <v>1158900000</v>
      </c>
      <c r="G154" s="61">
        <v>0</v>
      </c>
      <c r="H154" s="61">
        <v>0</v>
      </c>
      <c r="I154" t="s">
        <v>53</v>
      </c>
      <c r="J154" t="s">
        <v>90</v>
      </c>
      <c r="K154" s="61">
        <f t="shared" si="6"/>
        <v>1651200000</v>
      </c>
      <c r="L154" s="61">
        <f t="shared" si="7"/>
        <v>1158900000</v>
      </c>
      <c r="M154" s="61">
        <f t="shared" si="8"/>
        <v>492300000</v>
      </c>
    </row>
    <row r="155" spans="1:13" x14ac:dyDescent="0.25">
      <c r="A155" t="s">
        <v>89</v>
      </c>
      <c r="B155" t="s">
        <v>11</v>
      </c>
      <c r="C155">
        <v>42371</v>
      </c>
      <c r="D155" s="61">
        <v>5966900000</v>
      </c>
      <c r="E155" s="61">
        <v>4321100000</v>
      </c>
      <c r="F155" s="61">
        <v>1108100000</v>
      </c>
      <c r="G155" s="61">
        <v>0</v>
      </c>
      <c r="H155" s="61">
        <v>0</v>
      </c>
      <c r="I155" t="s">
        <v>53</v>
      </c>
      <c r="J155" t="s">
        <v>90</v>
      </c>
      <c r="K155" s="61">
        <f t="shared" si="6"/>
        <v>1645800000</v>
      </c>
      <c r="L155" s="61">
        <f t="shared" si="7"/>
        <v>1108100000</v>
      </c>
      <c r="M155" s="61">
        <f t="shared" si="8"/>
        <v>537700000</v>
      </c>
    </row>
    <row r="156" spans="1:13" x14ac:dyDescent="0.25">
      <c r="A156" t="s">
        <v>91</v>
      </c>
      <c r="B156" t="s">
        <v>6</v>
      </c>
      <c r="C156">
        <v>41274</v>
      </c>
      <c r="D156" s="61">
        <v>2853926000</v>
      </c>
      <c r="E156" s="61">
        <v>1329500000</v>
      </c>
      <c r="F156" s="61">
        <v>220758000</v>
      </c>
      <c r="G156" s="61">
        <v>0</v>
      </c>
      <c r="H156" s="61">
        <v>380402000</v>
      </c>
      <c r="I156" t="s">
        <v>36</v>
      </c>
      <c r="J156" t="s">
        <v>92</v>
      </c>
      <c r="K156" s="61">
        <f t="shared" si="6"/>
        <v>1524426000</v>
      </c>
      <c r="L156" s="61">
        <f t="shared" si="7"/>
        <v>601160000</v>
      </c>
      <c r="M156" s="61">
        <f t="shared" si="8"/>
        <v>923266000</v>
      </c>
    </row>
    <row r="157" spans="1:13" x14ac:dyDescent="0.25">
      <c r="A157" t="s">
        <v>91</v>
      </c>
      <c r="B157" t="s">
        <v>9</v>
      </c>
      <c r="C157">
        <v>41639</v>
      </c>
      <c r="D157" s="61">
        <v>2879000000</v>
      </c>
      <c r="E157" s="61">
        <v>1289000000</v>
      </c>
      <c r="F157" s="61">
        <v>234000000</v>
      </c>
      <c r="G157" s="61">
        <v>0</v>
      </c>
      <c r="H157" s="61">
        <v>407000000</v>
      </c>
      <c r="I157" t="s">
        <v>36</v>
      </c>
      <c r="J157" t="s">
        <v>92</v>
      </c>
      <c r="K157" s="61">
        <f t="shared" si="6"/>
        <v>1590000000</v>
      </c>
      <c r="L157" s="61">
        <f t="shared" si="7"/>
        <v>641000000</v>
      </c>
      <c r="M157" s="61">
        <f t="shared" si="8"/>
        <v>949000000</v>
      </c>
    </row>
    <row r="158" spans="1:13" x14ac:dyDescent="0.25">
      <c r="A158" t="s">
        <v>91</v>
      </c>
      <c r="B158" t="s">
        <v>10</v>
      </c>
      <c r="C158">
        <v>42004</v>
      </c>
      <c r="D158" s="61">
        <v>3011000000</v>
      </c>
      <c r="E158" s="61">
        <v>1350000000</v>
      </c>
      <c r="F158" s="61">
        <v>236000000</v>
      </c>
      <c r="G158" s="61">
        <v>0</v>
      </c>
      <c r="H158" s="61">
        <v>424000000</v>
      </c>
      <c r="I158" t="s">
        <v>36</v>
      </c>
      <c r="J158" t="s">
        <v>92</v>
      </c>
      <c r="K158" s="61">
        <f t="shared" si="6"/>
        <v>1661000000</v>
      </c>
      <c r="L158" s="61">
        <f t="shared" si="7"/>
        <v>660000000</v>
      </c>
      <c r="M158" s="61">
        <f t="shared" si="8"/>
        <v>1001000000</v>
      </c>
    </row>
    <row r="159" spans="1:13" x14ac:dyDescent="0.25">
      <c r="A159" t="s">
        <v>91</v>
      </c>
      <c r="B159" t="s">
        <v>11</v>
      </c>
      <c r="C159">
        <v>42369</v>
      </c>
      <c r="D159" s="61">
        <v>3159000000</v>
      </c>
      <c r="E159" s="61">
        <v>1404000000</v>
      </c>
      <c r="F159" s="61">
        <v>243000000</v>
      </c>
      <c r="G159" s="61">
        <v>0</v>
      </c>
      <c r="H159" s="61">
        <v>440000000</v>
      </c>
      <c r="I159" t="s">
        <v>36</v>
      </c>
      <c r="J159" t="s">
        <v>92</v>
      </c>
      <c r="K159" s="61">
        <f t="shared" si="6"/>
        <v>1755000000</v>
      </c>
      <c r="L159" s="61">
        <f t="shared" si="7"/>
        <v>683000000</v>
      </c>
      <c r="M159" s="61">
        <f t="shared" si="8"/>
        <v>1072000000</v>
      </c>
    </row>
    <row r="160" spans="1:13" x14ac:dyDescent="0.25">
      <c r="A160" t="s">
        <v>93</v>
      </c>
      <c r="B160" t="s">
        <v>6</v>
      </c>
      <c r="C160">
        <v>41274</v>
      </c>
      <c r="D160" s="61">
        <v>33781000000</v>
      </c>
      <c r="E160" s="61">
        <v>480000000</v>
      </c>
      <c r="F160" s="61">
        <v>23392000000</v>
      </c>
      <c r="G160" s="61">
        <v>0</v>
      </c>
      <c r="H160" s="61">
        <v>1712000000</v>
      </c>
      <c r="I160" t="s">
        <v>41</v>
      </c>
      <c r="J160" t="s">
        <v>94</v>
      </c>
      <c r="K160" s="61">
        <f t="shared" si="6"/>
        <v>33301000000</v>
      </c>
      <c r="L160" s="61">
        <f t="shared" si="7"/>
        <v>25104000000</v>
      </c>
      <c r="M160" s="61">
        <f t="shared" si="8"/>
        <v>8197000000</v>
      </c>
    </row>
    <row r="161" spans="1:13" x14ac:dyDescent="0.25">
      <c r="A161" t="s">
        <v>93</v>
      </c>
      <c r="B161" t="s">
        <v>9</v>
      </c>
      <c r="C161">
        <v>41639</v>
      </c>
      <c r="D161" s="61">
        <v>34828000000</v>
      </c>
      <c r="E161" s="61">
        <v>442000000</v>
      </c>
      <c r="F161" s="61">
        <v>23150000000</v>
      </c>
      <c r="G161" s="61">
        <v>0</v>
      </c>
      <c r="H161" s="61">
        <v>1832000000</v>
      </c>
      <c r="I161" t="s">
        <v>41</v>
      </c>
      <c r="J161" t="s">
        <v>94</v>
      </c>
      <c r="K161" s="61">
        <f t="shared" si="6"/>
        <v>34386000000</v>
      </c>
      <c r="L161" s="61">
        <f t="shared" si="7"/>
        <v>24982000000</v>
      </c>
      <c r="M161" s="61">
        <f t="shared" si="8"/>
        <v>9404000000</v>
      </c>
    </row>
    <row r="162" spans="1:13" x14ac:dyDescent="0.25">
      <c r="A162" t="s">
        <v>93</v>
      </c>
      <c r="B162" t="s">
        <v>10</v>
      </c>
      <c r="C162">
        <v>42004</v>
      </c>
      <c r="D162" s="61">
        <v>35895000000</v>
      </c>
      <c r="E162" s="61">
        <v>373000000</v>
      </c>
      <c r="F162" s="61">
        <v>23153000000</v>
      </c>
      <c r="G162" s="61">
        <v>0</v>
      </c>
      <c r="H162" s="61">
        <v>2044000000</v>
      </c>
      <c r="I162" t="s">
        <v>41</v>
      </c>
      <c r="J162" t="s">
        <v>94</v>
      </c>
      <c r="K162" s="61">
        <f t="shared" si="6"/>
        <v>35522000000</v>
      </c>
      <c r="L162" s="61">
        <f t="shared" si="7"/>
        <v>25197000000</v>
      </c>
      <c r="M162" s="61">
        <f t="shared" si="8"/>
        <v>10325000000</v>
      </c>
    </row>
    <row r="163" spans="1:13" x14ac:dyDescent="0.25">
      <c r="A163" t="s">
        <v>93</v>
      </c>
      <c r="B163" t="s">
        <v>11</v>
      </c>
      <c r="C163">
        <v>42369</v>
      </c>
      <c r="D163" s="61">
        <v>34441000000</v>
      </c>
      <c r="E163" s="61">
        <v>475000000</v>
      </c>
      <c r="F163" s="61">
        <v>22892000000</v>
      </c>
      <c r="G163" s="61">
        <v>0</v>
      </c>
      <c r="H163" s="61">
        <v>1988000000</v>
      </c>
      <c r="I163" t="s">
        <v>41</v>
      </c>
      <c r="J163" t="s">
        <v>94</v>
      </c>
      <c r="K163" s="61">
        <f t="shared" si="6"/>
        <v>33966000000</v>
      </c>
      <c r="L163" s="61">
        <f t="shared" si="7"/>
        <v>24880000000</v>
      </c>
      <c r="M163" s="61">
        <f t="shared" si="8"/>
        <v>9086000000</v>
      </c>
    </row>
    <row r="164" spans="1:13" x14ac:dyDescent="0.25">
      <c r="A164" t="s">
        <v>95</v>
      </c>
      <c r="B164" t="s">
        <v>6</v>
      </c>
      <c r="C164">
        <v>41517</v>
      </c>
      <c r="D164" s="61">
        <v>2089100000</v>
      </c>
      <c r="E164" s="61">
        <v>1251500000</v>
      </c>
      <c r="F164" s="61">
        <v>607600000</v>
      </c>
      <c r="G164" s="61">
        <v>0</v>
      </c>
      <c r="H164" s="61">
        <v>0</v>
      </c>
      <c r="I164" t="s">
        <v>7</v>
      </c>
      <c r="J164" t="s">
        <v>64</v>
      </c>
      <c r="K164" s="61">
        <f t="shared" si="6"/>
        <v>837600000</v>
      </c>
      <c r="L164" s="61">
        <f t="shared" si="7"/>
        <v>607600000</v>
      </c>
      <c r="M164" s="61">
        <f t="shared" si="8"/>
        <v>230000000</v>
      </c>
    </row>
    <row r="165" spans="1:13" x14ac:dyDescent="0.25">
      <c r="A165" t="s">
        <v>95</v>
      </c>
      <c r="B165" t="s">
        <v>9</v>
      </c>
      <c r="C165">
        <v>41882</v>
      </c>
      <c r="D165" s="61">
        <v>2393500000</v>
      </c>
      <c r="E165" s="61">
        <v>1414300000</v>
      </c>
      <c r="F165" s="61">
        <v>680300000</v>
      </c>
      <c r="G165" s="61">
        <v>0</v>
      </c>
      <c r="H165" s="61">
        <v>0</v>
      </c>
      <c r="I165" t="s">
        <v>7</v>
      </c>
      <c r="J165" t="s">
        <v>64</v>
      </c>
      <c r="K165" s="61">
        <f t="shared" si="6"/>
        <v>979200000</v>
      </c>
      <c r="L165" s="61">
        <f t="shared" si="7"/>
        <v>680300000</v>
      </c>
      <c r="M165" s="61">
        <f t="shared" si="8"/>
        <v>298900000</v>
      </c>
    </row>
    <row r="166" spans="1:13" x14ac:dyDescent="0.25">
      <c r="A166" t="s">
        <v>95</v>
      </c>
      <c r="B166" t="s">
        <v>10</v>
      </c>
      <c r="C166">
        <v>42247</v>
      </c>
      <c r="D166" s="61">
        <v>2706700000</v>
      </c>
      <c r="E166" s="61">
        <v>1561100000</v>
      </c>
      <c r="F166" s="61">
        <v>756900000</v>
      </c>
      <c r="G166" s="61">
        <v>0</v>
      </c>
      <c r="H166" s="61">
        <v>0</v>
      </c>
      <c r="I166" t="s">
        <v>7</v>
      </c>
      <c r="J166" t="s">
        <v>64</v>
      </c>
      <c r="K166" s="61">
        <f t="shared" si="6"/>
        <v>1145600000</v>
      </c>
      <c r="L166" s="61">
        <f t="shared" si="7"/>
        <v>756900000</v>
      </c>
      <c r="M166" s="61">
        <f t="shared" si="8"/>
        <v>388700000</v>
      </c>
    </row>
    <row r="167" spans="1:13" x14ac:dyDescent="0.25">
      <c r="A167" t="s">
        <v>95</v>
      </c>
      <c r="B167" t="s">
        <v>11</v>
      </c>
      <c r="C167">
        <v>42613</v>
      </c>
      <c r="D167" s="61">
        <v>3291300000</v>
      </c>
      <c r="E167" s="61">
        <v>1855100000</v>
      </c>
      <c r="F167" s="61">
        <v>946000000</v>
      </c>
      <c r="G167" s="61">
        <v>0</v>
      </c>
      <c r="H167" s="61">
        <v>0</v>
      </c>
      <c r="I167" t="s">
        <v>7</v>
      </c>
      <c r="J167" t="s">
        <v>64</v>
      </c>
      <c r="K167" s="61">
        <f t="shared" si="6"/>
        <v>1436200000</v>
      </c>
      <c r="L167" s="61">
        <f t="shared" si="7"/>
        <v>946000000</v>
      </c>
      <c r="M167" s="61">
        <f t="shared" si="8"/>
        <v>490200000</v>
      </c>
    </row>
    <row r="168" spans="1:13" x14ac:dyDescent="0.25">
      <c r="A168" t="s">
        <v>96</v>
      </c>
      <c r="B168" t="s">
        <v>6</v>
      </c>
      <c r="C168">
        <v>41517</v>
      </c>
      <c r="D168" s="61">
        <v>9147530000</v>
      </c>
      <c r="E168" s="61">
        <v>4406595000</v>
      </c>
      <c r="F168" s="61">
        <v>2967837000</v>
      </c>
      <c r="G168" s="61">
        <v>0</v>
      </c>
      <c r="H168" s="61">
        <v>0</v>
      </c>
      <c r="I168" t="s">
        <v>13</v>
      </c>
      <c r="J168" t="s">
        <v>73</v>
      </c>
      <c r="K168" s="61">
        <f t="shared" si="6"/>
        <v>4740935000</v>
      </c>
      <c r="L168" s="61">
        <f t="shared" si="7"/>
        <v>2967837000</v>
      </c>
      <c r="M168" s="61">
        <f t="shared" si="8"/>
        <v>1773098000</v>
      </c>
    </row>
    <row r="169" spans="1:13" x14ac:dyDescent="0.25">
      <c r="A169" t="s">
        <v>96</v>
      </c>
      <c r="B169" t="s">
        <v>9</v>
      </c>
      <c r="C169">
        <v>41881</v>
      </c>
      <c r="D169" s="61">
        <v>9475313000</v>
      </c>
      <c r="E169" s="61">
        <v>4540406000</v>
      </c>
      <c r="F169" s="61">
        <v>3104684000</v>
      </c>
      <c r="G169" s="61">
        <v>0</v>
      </c>
      <c r="H169" s="61">
        <v>0</v>
      </c>
      <c r="I169" t="s">
        <v>13</v>
      </c>
      <c r="J169" t="s">
        <v>73</v>
      </c>
      <c r="K169" s="61">
        <f t="shared" si="6"/>
        <v>4934907000</v>
      </c>
      <c r="L169" s="61">
        <f t="shared" si="7"/>
        <v>3104684000</v>
      </c>
      <c r="M169" s="61">
        <f t="shared" si="8"/>
        <v>1830223000</v>
      </c>
    </row>
    <row r="170" spans="1:13" x14ac:dyDescent="0.25">
      <c r="A170" t="s">
        <v>96</v>
      </c>
      <c r="B170" t="s">
        <v>10</v>
      </c>
      <c r="C170">
        <v>42245</v>
      </c>
      <c r="D170" s="61">
        <v>10187340000</v>
      </c>
      <c r="E170" s="61">
        <v>4860309000</v>
      </c>
      <c r="F170" s="61">
        <v>3373980000</v>
      </c>
      <c r="G170" s="61">
        <v>0</v>
      </c>
      <c r="H170" s="61">
        <v>0</v>
      </c>
      <c r="I170" t="s">
        <v>13</v>
      </c>
      <c r="J170" t="s">
        <v>73</v>
      </c>
      <c r="K170" s="61">
        <f t="shared" si="6"/>
        <v>5327031000</v>
      </c>
      <c r="L170" s="61">
        <f t="shared" si="7"/>
        <v>3373980000</v>
      </c>
      <c r="M170" s="61">
        <f t="shared" si="8"/>
        <v>1953051000</v>
      </c>
    </row>
    <row r="171" spans="1:13" x14ac:dyDescent="0.25">
      <c r="A171" t="s">
        <v>96</v>
      </c>
      <c r="B171" t="s">
        <v>11</v>
      </c>
      <c r="C171">
        <v>42609</v>
      </c>
      <c r="D171" s="61">
        <v>10635676000</v>
      </c>
      <c r="E171" s="61">
        <v>5026940000</v>
      </c>
      <c r="F171" s="61">
        <v>3548341000</v>
      </c>
      <c r="G171" s="61">
        <v>0</v>
      </c>
      <c r="H171" s="61">
        <v>0</v>
      </c>
      <c r="I171" t="s">
        <v>13</v>
      </c>
      <c r="J171" t="s">
        <v>73</v>
      </c>
      <c r="K171" s="61">
        <f t="shared" si="6"/>
        <v>5608736000</v>
      </c>
      <c r="L171" s="61">
        <f t="shared" si="7"/>
        <v>3548341000</v>
      </c>
      <c r="M171" s="61">
        <f t="shared" si="8"/>
        <v>2060395000</v>
      </c>
    </row>
    <row r="172" spans="1:13" x14ac:dyDescent="0.25">
      <c r="A172" t="s">
        <v>97</v>
      </c>
      <c r="B172" t="s">
        <v>6</v>
      </c>
      <c r="C172">
        <v>41639</v>
      </c>
      <c r="D172" s="61">
        <v>86623000000</v>
      </c>
      <c r="E172" s="61">
        <v>73268000000</v>
      </c>
      <c r="F172" s="61">
        <v>3742000000</v>
      </c>
      <c r="G172" s="61">
        <v>3071000000</v>
      </c>
      <c r="H172" s="61">
        <v>0</v>
      </c>
      <c r="I172" t="s">
        <v>7</v>
      </c>
      <c r="J172" t="s">
        <v>85</v>
      </c>
      <c r="K172" s="61">
        <f t="shared" si="6"/>
        <v>13355000000</v>
      </c>
      <c r="L172" s="61">
        <f t="shared" si="7"/>
        <v>6813000000</v>
      </c>
      <c r="M172" s="61">
        <f t="shared" si="8"/>
        <v>6542000000</v>
      </c>
    </row>
    <row r="173" spans="1:13" x14ac:dyDescent="0.25">
      <c r="A173" t="s">
        <v>97</v>
      </c>
      <c r="B173" t="s">
        <v>9</v>
      </c>
      <c r="C173">
        <v>42004</v>
      </c>
      <c r="D173" s="61">
        <v>90762000000</v>
      </c>
      <c r="E173" s="61">
        <v>76752000000</v>
      </c>
      <c r="F173" s="61">
        <v>3480000000</v>
      </c>
      <c r="G173" s="61">
        <v>3047000000</v>
      </c>
      <c r="H173" s="61">
        <v>0</v>
      </c>
      <c r="I173" t="s">
        <v>7</v>
      </c>
      <c r="J173" t="s">
        <v>85</v>
      </c>
      <c r="K173" s="61">
        <f t="shared" si="6"/>
        <v>14010000000</v>
      </c>
      <c r="L173" s="61">
        <f t="shared" si="7"/>
        <v>6527000000</v>
      </c>
      <c r="M173" s="61">
        <f t="shared" si="8"/>
        <v>7483000000</v>
      </c>
    </row>
    <row r="174" spans="1:13" x14ac:dyDescent="0.25">
      <c r="A174" t="s">
        <v>97</v>
      </c>
      <c r="B174" t="s">
        <v>10</v>
      </c>
      <c r="C174">
        <v>42369</v>
      </c>
      <c r="D174" s="61">
        <v>96114000000</v>
      </c>
      <c r="E174" s="61">
        <v>82088000000</v>
      </c>
      <c r="F174" s="61">
        <v>3251000000</v>
      </c>
      <c r="G174" s="61">
        <v>3331000000</v>
      </c>
      <c r="H174" s="61">
        <v>0</v>
      </c>
      <c r="I174" t="s">
        <v>7</v>
      </c>
      <c r="J174" t="s">
        <v>85</v>
      </c>
      <c r="K174" s="61">
        <f t="shared" si="6"/>
        <v>14026000000</v>
      </c>
      <c r="L174" s="61">
        <f t="shared" si="7"/>
        <v>6582000000</v>
      </c>
      <c r="M174" s="61">
        <f t="shared" si="8"/>
        <v>7444000000</v>
      </c>
    </row>
    <row r="175" spans="1:13" x14ac:dyDescent="0.25">
      <c r="A175" t="s">
        <v>97</v>
      </c>
      <c r="B175" t="s">
        <v>11</v>
      </c>
      <c r="C175">
        <v>42735</v>
      </c>
      <c r="D175" s="61">
        <v>94571000000</v>
      </c>
      <c r="E175" s="61">
        <v>80790000000</v>
      </c>
      <c r="F175" s="61">
        <v>3313000000</v>
      </c>
      <c r="G175" s="61">
        <v>4627000000</v>
      </c>
      <c r="H175" s="61">
        <v>0</v>
      </c>
      <c r="I175" t="s">
        <v>7</v>
      </c>
      <c r="J175" t="s">
        <v>85</v>
      </c>
      <c r="K175" s="61">
        <f t="shared" si="6"/>
        <v>13781000000</v>
      </c>
      <c r="L175" s="61">
        <f t="shared" si="7"/>
        <v>7940000000</v>
      </c>
      <c r="M175" s="61">
        <f t="shared" si="8"/>
        <v>5841000000</v>
      </c>
    </row>
    <row r="176" spans="1:13" x14ac:dyDescent="0.25">
      <c r="A176" t="s">
        <v>98</v>
      </c>
      <c r="B176" t="s">
        <v>6</v>
      </c>
      <c r="C176">
        <v>41274</v>
      </c>
      <c r="D176" s="61">
        <v>100078000000</v>
      </c>
      <c r="E176" s="61">
        <v>3753000000</v>
      </c>
      <c r="F176" s="61">
        <v>70829000000</v>
      </c>
      <c r="G176" s="61">
        <v>0</v>
      </c>
      <c r="H176" s="61">
        <v>9433000000</v>
      </c>
      <c r="I176" t="s">
        <v>41</v>
      </c>
      <c r="J176" t="s">
        <v>99</v>
      </c>
      <c r="K176" s="61">
        <f t="shared" si="6"/>
        <v>96325000000</v>
      </c>
      <c r="L176" s="61">
        <f t="shared" si="7"/>
        <v>80262000000</v>
      </c>
      <c r="M176" s="61">
        <f t="shared" si="8"/>
        <v>16063000000</v>
      </c>
    </row>
    <row r="177" spans="1:13" x14ac:dyDescent="0.25">
      <c r="A177" t="s">
        <v>98</v>
      </c>
      <c r="B177" t="s">
        <v>9</v>
      </c>
      <c r="C177">
        <v>41639</v>
      </c>
      <c r="D177" s="61">
        <v>101697000000</v>
      </c>
      <c r="E177" s="61">
        <v>3034000000</v>
      </c>
      <c r="F177" s="61">
        <v>68128000000</v>
      </c>
      <c r="G177" s="61">
        <v>0</v>
      </c>
      <c r="H177" s="61">
        <v>4642000000</v>
      </c>
      <c r="I177" t="s">
        <v>41</v>
      </c>
      <c r="J177" t="s">
        <v>99</v>
      </c>
      <c r="K177" s="61">
        <f t="shared" si="6"/>
        <v>98663000000</v>
      </c>
      <c r="L177" s="61">
        <f t="shared" si="7"/>
        <v>72770000000</v>
      </c>
      <c r="M177" s="61">
        <f t="shared" si="8"/>
        <v>25893000000</v>
      </c>
    </row>
    <row r="178" spans="1:13" x14ac:dyDescent="0.25">
      <c r="A178" t="s">
        <v>98</v>
      </c>
      <c r="B178" t="s">
        <v>10</v>
      </c>
      <c r="C178">
        <v>42004</v>
      </c>
      <c r="D178" s="61">
        <v>95181000000</v>
      </c>
      <c r="E178" s="61">
        <v>2656000000</v>
      </c>
      <c r="F178" s="61">
        <v>74181000000</v>
      </c>
      <c r="G178" s="61">
        <v>0</v>
      </c>
      <c r="H178" s="61">
        <v>3211000000</v>
      </c>
      <c r="I178" t="s">
        <v>41</v>
      </c>
      <c r="J178" t="s">
        <v>99</v>
      </c>
      <c r="K178" s="61">
        <f t="shared" si="6"/>
        <v>92525000000</v>
      </c>
      <c r="L178" s="61">
        <f t="shared" si="7"/>
        <v>77392000000</v>
      </c>
      <c r="M178" s="61">
        <f t="shared" si="8"/>
        <v>15133000000</v>
      </c>
    </row>
    <row r="179" spans="1:13" x14ac:dyDescent="0.25">
      <c r="A179" t="s">
        <v>98</v>
      </c>
      <c r="B179" t="s">
        <v>11</v>
      </c>
      <c r="C179">
        <v>42369</v>
      </c>
      <c r="D179" s="61">
        <v>93056000000</v>
      </c>
      <c r="E179" s="61">
        <v>2204000000</v>
      </c>
      <c r="F179" s="61">
        <v>56358000000</v>
      </c>
      <c r="G179" s="61">
        <v>0</v>
      </c>
      <c r="H179" s="61">
        <v>3995000000</v>
      </c>
      <c r="I179" t="s">
        <v>41</v>
      </c>
      <c r="J179" t="s">
        <v>99</v>
      </c>
      <c r="K179" s="61">
        <f t="shared" si="6"/>
        <v>90852000000</v>
      </c>
      <c r="L179" s="61">
        <f t="shared" si="7"/>
        <v>60353000000</v>
      </c>
      <c r="M179" s="61">
        <f t="shared" si="8"/>
        <v>30499000000</v>
      </c>
    </row>
    <row r="180" spans="1:13" x14ac:dyDescent="0.25">
      <c r="A180" t="s">
        <v>100</v>
      </c>
      <c r="B180" t="s">
        <v>6</v>
      </c>
      <c r="C180">
        <v>41274</v>
      </c>
      <c r="D180" s="61">
        <v>13936000000</v>
      </c>
      <c r="E180" s="61">
        <v>6802000000</v>
      </c>
      <c r="F180" s="61">
        <v>3283000000</v>
      </c>
      <c r="G180" s="61">
        <v>1081000000</v>
      </c>
      <c r="H180" s="61">
        <v>0</v>
      </c>
      <c r="I180" t="s">
        <v>19</v>
      </c>
      <c r="J180" t="s">
        <v>24</v>
      </c>
      <c r="K180" s="61">
        <f t="shared" si="6"/>
        <v>7134000000</v>
      </c>
      <c r="L180" s="61">
        <f t="shared" si="7"/>
        <v>4364000000</v>
      </c>
      <c r="M180" s="61">
        <f t="shared" si="8"/>
        <v>2770000000</v>
      </c>
    </row>
    <row r="181" spans="1:13" x14ac:dyDescent="0.25">
      <c r="A181" t="s">
        <v>100</v>
      </c>
      <c r="B181" t="s">
        <v>9</v>
      </c>
      <c r="C181">
        <v>41639</v>
      </c>
      <c r="D181" s="61">
        <v>9413000000</v>
      </c>
      <c r="E181" s="61">
        <v>5251000000</v>
      </c>
      <c r="F181" s="61">
        <v>3084000000</v>
      </c>
      <c r="G181" s="61">
        <v>582000000</v>
      </c>
      <c r="H181" s="61">
        <v>0</v>
      </c>
      <c r="I181" t="s">
        <v>19</v>
      </c>
      <c r="J181" t="s">
        <v>24</v>
      </c>
      <c r="K181" s="61">
        <f t="shared" si="6"/>
        <v>4162000000</v>
      </c>
      <c r="L181" s="61">
        <f t="shared" si="7"/>
        <v>3666000000</v>
      </c>
      <c r="M181" s="61">
        <f t="shared" si="8"/>
        <v>496000000</v>
      </c>
    </row>
    <row r="182" spans="1:13" x14ac:dyDescent="0.25">
      <c r="A182" t="s">
        <v>100</v>
      </c>
      <c r="B182" t="s">
        <v>10</v>
      </c>
      <c r="C182">
        <v>42004</v>
      </c>
      <c r="D182" s="61">
        <v>10719000000</v>
      </c>
      <c r="E182" s="61">
        <v>6138000000</v>
      </c>
      <c r="F182" s="61">
        <v>3315000000</v>
      </c>
      <c r="G182" s="61">
        <v>610000000</v>
      </c>
      <c r="H182" s="61">
        <v>0</v>
      </c>
      <c r="I182" t="s">
        <v>19</v>
      </c>
      <c r="J182" t="s">
        <v>24</v>
      </c>
      <c r="K182" s="61">
        <f t="shared" si="6"/>
        <v>4581000000</v>
      </c>
      <c r="L182" s="61">
        <f t="shared" si="7"/>
        <v>3925000000</v>
      </c>
      <c r="M182" s="61">
        <f t="shared" si="8"/>
        <v>656000000</v>
      </c>
    </row>
    <row r="183" spans="1:13" x14ac:dyDescent="0.25">
      <c r="A183" t="s">
        <v>100</v>
      </c>
      <c r="B183" t="s">
        <v>11</v>
      </c>
      <c r="C183">
        <v>42369</v>
      </c>
      <c r="D183" s="61">
        <v>9968000000</v>
      </c>
      <c r="E183" s="61">
        <v>5822000000</v>
      </c>
      <c r="F183" s="61">
        <v>3094000000</v>
      </c>
      <c r="G183" s="61">
        <v>603000000</v>
      </c>
      <c r="H183" s="61">
        <v>0</v>
      </c>
      <c r="I183" t="s">
        <v>19</v>
      </c>
      <c r="J183" t="s">
        <v>24</v>
      </c>
      <c r="K183" s="61">
        <f t="shared" si="6"/>
        <v>4146000000</v>
      </c>
      <c r="L183" s="61">
        <f t="shared" si="7"/>
        <v>3697000000</v>
      </c>
      <c r="M183" s="61">
        <f t="shared" si="8"/>
        <v>449000000</v>
      </c>
    </row>
    <row r="184" spans="1:13" x14ac:dyDescent="0.25">
      <c r="A184" t="s">
        <v>101</v>
      </c>
      <c r="B184" t="s">
        <v>6</v>
      </c>
      <c r="C184">
        <v>41335</v>
      </c>
      <c r="D184" s="61">
        <v>10914585000</v>
      </c>
      <c r="E184" s="61">
        <v>6525830000</v>
      </c>
      <c r="F184" s="61">
        <v>2750537000</v>
      </c>
      <c r="G184" s="61">
        <v>0</v>
      </c>
      <c r="H184" s="61">
        <v>0</v>
      </c>
      <c r="I184" t="s">
        <v>13</v>
      </c>
      <c r="J184" t="s">
        <v>73</v>
      </c>
      <c r="K184" s="61">
        <f t="shared" si="6"/>
        <v>4388755000</v>
      </c>
      <c r="L184" s="61">
        <f t="shared" si="7"/>
        <v>2750537000</v>
      </c>
      <c r="M184" s="61">
        <f t="shared" si="8"/>
        <v>1638218000</v>
      </c>
    </row>
    <row r="185" spans="1:13" x14ac:dyDescent="0.25">
      <c r="A185" t="s">
        <v>101</v>
      </c>
      <c r="B185" t="s">
        <v>9</v>
      </c>
      <c r="C185">
        <v>41699</v>
      </c>
      <c r="D185" s="61">
        <v>11503963000</v>
      </c>
      <c r="E185" s="61">
        <v>6938381000</v>
      </c>
      <c r="F185" s="61">
        <v>2950995000</v>
      </c>
      <c r="G185" s="61">
        <v>0</v>
      </c>
      <c r="H185" s="61">
        <v>0</v>
      </c>
      <c r="I185" t="s">
        <v>13</v>
      </c>
      <c r="J185" t="s">
        <v>73</v>
      </c>
      <c r="K185" s="61">
        <f t="shared" si="6"/>
        <v>4565582000</v>
      </c>
      <c r="L185" s="61">
        <f t="shared" si="7"/>
        <v>2950995000</v>
      </c>
      <c r="M185" s="61">
        <f t="shared" si="8"/>
        <v>1614587000</v>
      </c>
    </row>
    <row r="186" spans="1:13" x14ac:dyDescent="0.25">
      <c r="A186" t="s">
        <v>101</v>
      </c>
      <c r="B186" t="s">
        <v>10</v>
      </c>
      <c r="C186">
        <v>42063</v>
      </c>
      <c r="D186" s="61">
        <v>11881176000</v>
      </c>
      <c r="E186" s="61">
        <v>7261397000</v>
      </c>
      <c r="F186" s="61">
        <v>3065486000</v>
      </c>
      <c r="G186" s="61">
        <v>0</v>
      </c>
      <c r="H186" s="61">
        <v>0</v>
      </c>
      <c r="I186" t="s">
        <v>13</v>
      </c>
      <c r="J186" t="s">
        <v>73</v>
      </c>
      <c r="K186" s="61">
        <f t="shared" si="6"/>
        <v>4619779000</v>
      </c>
      <c r="L186" s="61">
        <f t="shared" si="7"/>
        <v>3065486000</v>
      </c>
      <c r="M186" s="61">
        <f t="shared" si="8"/>
        <v>1554293000</v>
      </c>
    </row>
    <row r="187" spans="1:13" x14ac:dyDescent="0.25">
      <c r="A187" t="s">
        <v>101</v>
      </c>
      <c r="B187" t="s">
        <v>11</v>
      </c>
      <c r="C187">
        <v>42427</v>
      </c>
      <c r="D187" s="61">
        <v>12103887000</v>
      </c>
      <c r="E187" s="61">
        <v>7483577000</v>
      </c>
      <c r="F187" s="61">
        <v>3205407000</v>
      </c>
      <c r="G187" s="61">
        <v>0</v>
      </c>
      <c r="H187" s="61">
        <v>0</v>
      </c>
      <c r="I187" t="s">
        <v>13</v>
      </c>
      <c r="J187" t="s">
        <v>73</v>
      </c>
      <c r="K187" s="61">
        <f t="shared" si="6"/>
        <v>4620310000</v>
      </c>
      <c r="L187" s="61">
        <f t="shared" si="7"/>
        <v>3205407000</v>
      </c>
      <c r="M187" s="61">
        <f t="shared" si="8"/>
        <v>1414903000</v>
      </c>
    </row>
    <row r="188" spans="1:13" x14ac:dyDescent="0.25">
      <c r="A188" t="s">
        <v>102</v>
      </c>
      <c r="B188" t="s">
        <v>6</v>
      </c>
      <c r="C188">
        <v>41274</v>
      </c>
      <c r="D188" s="61">
        <v>10737000000</v>
      </c>
      <c r="E188" s="61">
        <v>429000000</v>
      </c>
      <c r="F188" s="61">
        <v>5650000000</v>
      </c>
      <c r="G188" s="61">
        <v>0</v>
      </c>
      <c r="H188" s="61">
        <v>1167000000</v>
      </c>
      <c r="I188" t="s">
        <v>41</v>
      </c>
      <c r="J188" t="s">
        <v>99</v>
      </c>
      <c r="K188" s="61">
        <f t="shared" si="6"/>
        <v>10308000000</v>
      </c>
      <c r="L188" s="61">
        <f t="shared" si="7"/>
        <v>6817000000</v>
      </c>
      <c r="M188" s="61">
        <f t="shared" si="8"/>
        <v>3491000000</v>
      </c>
    </row>
    <row r="189" spans="1:13" x14ac:dyDescent="0.25">
      <c r="A189" t="s">
        <v>102</v>
      </c>
      <c r="B189" t="s">
        <v>9</v>
      </c>
      <c r="C189">
        <v>41639</v>
      </c>
      <c r="D189" s="61">
        <v>10543000000</v>
      </c>
      <c r="E189" s="61">
        <v>301000000</v>
      </c>
      <c r="F189" s="61">
        <v>5625000000</v>
      </c>
      <c r="G189" s="61">
        <v>0</v>
      </c>
      <c r="H189" s="61">
        <v>698000000</v>
      </c>
      <c r="I189" t="s">
        <v>41</v>
      </c>
      <c r="J189" t="s">
        <v>99</v>
      </c>
      <c r="K189" s="61">
        <f t="shared" si="6"/>
        <v>10242000000</v>
      </c>
      <c r="L189" s="61">
        <f t="shared" si="7"/>
        <v>6323000000</v>
      </c>
      <c r="M189" s="61">
        <f t="shared" si="8"/>
        <v>3919000000</v>
      </c>
    </row>
    <row r="190" spans="1:13" x14ac:dyDescent="0.25">
      <c r="A190" t="s">
        <v>102</v>
      </c>
      <c r="B190" t="s">
        <v>10</v>
      </c>
      <c r="C190">
        <v>42004</v>
      </c>
      <c r="D190" s="61">
        <v>9998000000</v>
      </c>
      <c r="E190" s="61">
        <v>239000000</v>
      </c>
      <c r="F190" s="61">
        <v>5715000000</v>
      </c>
      <c r="G190" s="61">
        <v>0</v>
      </c>
      <c r="H190" s="61">
        <v>342000000</v>
      </c>
      <c r="I190" t="s">
        <v>41</v>
      </c>
      <c r="J190" t="s">
        <v>99</v>
      </c>
      <c r="K190" s="61">
        <f t="shared" si="6"/>
        <v>9759000000</v>
      </c>
      <c r="L190" s="61">
        <f t="shared" si="7"/>
        <v>6057000000</v>
      </c>
      <c r="M190" s="61">
        <f t="shared" si="8"/>
        <v>3702000000</v>
      </c>
    </row>
    <row r="191" spans="1:13" x14ac:dyDescent="0.25">
      <c r="A191" t="s">
        <v>102</v>
      </c>
      <c r="B191" t="s">
        <v>11</v>
      </c>
      <c r="C191">
        <v>42369</v>
      </c>
      <c r="D191" s="61">
        <v>10346000000</v>
      </c>
      <c r="E191" s="61">
        <v>233000000</v>
      </c>
      <c r="F191" s="61">
        <v>5996000000</v>
      </c>
      <c r="G191" s="61">
        <v>0</v>
      </c>
      <c r="H191" s="61">
        <v>533000000</v>
      </c>
      <c r="I191" t="s">
        <v>41</v>
      </c>
      <c r="J191" t="s">
        <v>99</v>
      </c>
      <c r="K191" s="61">
        <f t="shared" si="6"/>
        <v>10113000000</v>
      </c>
      <c r="L191" s="61">
        <f t="shared" si="7"/>
        <v>6529000000</v>
      </c>
      <c r="M191" s="61">
        <f t="shared" si="8"/>
        <v>3584000000</v>
      </c>
    </row>
    <row r="192" spans="1:13" x14ac:dyDescent="0.25">
      <c r="A192" t="s">
        <v>103</v>
      </c>
      <c r="B192" t="s">
        <v>6</v>
      </c>
      <c r="C192">
        <v>40971</v>
      </c>
      <c r="D192" s="61">
        <v>45457000000</v>
      </c>
      <c r="E192" s="61">
        <v>34473000000</v>
      </c>
      <c r="F192" s="61">
        <v>8755000000</v>
      </c>
      <c r="G192" s="61">
        <v>0</v>
      </c>
      <c r="H192" s="61">
        <v>0</v>
      </c>
      <c r="I192" t="s">
        <v>13</v>
      </c>
      <c r="J192" t="s">
        <v>104</v>
      </c>
      <c r="K192" s="61">
        <f t="shared" si="6"/>
        <v>10984000000</v>
      </c>
      <c r="L192" s="61">
        <f t="shared" si="7"/>
        <v>8755000000</v>
      </c>
      <c r="M192" s="61">
        <f t="shared" si="8"/>
        <v>2229000000</v>
      </c>
    </row>
    <row r="193" spans="1:13" x14ac:dyDescent="0.25">
      <c r="A193" t="s">
        <v>103</v>
      </c>
      <c r="B193" t="s">
        <v>9</v>
      </c>
      <c r="C193">
        <v>41671</v>
      </c>
      <c r="D193" s="61">
        <v>40611000000</v>
      </c>
      <c r="E193" s="61">
        <v>31212000000</v>
      </c>
      <c r="F193" s="61">
        <v>8106000000</v>
      </c>
      <c r="G193" s="61">
        <v>0</v>
      </c>
      <c r="H193" s="61">
        <v>0</v>
      </c>
      <c r="I193" t="s">
        <v>13</v>
      </c>
      <c r="J193" t="s">
        <v>104</v>
      </c>
      <c r="K193" s="61">
        <f t="shared" si="6"/>
        <v>9399000000</v>
      </c>
      <c r="L193" s="61">
        <f t="shared" si="7"/>
        <v>8106000000</v>
      </c>
      <c r="M193" s="61">
        <f t="shared" si="8"/>
        <v>1293000000</v>
      </c>
    </row>
    <row r="194" spans="1:13" x14ac:dyDescent="0.25">
      <c r="A194" t="s">
        <v>103</v>
      </c>
      <c r="B194" t="s">
        <v>10</v>
      </c>
      <c r="C194">
        <v>42035</v>
      </c>
      <c r="D194" s="61">
        <v>40339000000</v>
      </c>
      <c r="E194" s="61">
        <v>31292000000</v>
      </c>
      <c r="F194" s="61">
        <v>7592000000</v>
      </c>
      <c r="G194" s="61">
        <v>0</v>
      </c>
      <c r="H194" s="61">
        <v>0</v>
      </c>
      <c r="I194" t="s">
        <v>13</v>
      </c>
      <c r="J194" t="s">
        <v>104</v>
      </c>
      <c r="K194" s="61">
        <f t="shared" ref="K194:K257" si="9">D194-E194</f>
        <v>9047000000</v>
      </c>
      <c r="L194" s="61">
        <f t="shared" ref="L194:L257" si="10">F194+G194+H194</f>
        <v>7592000000</v>
      </c>
      <c r="M194" s="61">
        <f t="shared" si="8"/>
        <v>1455000000</v>
      </c>
    </row>
    <row r="195" spans="1:13" x14ac:dyDescent="0.25">
      <c r="A195" t="s">
        <v>103</v>
      </c>
      <c r="B195" t="s">
        <v>11</v>
      </c>
      <c r="C195">
        <v>42399</v>
      </c>
      <c r="D195" s="61">
        <v>39528000000</v>
      </c>
      <c r="E195" s="61">
        <v>30337000000</v>
      </c>
      <c r="F195" s="61">
        <v>7618000000</v>
      </c>
      <c r="G195" s="61">
        <v>0</v>
      </c>
      <c r="H195" s="61">
        <v>0</v>
      </c>
      <c r="I195" t="s">
        <v>13</v>
      </c>
      <c r="J195" t="s">
        <v>104</v>
      </c>
      <c r="K195" s="61">
        <f t="shared" si="9"/>
        <v>9191000000</v>
      </c>
      <c r="L195" s="61">
        <f t="shared" si="10"/>
        <v>7618000000</v>
      </c>
      <c r="M195" s="61">
        <f t="shared" ref="M195:M258" si="11">K195-L195</f>
        <v>1573000000</v>
      </c>
    </row>
    <row r="196" spans="1:13" x14ac:dyDescent="0.25">
      <c r="A196" t="s">
        <v>105</v>
      </c>
      <c r="B196" t="s">
        <v>6</v>
      </c>
      <c r="C196">
        <v>41639</v>
      </c>
      <c r="D196" s="61">
        <v>3049500000</v>
      </c>
      <c r="E196" s="61">
        <v>1194400000</v>
      </c>
      <c r="F196" s="61">
        <v>920300000</v>
      </c>
      <c r="G196" s="61">
        <v>295700000</v>
      </c>
      <c r="H196" s="61">
        <v>0</v>
      </c>
      <c r="I196" t="s">
        <v>19</v>
      </c>
      <c r="J196" t="s">
        <v>24</v>
      </c>
      <c r="K196" s="61">
        <f t="shared" si="9"/>
        <v>1855100000</v>
      </c>
      <c r="L196" s="61">
        <f t="shared" si="10"/>
        <v>1216000000</v>
      </c>
      <c r="M196" s="61">
        <f t="shared" si="11"/>
        <v>639100000</v>
      </c>
    </row>
    <row r="197" spans="1:13" x14ac:dyDescent="0.25">
      <c r="A197" t="s">
        <v>105</v>
      </c>
      <c r="B197" t="s">
        <v>9</v>
      </c>
      <c r="C197">
        <v>42004</v>
      </c>
      <c r="D197" s="61">
        <v>3323600000</v>
      </c>
      <c r="E197" s="61">
        <v>1258600000</v>
      </c>
      <c r="F197" s="61">
        <v>981500000</v>
      </c>
      <c r="G197" s="61">
        <v>302000000</v>
      </c>
      <c r="H197" s="61">
        <v>0</v>
      </c>
      <c r="I197" t="s">
        <v>19</v>
      </c>
      <c r="J197" t="s">
        <v>24</v>
      </c>
      <c r="K197" s="61">
        <f t="shared" si="9"/>
        <v>2065000000</v>
      </c>
      <c r="L197" s="61">
        <f t="shared" si="10"/>
        <v>1283500000</v>
      </c>
      <c r="M197" s="61">
        <f t="shared" si="11"/>
        <v>781500000</v>
      </c>
    </row>
    <row r="198" spans="1:13" x14ac:dyDescent="0.25">
      <c r="A198" t="s">
        <v>105</v>
      </c>
      <c r="B198" t="s">
        <v>10</v>
      </c>
      <c r="C198">
        <v>42369</v>
      </c>
      <c r="D198" s="61">
        <v>3416000000</v>
      </c>
      <c r="E198" s="61">
        <v>1301200000</v>
      </c>
      <c r="F198" s="61">
        <v>1012100000</v>
      </c>
      <c r="G198" s="61">
        <v>259200000</v>
      </c>
      <c r="H198" s="61">
        <v>0</v>
      </c>
      <c r="I198" t="s">
        <v>19</v>
      </c>
      <c r="J198" t="s">
        <v>24</v>
      </c>
      <c r="K198" s="61">
        <f t="shared" si="9"/>
        <v>2114800000</v>
      </c>
      <c r="L198" s="61">
        <f t="shared" si="10"/>
        <v>1271300000</v>
      </c>
      <c r="M198" s="61">
        <f t="shared" si="11"/>
        <v>843500000</v>
      </c>
    </row>
    <row r="199" spans="1:13" x14ac:dyDescent="0.25">
      <c r="A199" t="s">
        <v>105</v>
      </c>
      <c r="B199" t="s">
        <v>11</v>
      </c>
      <c r="C199">
        <v>42735</v>
      </c>
      <c r="D199" s="61">
        <v>3714000000</v>
      </c>
      <c r="E199" s="61">
        <v>1371700000</v>
      </c>
      <c r="F199" s="61">
        <v>1101900000</v>
      </c>
      <c r="G199" s="61">
        <v>292800000</v>
      </c>
      <c r="H199" s="61">
        <v>0</v>
      </c>
      <c r="I199" t="s">
        <v>19</v>
      </c>
      <c r="J199" t="s">
        <v>24</v>
      </c>
      <c r="K199" s="61">
        <f t="shared" si="9"/>
        <v>2342300000</v>
      </c>
      <c r="L199" s="61">
        <f t="shared" si="10"/>
        <v>1394700000</v>
      </c>
      <c r="M199" s="61">
        <f t="shared" si="11"/>
        <v>947600000</v>
      </c>
    </row>
    <row r="200" spans="1:13" x14ac:dyDescent="0.25">
      <c r="A200" t="s">
        <v>106</v>
      </c>
      <c r="B200" t="s">
        <v>6</v>
      </c>
      <c r="C200">
        <v>41547</v>
      </c>
      <c r="D200" s="61">
        <v>8054000000</v>
      </c>
      <c r="E200" s="61">
        <v>3883000000</v>
      </c>
      <c r="F200" s="61">
        <v>2422000000</v>
      </c>
      <c r="G200" s="61">
        <v>494000000</v>
      </c>
      <c r="H200" s="61">
        <v>0</v>
      </c>
      <c r="I200" t="s">
        <v>19</v>
      </c>
      <c r="J200" t="s">
        <v>24</v>
      </c>
      <c r="K200" s="61">
        <f t="shared" si="9"/>
        <v>4171000000</v>
      </c>
      <c r="L200" s="61">
        <f t="shared" si="10"/>
        <v>2916000000</v>
      </c>
      <c r="M200" s="61">
        <f t="shared" si="11"/>
        <v>1255000000</v>
      </c>
    </row>
    <row r="201" spans="1:13" x14ac:dyDescent="0.25">
      <c r="A201" t="s">
        <v>106</v>
      </c>
      <c r="B201" t="s">
        <v>9</v>
      </c>
      <c r="C201">
        <v>41912</v>
      </c>
      <c r="D201" s="61">
        <v>8446000000</v>
      </c>
      <c r="E201" s="61">
        <v>4145000000</v>
      </c>
      <c r="F201" s="61">
        <v>2145000000</v>
      </c>
      <c r="G201" s="61">
        <v>550000000</v>
      </c>
      <c r="H201" s="61">
        <v>0</v>
      </c>
      <c r="I201" t="s">
        <v>19</v>
      </c>
      <c r="J201" t="s">
        <v>24</v>
      </c>
      <c r="K201" s="61">
        <f t="shared" si="9"/>
        <v>4301000000</v>
      </c>
      <c r="L201" s="61">
        <f t="shared" si="10"/>
        <v>2695000000</v>
      </c>
      <c r="M201" s="61">
        <f t="shared" si="11"/>
        <v>1606000000</v>
      </c>
    </row>
    <row r="202" spans="1:13" x14ac:dyDescent="0.25">
      <c r="A202" t="s">
        <v>106</v>
      </c>
      <c r="B202" t="s">
        <v>10</v>
      </c>
      <c r="C202">
        <v>42277</v>
      </c>
      <c r="D202" s="61">
        <v>10282000000</v>
      </c>
      <c r="E202" s="61">
        <v>5587000000</v>
      </c>
      <c r="F202" s="61">
        <v>2563000000</v>
      </c>
      <c r="G202" s="61">
        <v>632000000</v>
      </c>
      <c r="H202" s="61">
        <v>0</v>
      </c>
      <c r="I202" t="s">
        <v>19</v>
      </c>
      <c r="J202" t="s">
        <v>24</v>
      </c>
      <c r="K202" s="61">
        <f t="shared" si="9"/>
        <v>4695000000</v>
      </c>
      <c r="L202" s="61">
        <f t="shared" si="10"/>
        <v>3195000000</v>
      </c>
      <c r="M202" s="61">
        <f t="shared" si="11"/>
        <v>1500000000</v>
      </c>
    </row>
    <row r="203" spans="1:13" x14ac:dyDescent="0.25">
      <c r="A203" t="s">
        <v>106</v>
      </c>
      <c r="B203" t="s">
        <v>11</v>
      </c>
      <c r="C203">
        <v>42643</v>
      </c>
      <c r="D203" s="61">
        <v>12483000000</v>
      </c>
      <c r="E203" s="61">
        <v>6492000000</v>
      </c>
      <c r="F203" s="61">
        <v>3005000000</v>
      </c>
      <c r="G203" s="61">
        <v>828000000</v>
      </c>
      <c r="H203" s="61">
        <v>0</v>
      </c>
      <c r="I203" t="s">
        <v>19</v>
      </c>
      <c r="J203" t="s">
        <v>24</v>
      </c>
      <c r="K203" s="61">
        <f t="shared" si="9"/>
        <v>5991000000</v>
      </c>
      <c r="L203" s="61">
        <f t="shared" si="10"/>
        <v>3833000000</v>
      </c>
      <c r="M203" s="61">
        <f t="shared" si="11"/>
        <v>2158000000</v>
      </c>
    </row>
    <row r="204" spans="1:13" x14ac:dyDescent="0.25">
      <c r="A204" t="s">
        <v>107</v>
      </c>
      <c r="B204" t="s">
        <v>6</v>
      </c>
      <c r="C204">
        <v>41639</v>
      </c>
      <c r="D204" s="61">
        <v>22364000000</v>
      </c>
      <c r="E204" s="61">
        <v>18553000000</v>
      </c>
      <c r="F204" s="61">
        <v>1306000000</v>
      </c>
      <c r="G204" s="61">
        <v>556000000</v>
      </c>
      <c r="H204" s="61">
        <v>0</v>
      </c>
      <c r="I204" t="s">
        <v>77</v>
      </c>
      <c r="J204" t="s">
        <v>108</v>
      </c>
      <c r="K204" s="61">
        <f t="shared" si="9"/>
        <v>3811000000</v>
      </c>
      <c r="L204" s="61">
        <f t="shared" si="10"/>
        <v>1862000000</v>
      </c>
      <c r="M204" s="61">
        <f t="shared" si="11"/>
        <v>1949000000</v>
      </c>
    </row>
    <row r="205" spans="1:13" x14ac:dyDescent="0.25">
      <c r="A205" t="s">
        <v>107</v>
      </c>
      <c r="B205" t="s">
        <v>9</v>
      </c>
      <c r="C205">
        <v>42004</v>
      </c>
      <c r="D205" s="61">
        <v>24551000000</v>
      </c>
      <c r="E205" s="61">
        <v>19746000000</v>
      </c>
      <c r="F205" s="61">
        <v>1333000000</v>
      </c>
      <c r="G205" s="61">
        <v>613000000</v>
      </c>
      <c r="H205" s="61">
        <v>0</v>
      </c>
      <c r="I205" t="s">
        <v>77</v>
      </c>
      <c r="J205" t="s">
        <v>108</v>
      </c>
      <c r="K205" s="61">
        <f t="shared" si="9"/>
        <v>4805000000</v>
      </c>
      <c r="L205" s="61">
        <f t="shared" si="10"/>
        <v>1946000000</v>
      </c>
      <c r="M205" s="61">
        <f t="shared" si="11"/>
        <v>2859000000</v>
      </c>
    </row>
    <row r="206" spans="1:13" x14ac:dyDescent="0.25">
      <c r="A206" t="s">
        <v>107</v>
      </c>
      <c r="B206" t="s">
        <v>10</v>
      </c>
      <c r="C206">
        <v>42369</v>
      </c>
      <c r="D206" s="61">
        <v>15742000000</v>
      </c>
      <c r="E206" s="61">
        <v>14415000000</v>
      </c>
      <c r="F206" s="61">
        <v>969000000</v>
      </c>
      <c r="G206" s="61">
        <v>466000000</v>
      </c>
      <c r="H206" s="61">
        <v>0</v>
      </c>
      <c r="I206" t="s">
        <v>77</v>
      </c>
      <c r="J206" t="s">
        <v>108</v>
      </c>
      <c r="K206" s="61">
        <f t="shared" si="9"/>
        <v>1327000000</v>
      </c>
      <c r="L206" s="61">
        <f t="shared" si="10"/>
        <v>1435000000</v>
      </c>
      <c r="M206" s="61">
        <f t="shared" si="11"/>
        <v>-108000000</v>
      </c>
    </row>
    <row r="207" spans="1:13" x14ac:dyDescent="0.25">
      <c r="A207" t="s">
        <v>107</v>
      </c>
      <c r="B207" t="s">
        <v>11</v>
      </c>
      <c r="C207">
        <v>42735</v>
      </c>
      <c r="D207" s="61">
        <v>9841000000</v>
      </c>
      <c r="E207" s="61">
        <v>9973000000</v>
      </c>
      <c r="F207" s="61">
        <v>815000000</v>
      </c>
      <c r="G207" s="61">
        <v>384000000</v>
      </c>
      <c r="H207" s="61">
        <v>0</v>
      </c>
      <c r="I207" t="s">
        <v>77</v>
      </c>
      <c r="J207" t="s">
        <v>108</v>
      </c>
      <c r="K207" s="61">
        <f t="shared" si="9"/>
        <v>-132000000</v>
      </c>
      <c r="L207" s="61">
        <f t="shared" si="10"/>
        <v>1199000000</v>
      </c>
      <c r="M207" s="61">
        <f t="shared" si="11"/>
        <v>-1331000000</v>
      </c>
    </row>
    <row r="208" spans="1:13" x14ac:dyDescent="0.25">
      <c r="A208" t="s">
        <v>109</v>
      </c>
      <c r="B208" t="s">
        <v>6</v>
      </c>
      <c r="C208">
        <v>41639</v>
      </c>
      <c r="D208" s="61">
        <v>6932200000</v>
      </c>
      <c r="E208" s="61">
        <v>857700000</v>
      </c>
      <c r="F208" s="61">
        <v>1797000000</v>
      </c>
      <c r="G208" s="61">
        <v>1444100000</v>
      </c>
      <c r="H208" s="61">
        <v>342900000</v>
      </c>
      <c r="I208" t="s">
        <v>19</v>
      </c>
      <c r="J208" t="s">
        <v>60</v>
      </c>
      <c r="K208" s="61">
        <f t="shared" si="9"/>
        <v>6074500000</v>
      </c>
      <c r="L208" s="61">
        <f t="shared" si="10"/>
        <v>3584000000</v>
      </c>
      <c r="M208" s="61">
        <f t="shared" si="11"/>
        <v>2490500000</v>
      </c>
    </row>
    <row r="209" spans="1:13" x14ac:dyDescent="0.25">
      <c r="A209" t="s">
        <v>109</v>
      </c>
      <c r="B209" t="s">
        <v>9</v>
      </c>
      <c r="C209">
        <v>42004</v>
      </c>
      <c r="D209" s="61">
        <v>9703300000</v>
      </c>
      <c r="E209" s="61">
        <v>1171000000</v>
      </c>
      <c r="F209" s="61">
        <v>2193400000</v>
      </c>
      <c r="G209" s="61">
        <v>1893400000</v>
      </c>
      <c r="H209" s="61">
        <v>489800000</v>
      </c>
      <c r="I209" t="s">
        <v>19</v>
      </c>
      <c r="J209" t="s">
        <v>60</v>
      </c>
      <c r="K209" s="61">
        <f t="shared" si="9"/>
        <v>8532300000</v>
      </c>
      <c r="L209" s="61">
        <f t="shared" si="10"/>
        <v>4576600000</v>
      </c>
      <c r="M209" s="61">
        <f t="shared" si="11"/>
        <v>3955700000</v>
      </c>
    </row>
    <row r="210" spans="1:13" x14ac:dyDescent="0.25">
      <c r="A210" t="s">
        <v>109</v>
      </c>
      <c r="B210" t="s">
        <v>10</v>
      </c>
      <c r="C210">
        <v>42369</v>
      </c>
      <c r="D210" s="61">
        <v>10763800000</v>
      </c>
      <c r="E210" s="61">
        <v>1240400000</v>
      </c>
      <c r="F210" s="61">
        <v>2143600000</v>
      </c>
      <c r="G210" s="61">
        <v>2012800000</v>
      </c>
      <c r="H210" s="61">
        <v>382600000</v>
      </c>
      <c r="I210" t="s">
        <v>19</v>
      </c>
      <c r="J210" t="s">
        <v>60</v>
      </c>
      <c r="K210" s="61">
        <f t="shared" si="9"/>
        <v>9523400000</v>
      </c>
      <c r="L210" s="61">
        <f t="shared" si="10"/>
        <v>4539000000</v>
      </c>
      <c r="M210" s="61">
        <f t="shared" si="11"/>
        <v>4984400000</v>
      </c>
    </row>
    <row r="211" spans="1:13" x14ac:dyDescent="0.25">
      <c r="A211" t="s">
        <v>109</v>
      </c>
      <c r="B211" t="s">
        <v>11</v>
      </c>
      <c r="C211">
        <v>42735</v>
      </c>
      <c r="D211" s="61">
        <v>11448800000</v>
      </c>
      <c r="E211" s="61">
        <v>1478700000</v>
      </c>
      <c r="F211" s="61">
        <v>1972900000</v>
      </c>
      <c r="G211" s="61">
        <v>1973300000</v>
      </c>
      <c r="H211" s="61">
        <v>385600000</v>
      </c>
      <c r="I211" t="s">
        <v>19</v>
      </c>
      <c r="J211" t="s">
        <v>60</v>
      </c>
      <c r="K211" s="61">
        <f t="shared" si="9"/>
        <v>9970100000</v>
      </c>
      <c r="L211" s="61">
        <f t="shared" si="10"/>
        <v>4331800000</v>
      </c>
      <c r="M211" s="61">
        <f t="shared" si="11"/>
        <v>5638300000</v>
      </c>
    </row>
    <row r="212" spans="1:13" x14ac:dyDescent="0.25">
      <c r="A212" t="s">
        <v>110</v>
      </c>
      <c r="B212" t="s">
        <v>6</v>
      </c>
      <c r="C212">
        <v>41274</v>
      </c>
      <c r="D212" s="61">
        <v>8735700000</v>
      </c>
      <c r="E212" s="61">
        <v>7174000000</v>
      </c>
      <c r="F212" s="61">
        <v>488300000</v>
      </c>
      <c r="G212" s="61">
        <v>0</v>
      </c>
      <c r="H212" s="61">
        <v>282900000</v>
      </c>
      <c r="I212" t="s">
        <v>53</v>
      </c>
      <c r="J212" t="s">
        <v>111</v>
      </c>
      <c r="K212" s="61">
        <f t="shared" si="9"/>
        <v>1561700000</v>
      </c>
      <c r="L212" s="61">
        <f t="shared" si="10"/>
        <v>771200000</v>
      </c>
      <c r="M212" s="61">
        <f t="shared" si="11"/>
        <v>790500000</v>
      </c>
    </row>
    <row r="213" spans="1:13" x14ac:dyDescent="0.25">
      <c r="A213" t="s">
        <v>110</v>
      </c>
      <c r="B213" t="s">
        <v>9</v>
      </c>
      <c r="C213">
        <v>41639</v>
      </c>
      <c r="D213" s="61">
        <v>8468100000</v>
      </c>
      <c r="E213" s="61">
        <v>6875400000</v>
      </c>
      <c r="F213" s="61">
        <v>497400000</v>
      </c>
      <c r="G213" s="61">
        <v>0</v>
      </c>
      <c r="H213" s="61">
        <v>299900000</v>
      </c>
      <c r="I213" t="s">
        <v>53</v>
      </c>
      <c r="J213" t="s">
        <v>111</v>
      </c>
      <c r="K213" s="61">
        <f t="shared" si="9"/>
        <v>1592700000</v>
      </c>
      <c r="L213" s="61">
        <f t="shared" si="10"/>
        <v>797300000</v>
      </c>
      <c r="M213" s="61">
        <f t="shared" si="11"/>
        <v>795400000</v>
      </c>
    </row>
    <row r="214" spans="1:13" x14ac:dyDescent="0.25">
      <c r="A214" t="s">
        <v>110</v>
      </c>
      <c r="B214" t="s">
        <v>10</v>
      </c>
      <c r="C214">
        <v>42004</v>
      </c>
      <c r="D214" s="61">
        <v>8570000000</v>
      </c>
      <c r="E214" s="61">
        <v>6903500000</v>
      </c>
      <c r="F214" s="61">
        <v>547000000</v>
      </c>
      <c r="G214" s="61">
        <v>0</v>
      </c>
      <c r="H214" s="61">
        <v>280900000</v>
      </c>
      <c r="I214" t="s">
        <v>53</v>
      </c>
      <c r="J214" t="s">
        <v>111</v>
      </c>
      <c r="K214" s="61">
        <f t="shared" si="9"/>
        <v>1666500000</v>
      </c>
      <c r="L214" s="61">
        <f t="shared" si="10"/>
        <v>827900000</v>
      </c>
      <c r="M214" s="61">
        <f t="shared" si="11"/>
        <v>838600000</v>
      </c>
    </row>
    <row r="215" spans="1:13" x14ac:dyDescent="0.25">
      <c r="A215" t="s">
        <v>110</v>
      </c>
      <c r="B215" t="s">
        <v>11</v>
      </c>
      <c r="C215">
        <v>42369</v>
      </c>
      <c r="D215" s="61">
        <v>7997000000</v>
      </c>
      <c r="E215" s="61">
        <v>6460300000</v>
      </c>
      <c r="F215" s="61">
        <v>646000000</v>
      </c>
      <c r="G215" s="61">
        <v>0</v>
      </c>
      <c r="H215" s="61">
        <v>285500000</v>
      </c>
      <c r="I215" t="s">
        <v>53</v>
      </c>
      <c r="J215" t="s">
        <v>111</v>
      </c>
      <c r="K215" s="61">
        <f t="shared" si="9"/>
        <v>1536700000</v>
      </c>
      <c r="L215" s="61">
        <f t="shared" si="10"/>
        <v>931500000</v>
      </c>
      <c r="M215" s="61">
        <f t="shared" si="11"/>
        <v>605200000</v>
      </c>
    </row>
    <row r="216" spans="1:13" x14ac:dyDescent="0.25">
      <c r="A216" t="s">
        <v>112</v>
      </c>
      <c r="B216" t="s">
        <v>6</v>
      </c>
      <c r="C216">
        <v>41274</v>
      </c>
      <c r="D216" s="61">
        <v>17621000000</v>
      </c>
      <c r="E216" s="61">
        <v>4610000000</v>
      </c>
      <c r="F216" s="61">
        <v>5017000000</v>
      </c>
      <c r="G216" s="61">
        <v>3904000000</v>
      </c>
      <c r="H216" s="61">
        <v>0</v>
      </c>
      <c r="I216" t="s">
        <v>19</v>
      </c>
      <c r="J216" t="s">
        <v>22</v>
      </c>
      <c r="K216" s="61">
        <f t="shared" si="9"/>
        <v>13011000000</v>
      </c>
      <c r="L216" s="61">
        <f t="shared" si="10"/>
        <v>8921000000</v>
      </c>
      <c r="M216" s="61">
        <f t="shared" si="11"/>
        <v>4090000000</v>
      </c>
    </row>
    <row r="217" spans="1:13" x14ac:dyDescent="0.25">
      <c r="A217" t="s">
        <v>112</v>
      </c>
      <c r="B217" t="s">
        <v>9</v>
      </c>
      <c r="C217">
        <v>41639</v>
      </c>
      <c r="D217" s="61">
        <v>16385000000</v>
      </c>
      <c r="E217" s="61">
        <v>4619000000</v>
      </c>
      <c r="F217" s="61">
        <v>4939000000</v>
      </c>
      <c r="G217" s="61">
        <v>3731000000</v>
      </c>
      <c r="H217" s="61">
        <v>0</v>
      </c>
      <c r="I217" t="s">
        <v>19</v>
      </c>
      <c r="J217" t="s">
        <v>22</v>
      </c>
      <c r="K217" s="61">
        <f t="shared" si="9"/>
        <v>11766000000</v>
      </c>
      <c r="L217" s="61">
        <f t="shared" si="10"/>
        <v>8670000000</v>
      </c>
      <c r="M217" s="61">
        <f t="shared" si="11"/>
        <v>3096000000</v>
      </c>
    </row>
    <row r="218" spans="1:13" x14ac:dyDescent="0.25">
      <c r="A218" t="s">
        <v>112</v>
      </c>
      <c r="B218" t="s">
        <v>10</v>
      </c>
      <c r="C218">
        <v>42004</v>
      </c>
      <c r="D218" s="61">
        <v>15879000000</v>
      </c>
      <c r="E218" s="61">
        <v>3932000000</v>
      </c>
      <c r="F218" s="61">
        <v>4822000000</v>
      </c>
      <c r="G218" s="61">
        <v>4534000000</v>
      </c>
      <c r="H218" s="61">
        <v>0</v>
      </c>
      <c r="I218" t="s">
        <v>19</v>
      </c>
      <c r="J218" t="s">
        <v>22</v>
      </c>
      <c r="K218" s="61">
        <f t="shared" si="9"/>
        <v>11947000000</v>
      </c>
      <c r="L218" s="61">
        <f t="shared" si="10"/>
        <v>9356000000</v>
      </c>
      <c r="M218" s="61">
        <f t="shared" si="11"/>
        <v>2591000000</v>
      </c>
    </row>
    <row r="219" spans="1:13" x14ac:dyDescent="0.25">
      <c r="A219" t="s">
        <v>112</v>
      </c>
      <c r="B219" t="s">
        <v>11</v>
      </c>
      <c r="C219">
        <v>42369</v>
      </c>
      <c r="D219" s="61">
        <v>16560000000</v>
      </c>
      <c r="E219" s="61">
        <v>3909000000</v>
      </c>
      <c r="F219" s="61">
        <v>4841000000</v>
      </c>
      <c r="G219" s="61">
        <v>5920000000</v>
      </c>
      <c r="H219" s="61">
        <v>0</v>
      </c>
      <c r="I219" t="s">
        <v>19</v>
      </c>
      <c r="J219" t="s">
        <v>22</v>
      </c>
      <c r="K219" s="61">
        <f t="shared" si="9"/>
        <v>12651000000</v>
      </c>
      <c r="L219" s="61">
        <f t="shared" si="10"/>
        <v>10761000000</v>
      </c>
      <c r="M219" s="61">
        <f t="shared" si="11"/>
        <v>1890000000</v>
      </c>
    </row>
    <row r="220" spans="1:13" x14ac:dyDescent="0.25">
      <c r="A220" t="s">
        <v>113</v>
      </c>
      <c r="B220" t="s">
        <v>6</v>
      </c>
      <c r="C220">
        <v>41274</v>
      </c>
      <c r="D220" s="61">
        <v>7249000000</v>
      </c>
      <c r="E220" s="61">
        <v>2349000000</v>
      </c>
      <c r="F220" s="61">
        <v>2529000000</v>
      </c>
      <c r="G220" s="61">
        <v>886000000</v>
      </c>
      <c r="H220" s="61">
        <v>395000000</v>
      </c>
      <c r="I220" t="s">
        <v>19</v>
      </c>
      <c r="J220" t="s">
        <v>24</v>
      </c>
      <c r="K220" s="61">
        <f t="shared" si="9"/>
        <v>4900000000</v>
      </c>
      <c r="L220" s="61">
        <f t="shared" si="10"/>
        <v>3810000000</v>
      </c>
      <c r="M220" s="61">
        <f t="shared" si="11"/>
        <v>1090000000</v>
      </c>
    </row>
    <row r="221" spans="1:13" x14ac:dyDescent="0.25">
      <c r="A221" t="s">
        <v>113</v>
      </c>
      <c r="B221" t="s">
        <v>9</v>
      </c>
      <c r="C221">
        <v>41639</v>
      </c>
      <c r="D221" s="61">
        <v>7143000000</v>
      </c>
      <c r="E221" s="61">
        <v>2174000000</v>
      </c>
      <c r="F221" s="61">
        <v>2678000000</v>
      </c>
      <c r="G221" s="61">
        <v>861000000</v>
      </c>
      <c r="H221" s="61">
        <v>410000000</v>
      </c>
      <c r="I221" t="s">
        <v>19</v>
      </c>
      <c r="J221" t="s">
        <v>24</v>
      </c>
      <c r="K221" s="61">
        <f t="shared" si="9"/>
        <v>4969000000</v>
      </c>
      <c r="L221" s="61">
        <f t="shared" si="10"/>
        <v>3949000000</v>
      </c>
      <c r="M221" s="61">
        <f t="shared" si="11"/>
        <v>1020000000</v>
      </c>
    </row>
    <row r="222" spans="1:13" x14ac:dyDescent="0.25">
      <c r="A222" t="s">
        <v>113</v>
      </c>
      <c r="B222" t="s">
        <v>10</v>
      </c>
      <c r="C222">
        <v>42004</v>
      </c>
      <c r="D222" s="61">
        <v>7380000000</v>
      </c>
      <c r="E222" s="61">
        <v>2210000000</v>
      </c>
      <c r="F222" s="61">
        <v>2817000000</v>
      </c>
      <c r="G222" s="61">
        <v>817000000</v>
      </c>
      <c r="H222" s="61">
        <v>438000000</v>
      </c>
      <c r="I222" t="s">
        <v>19</v>
      </c>
      <c r="J222" t="s">
        <v>24</v>
      </c>
      <c r="K222" s="61">
        <f t="shared" si="9"/>
        <v>5170000000</v>
      </c>
      <c r="L222" s="61">
        <f t="shared" si="10"/>
        <v>4072000000</v>
      </c>
      <c r="M222" s="61">
        <f t="shared" si="11"/>
        <v>1098000000</v>
      </c>
    </row>
    <row r="223" spans="1:13" x14ac:dyDescent="0.25">
      <c r="A223" t="s">
        <v>113</v>
      </c>
      <c r="B223" t="s">
        <v>11</v>
      </c>
      <c r="C223">
        <v>42369</v>
      </c>
      <c r="D223" s="61">
        <v>7477000000</v>
      </c>
      <c r="E223" s="61">
        <v>2173000000</v>
      </c>
      <c r="F223" s="61">
        <v>2996000000</v>
      </c>
      <c r="G223" s="61">
        <v>876000000</v>
      </c>
      <c r="H223" s="61">
        <v>495000000</v>
      </c>
      <c r="I223" t="s">
        <v>19</v>
      </c>
      <c r="J223" t="s">
        <v>24</v>
      </c>
      <c r="K223" s="61">
        <f t="shared" si="9"/>
        <v>5304000000</v>
      </c>
      <c r="L223" s="61">
        <f t="shared" si="10"/>
        <v>4367000000</v>
      </c>
      <c r="M223" s="61">
        <f t="shared" si="11"/>
        <v>937000000</v>
      </c>
    </row>
    <row r="224" spans="1:13" x14ac:dyDescent="0.25">
      <c r="A224" t="s">
        <v>114</v>
      </c>
      <c r="B224" t="s">
        <v>6</v>
      </c>
      <c r="C224">
        <v>41639</v>
      </c>
      <c r="D224" s="61">
        <v>7436600000</v>
      </c>
      <c r="E224" s="61">
        <v>5879100000</v>
      </c>
      <c r="F224" s="61">
        <v>702300000</v>
      </c>
      <c r="G224" s="61">
        <v>0</v>
      </c>
      <c r="H224" s="61">
        <v>0</v>
      </c>
      <c r="I224" t="s">
        <v>13</v>
      </c>
      <c r="J224" t="s">
        <v>115</v>
      </c>
      <c r="K224" s="61">
        <f t="shared" si="9"/>
        <v>1557500000</v>
      </c>
      <c r="L224" s="61">
        <f t="shared" si="10"/>
        <v>702300000</v>
      </c>
      <c r="M224" s="61">
        <f t="shared" si="11"/>
        <v>855200000</v>
      </c>
    </row>
    <row r="225" spans="1:13" x14ac:dyDescent="0.25">
      <c r="A225" t="s">
        <v>114</v>
      </c>
      <c r="B225" t="s">
        <v>9</v>
      </c>
      <c r="C225">
        <v>42004</v>
      </c>
      <c r="D225" s="61">
        <v>8305100000</v>
      </c>
      <c r="E225" s="61">
        <v>6548700000</v>
      </c>
      <c r="F225" s="61">
        <v>792700000</v>
      </c>
      <c r="G225" s="61">
        <v>0</v>
      </c>
      <c r="H225" s="61">
        <v>0</v>
      </c>
      <c r="I225" t="s">
        <v>13</v>
      </c>
      <c r="J225" t="s">
        <v>115</v>
      </c>
      <c r="K225" s="61">
        <f t="shared" si="9"/>
        <v>1756400000</v>
      </c>
      <c r="L225" s="61">
        <f t="shared" si="10"/>
        <v>792700000</v>
      </c>
      <c r="M225" s="61">
        <f t="shared" si="11"/>
        <v>963700000</v>
      </c>
    </row>
    <row r="226" spans="1:13" x14ac:dyDescent="0.25">
      <c r="A226" t="s">
        <v>114</v>
      </c>
      <c r="B226" t="s">
        <v>10</v>
      </c>
      <c r="C226">
        <v>42369</v>
      </c>
      <c r="D226" s="61">
        <v>8023200000</v>
      </c>
      <c r="E226" s="61">
        <v>6320100000</v>
      </c>
      <c r="F226" s="61">
        <v>763400000</v>
      </c>
      <c r="G226" s="61">
        <v>0</v>
      </c>
      <c r="H226" s="61">
        <v>0</v>
      </c>
      <c r="I226" t="s">
        <v>13</v>
      </c>
      <c r="J226" t="s">
        <v>115</v>
      </c>
      <c r="K226" s="61">
        <f t="shared" si="9"/>
        <v>1703100000</v>
      </c>
      <c r="L226" s="61">
        <f t="shared" si="10"/>
        <v>763400000</v>
      </c>
      <c r="M226" s="61">
        <f t="shared" si="11"/>
        <v>939700000</v>
      </c>
    </row>
    <row r="227" spans="1:13" x14ac:dyDescent="0.25">
      <c r="A227" t="s">
        <v>114</v>
      </c>
      <c r="B227" t="s">
        <v>11</v>
      </c>
      <c r="C227">
        <v>42735</v>
      </c>
      <c r="D227" s="61">
        <v>9071000000</v>
      </c>
      <c r="E227" s="61">
        <v>7137900000</v>
      </c>
      <c r="F227" s="61">
        <v>1707200000</v>
      </c>
      <c r="G227" s="61">
        <v>0</v>
      </c>
      <c r="H227" s="61">
        <v>0</v>
      </c>
      <c r="I227" t="s">
        <v>13</v>
      </c>
      <c r="J227" t="s">
        <v>115</v>
      </c>
      <c r="K227" s="61">
        <f t="shared" si="9"/>
        <v>1933100000</v>
      </c>
      <c r="L227" s="61">
        <f t="shared" si="10"/>
        <v>1707200000</v>
      </c>
      <c r="M227" s="61">
        <f t="shared" si="11"/>
        <v>225900000</v>
      </c>
    </row>
    <row r="228" spans="1:13" x14ac:dyDescent="0.25">
      <c r="A228" t="s">
        <v>116</v>
      </c>
      <c r="B228" t="s">
        <v>6</v>
      </c>
      <c r="C228">
        <v>41274</v>
      </c>
      <c r="D228" s="61">
        <v>1847186000</v>
      </c>
      <c r="E228" s="61">
        <v>667208000</v>
      </c>
      <c r="F228" s="61">
        <v>93782000</v>
      </c>
      <c r="G228" s="61">
        <v>0</v>
      </c>
      <c r="H228" s="61">
        <v>445875000</v>
      </c>
      <c r="I228" t="s">
        <v>46</v>
      </c>
      <c r="J228" t="s">
        <v>47</v>
      </c>
      <c r="K228" s="61">
        <f t="shared" si="9"/>
        <v>1179978000</v>
      </c>
      <c r="L228" s="61">
        <f t="shared" si="10"/>
        <v>539657000</v>
      </c>
      <c r="M228" s="61">
        <f t="shared" si="11"/>
        <v>640321000</v>
      </c>
    </row>
    <row r="229" spans="1:13" x14ac:dyDescent="0.25">
      <c r="A229" t="s">
        <v>116</v>
      </c>
      <c r="B229" t="s">
        <v>9</v>
      </c>
      <c r="C229">
        <v>41639</v>
      </c>
      <c r="D229" s="61">
        <v>2135539000</v>
      </c>
      <c r="E229" s="61">
        <v>771403000</v>
      </c>
      <c r="F229" s="61">
        <v>117073000</v>
      </c>
      <c r="G229" s="61">
        <v>0</v>
      </c>
      <c r="H229" s="61">
        <v>560637000</v>
      </c>
      <c r="I229" t="s">
        <v>46</v>
      </c>
      <c r="J229" t="s">
        <v>47</v>
      </c>
      <c r="K229" s="61">
        <f t="shared" si="9"/>
        <v>1364136000</v>
      </c>
      <c r="L229" s="61">
        <f t="shared" si="10"/>
        <v>677710000</v>
      </c>
      <c r="M229" s="61">
        <f t="shared" si="11"/>
        <v>686426000</v>
      </c>
    </row>
    <row r="230" spans="1:13" x14ac:dyDescent="0.25">
      <c r="A230" t="s">
        <v>116</v>
      </c>
      <c r="B230" t="s">
        <v>10</v>
      </c>
      <c r="C230">
        <v>42004</v>
      </c>
      <c r="D230" s="61">
        <v>2396998000</v>
      </c>
      <c r="E230" s="61">
        <v>864526000</v>
      </c>
      <c r="F230" s="61">
        <v>102077000</v>
      </c>
      <c r="G230" s="61">
        <v>0</v>
      </c>
      <c r="H230" s="61">
        <v>628573000</v>
      </c>
      <c r="I230" t="s">
        <v>46</v>
      </c>
      <c r="J230" t="s">
        <v>47</v>
      </c>
      <c r="K230" s="61">
        <f t="shared" si="9"/>
        <v>1532472000</v>
      </c>
      <c r="L230" s="61">
        <f t="shared" si="10"/>
        <v>730650000</v>
      </c>
      <c r="M230" s="61">
        <f t="shared" si="11"/>
        <v>801822000</v>
      </c>
    </row>
    <row r="231" spans="1:13" x14ac:dyDescent="0.25">
      <c r="A231" t="s">
        <v>116</v>
      </c>
      <c r="B231" t="s">
        <v>11</v>
      </c>
      <c r="C231">
        <v>42369</v>
      </c>
      <c r="D231" s="61">
        <v>2490821000</v>
      </c>
      <c r="E231" s="61">
        <v>904336000</v>
      </c>
      <c r="F231" s="61">
        <v>97578000</v>
      </c>
      <c r="G231" s="61">
        <v>0</v>
      </c>
      <c r="H231" s="61">
        <v>639542000</v>
      </c>
      <c r="I231" t="s">
        <v>46</v>
      </c>
      <c r="J231" t="s">
        <v>47</v>
      </c>
      <c r="K231" s="61">
        <f t="shared" si="9"/>
        <v>1586485000</v>
      </c>
      <c r="L231" s="61">
        <f t="shared" si="10"/>
        <v>737120000</v>
      </c>
      <c r="M231" s="61">
        <f t="shared" si="11"/>
        <v>849365000</v>
      </c>
    </row>
    <row r="232" spans="1:13" x14ac:dyDescent="0.25">
      <c r="A232" t="s">
        <v>117</v>
      </c>
      <c r="B232" t="s">
        <v>6</v>
      </c>
      <c r="C232">
        <v>41420</v>
      </c>
      <c r="D232" s="61">
        <v>13469300000</v>
      </c>
      <c r="E232" s="61">
        <v>10104400000</v>
      </c>
      <c r="F232" s="61">
        <v>2065900000</v>
      </c>
      <c r="G232" s="61">
        <v>0</v>
      </c>
      <c r="H232" s="61">
        <v>0</v>
      </c>
      <c r="I232" t="s">
        <v>30</v>
      </c>
      <c r="J232" t="s">
        <v>118</v>
      </c>
      <c r="K232" s="61">
        <f t="shared" si="9"/>
        <v>3364900000</v>
      </c>
      <c r="L232" s="61">
        <f t="shared" si="10"/>
        <v>2065900000</v>
      </c>
      <c r="M232" s="61">
        <f t="shared" si="11"/>
        <v>1299000000</v>
      </c>
    </row>
    <row r="233" spans="1:13" x14ac:dyDescent="0.25">
      <c r="A233" t="s">
        <v>117</v>
      </c>
      <c r="B233" t="s">
        <v>9</v>
      </c>
      <c r="C233">
        <v>41784</v>
      </c>
      <c r="D233" s="61">
        <v>11838200000</v>
      </c>
      <c r="E233" s="61">
        <v>8910800000</v>
      </c>
      <c r="F233" s="61">
        <v>1778900000</v>
      </c>
      <c r="G233" s="61">
        <v>0</v>
      </c>
      <c r="H233" s="61">
        <v>0</v>
      </c>
      <c r="I233" t="s">
        <v>30</v>
      </c>
      <c r="J233" t="s">
        <v>118</v>
      </c>
      <c r="K233" s="61">
        <f t="shared" si="9"/>
        <v>2927400000</v>
      </c>
      <c r="L233" s="61">
        <f t="shared" si="10"/>
        <v>1778900000</v>
      </c>
      <c r="M233" s="61">
        <f t="shared" si="11"/>
        <v>1148500000</v>
      </c>
    </row>
    <row r="234" spans="1:13" x14ac:dyDescent="0.25">
      <c r="A234" t="s">
        <v>117</v>
      </c>
      <c r="B234" t="s">
        <v>10</v>
      </c>
      <c r="C234">
        <v>42155</v>
      </c>
      <c r="D234" s="61">
        <v>11937000000</v>
      </c>
      <c r="E234" s="61">
        <v>9061400000</v>
      </c>
      <c r="F234" s="61">
        <v>1545300000</v>
      </c>
      <c r="G234" s="61">
        <v>0</v>
      </c>
      <c r="H234" s="61">
        <v>0</v>
      </c>
      <c r="I234" t="s">
        <v>30</v>
      </c>
      <c r="J234" t="s">
        <v>118</v>
      </c>
      <c r="K234" s="61">
        <f t="shared" si="9"/>
        <v>2875600000</v>
      </c>
      <c r="L234" s="61">
        <f t="shared" si="10"/>
        <v>1545300000</v>
      </c>
      <c r="M234" s="61">
        <f t="shared" si="11"/>
        <v>1330300000</v>
      </c>
    </row>
    <row r="235" spans="1:13" x14ac:dyDescent="0.25">
      <c r="A235" t="s">
        <v>117</v>
      </c>
      <c r="B235" t="s">
        <v>11</v>
      </c>
      <c r="C235">
        <v>42519</v>
      </c>
      <c r="D235" s="61">
        <v>11642900000</v>
      </c>
      <c r="E235" s="61">
        <v>8552100000</v>
      </c>
      <c r="F235" s="61">
        <v>2209400000</v>
      </c>
      <c r="G235" s="61">
        <v>0</v>
      </c>
      <c r="H235" s="61">
        <v>0</v>
      </c>
      <c r="I235" t="s">
        <v>30</v>
      </c>
      <c r="J235" t="s">
        <v>118</v>
      </c>
      <c r="K235" s="61">
        <f t="shared" si="9"/>
        <v>3090800000</v>
      </c>
      <c r="L235" s="61">
        <f t="shared" si="10"/>
        <v>2209400000</v>
      </c>
      <c r="M235" s="61">
        <f t="shared" si="11"/>
        <v>881400000</v>
      </c>
    </row>
    <row r="236" spans="1:13" x14ac:dyDescent="0.25">
      <c r="A236" t="s">
        <v>119</v>
      </c>
      <c r="B236" t="s">
        <v>6</v>
      </c>
      <c r="C236">
        <v>41455</v>
      </c>
      <c r="D236" s="61">
        <v>101093000000</v>
      </c>
      <c r="E236" s="61">
        <v>96172000000</v>
      </c>
      <c r="F236" s="61">
        <v>2875000000</v>
      </c>
      <c r="G236" s="61">
        <v>0</v>
      </c>
      <c r="H236" s="61">
        <v>158000000</v>
      </c>
      <c r="I236" t="s">
        <v>19</v>
      </c>
      <c r="J236" t="s">
        <v>22</v>
      </c>
      <c r="K236" s="61">
        <f t="shared" si="9"/>
        <v>4921000000</v>
      </c>
      <c r="L236" s="61">
        <f t="shared" si="10"/>
        <v>3033000000</v>
      </c>
      <c r="M236" s="61">
        <f t="shared" si="11"/>
        <v>1888000000</v>
      </c>
    </row>
    <row r="237" spans="1:13" x14ac:dyDescent="0.25">
      <c r="A237" t="s">
        <v>119</v>
      </c>
      <c r="B237" t="s">
        <v>9</v>
      </c>
      <c r="C237">
        <v>41820</v>
      </c>
      <c r="D237" s="61">
        <v>91084000000</v>
      </c>
      <c r="E237" s="61">
        <v>85923000000</v>
      </c>
      <c r="F237" s="61">
        <v>3028000000</v>
      </c>
      <c r="G237" s="61">
        <v>0</v>
      </c>
      <c r="H237" s="61">
        <v>223000000</v>
      </c>
      <c r="I237" t="s">
        <v>19</v>
      </c>
      <c r="J237" t="s">
        <v>22</v>
      </c>
      <c r="K237" s="61">
        <f t="shared" si="9"/>
        <v>5161000000</v>
      </c>
      <c r="L237" s="61">
        <f t="shared" si="10"/>
        <v>3251000000</v>
      </c>
      <c r="M237" s="61">
        <f t="shared" si="11"/>
        <v>1910000000</v>
      </c>
    </row>
    <row r="238" spans="1:13" x14ac:dyDescent="0.25">
      <c r="A238" t="s">
        <v>119</v>
      </c>
      <c r="B238" t="s">
        <v>10</v>
      </c>
      <c r="C238">
        <v>42185</v>
      </c>
      <c r="D238" s="61">
        <v>102531000000</v>
      </c>
      <c r="E238" s="61">
        <v>96819000000</v>
      </c>
      <c r="F238" s="61">
        <v>3240000000</v>
      </c>
      <c r="G238" s="61">
        <v>0</v>
      </c>
      <c r="H238" s="61">
        <v>281000000</v>
      </c>
      <c r="I238" t="s">
        <v>19</v>
      </c>
      <c r="J238" t="s">
        <v>22</v>
      </c>
      <c r="K238" s="61">
        <f t="shared" si="9"/>
        <v>5712000000</v>
      </c>
      <c r="L238" s="61">
        <f t="shared" si="10"/>
        <v>3521000000</v>
      </c>
      <c r="M238" s="61">
        <f t="shared" si="11"/>
        <v>2191000000</v>
      </c>
    </row>
    <row r="239" spans="1:13" x14ac:dyDescent="0.25">
      <c r="A239" t="s">
        <v>119</v>
      </c>
      <c r="B239" t="s">
        <v>11</v>
      </c>
      <c r="C239">
        <v>42551</v>
      </c>
      <c r="D239" s="61">
        <v>121546000000</v>
      </c>
      <c r="E239" s="61">
        <v>115003000000</v>
      </c>
      <c r="F239" s="61">
        <v>3648000000</v>
      </c>
      <c r="G239" s="61">
        <v>0</v>
      </c>
      <c r="H239" s="61">
        <v>459000000</v>
      </c>
      <c r="I239" t="s">
        <v>19</v>
      </c>
      <c r="J239" t="s">
        <v>22</v>
      </c>
      <c r="K239" s="61">
        <f t="shared" si="9"/>
        <v>6543000000</v>
      </c>
      <c r="L239" s="61">
        <f t="shared" si="10"/>
        <v>4107000000</v>
      </c>
      <c r="M239" s="61">
        <f t="shared" si="11"/>
        <v>2436000000</v>
      </c>
    </row>
    <row r="240" spans="1:13" x14ac:dyDescent="0.25">
      <c r="A240" t="s">
        <v>120</v>
      </c>
      <c r="B240" t="s">
        <v>6</v>
      </c>
      <c r="C240">
        <v>41639</v>
      </c>
      <c r="D240" s="61">
        <v>55656000000</v>
      </c>
      <c r="E240" s="61">
        <v>41454000000</v>
      </c>
      <c r="F240" s="61">
        <v>6528000000</v>
      </c>
      <c r="G240" s="61">
        <v>2046000000</v>
      </c>
      <c r="H240" s="61">
        <v>0</v>
      </c>
      <c r="I240" t="s">
        <v>7</v>
      </c>
      <c r="J240" t="s">
        <v>121</v>
      </c>
      <c r="K240" s="61">
        <f t="shared" si="9"/>
        <v>14202000000</v>
      </c>
      <c r="L240" s="61">
        <f t="shared" si="10"/>
        <v>8574000000</v>
      </c>
      <c r="M240" s="61">
        <f t="shared" si="11"/>
        <v>5628000000</v>
      </c>
    </row>
    <row r="241" spans="1:13" x14ac:dyDescent="0.25">
      <c r="A241" t="s">
        <v>120</v>
      </c>
      <c r="B241" t="s">
        <v>9</v>
      </c>
      <c r="C241">
        <v>42004</v>
      </c>
      <c r="D241" s="61">
        <v>55184000000</v>
      </c>
      <c r="E241" s="61">
        <v>41342000000</v>
      </c>
      <c r="F241" s="61">
        <v>8148000000</v>
      </c>
      <c r="G241" s="61">
        <v>2380000000</v>
      </c>
      <c r="H241" s="61">
        <v>0</v>
      </c>
      <c r="I241" t="s">
        <v>7</v>
      </c>
      <c r="J241" t="s">
        <v>121</v>
      </c>
      <c r="K241" s="61">
        <f t="shared" si="9"/>
        <v>13842000000</v>
      </c>
      <c r="L241" s="61">
        <f t="shared" si="10"/>
        <v>10528000000</v>
      </c>
      <c r="M241" s="61">
        <f t="shared" si="11"/>
        <v>3314000000</v>
      </c>
    </row>
    <row r="242" spans="1:13" x14ac:dyDescent="0.25">
      <c r="A242" t="s">
        <v>120</v>
      </c>
      <c r="B242" t="s">
        <v>10</v>
      </c>
      <c r="C242">
        <v>42369</v>
      </c>
      <c r="D242" s="61">
        <v>47011000000</v>
      </c>
      <c r="E242" s="61">
        <v>34133000000</v>
      </c>
      <c r="F242" s="61">
        <v>6974000000</v>
      </c>
      <c r="G242" s="61">
        <v>2119000000</v>
      </c>
      <c r="H242" s="61">
        <v>0</v>
      </c>
      <c r="I242" t="s">
        <v>7</v>
      </c>
      <c r="J242" t="s">
        <v>121</v>
      </c>
      <c r="K242" s="61">
        <f t="shared" si="9"/>
        <v>12878000000</v>
      </c>
      <c r="L242" s="61">
        <f t="shared" si="10"/>
        <v>9093000000</v>
      </c>
      <c r="M242" s="61">
        <f t="shared" si="11"/>
        <v>3785000000</v>
      </c>
    </row>
    <row r="243" spans="1:13" x14ac:dyDescent="0.25">
      <c r="A243" t="s">
        <v>120</v>
      </c>
      <c r="B243" t="s">
        <v>11</v>
      </c>
      <c r="C243">
        <v>42735</v>
      </c>
      <c r="D243" s="61">
        <v>38537000000</v>
      </c>
      <c r="E243" s="61">
        <v>28905000000</v>
      </c>
      <c r="F243" s="61">
        <v>6588000000</v>
      </c>
      <c r="G243" s="61">
        <v>1951000000</v>
      </c>
      <c r="H243" s="61">
        <v>0</v>
      </c>
      <c r="I243" t="s">
        <v>7</v>
      </c>
      <c r="J243" t="s">
        <v>121</v>
      </c>
      <c r="K243" s="61">
        <f t="shared" si="9"/>
        <v>9632000000</v>
      </c>
      <c r="L243" s="61">
        <f t="shared" si="10"/>
        <v>8539000000</v>
      </c>
      <c r="M243" s="61">
        <f t="shared" si="11"/>
        <v>1093000000</v>
      </c>
    </row>
    <row r="244" spans="1:13" x14ac:dyDescent="0.25">
      <c r="A244" t="s">
        <v>122</v>
      </c>
      <c r="B244" t="s">
        <v>6</v>
      </c>
      <c r="C244">
        <v>41274</v>
      </c>
      <c r="D244" s="61">
        <v>17936000000</v>
      </c>
      <c r="E244" s="61">
        <v>12620000000</v>
      </c>
      <c r="F244" s="61">
        <v>2096000000</v>
      </c>
      <c r="G244" s="61">
        <v>0</v>
      </c>
      <c r="H244" s="61">
        <v>6000000</v>
      </c>
      <c r="I244" t="s">
        <v>41</v>
      </c>
      <c r="J244" t="s">
        <v>44</v>
      </c>
      <c r="K244" s="61">
        <f t="shared" si="9"/>
        <v>5316000000</v>
      </c>
      <c r="L244" s="61">
        <f t="shared" si="10"/>
        <v>2102000000</v>
      </c>
      <c r="M244" s="61">
        <f t="shared" si="11"/>
        <v>3214000000</v>
      </c>
    </row>
    <row r="245" spans="1:13" x14ac:dyDescent="0.25">
      <c r="A245" t="s">
        <v>122</v>
      </c>
      <c r="B245" t="s">
        <v>9</v>
      </c>
      <c r="C245">
        <v>41639</v>
      </c>
      <c r="D245" s="61">
        <v>19261000000</v>
      </c>
      <c r="E245" s="61">
        <v>12522000000</v>
      </c>
      <c r="F245" s="61">
        <v>2211000000</v>
      </c>
      <c r="G245" s="61">
        <v>0</v>
      </c>
      <c r="H245" s="61">
        <v>15000000</v>
      </c>
      <c r="I245" t="s">
        <v>41</v>
      </c>
      <c r="J245" t="s">
        <v>44</v>
      </c>
      <c r="K245" s="61">
        <f t="shared" si="9"/>
        <v>6739000000</v>
      </c>
      <c r="L245" s="61">
        <f t="shared" si="10"/>
        <v>2226000000</v>
      </c>
      <c r="M245" s="61">
        <f t="shared" si="11"/>
        <v>4513000000</v>
      </c>
    </row>
    <row r="246" spans="1:13" x14ac:dyDescent="0.25">
      <c r="A246" t="s">
        <v>122</v>
      </c>
      <c r="B246" t="s">
        <v>10</v>
      </c>
      <c r="C246">
        <v>42004</v>
      </c>
      <c r="D246" s="61">
        <v>19171000000</v>
      </c>
      <c r="E246" s="61">
        <v>13241000000</v>
      </c>
      <c r="F246" s="61">
        <v>2245000000</v>
      </c>
      <c r="G246" s="61">
        <v>0</v>
      </c>
      <c r="H246" s="61">
        <v>82000000</v>
      </c>
      <c r="I246" t="s">
        <v>41</v>
      </c>
      <c r="J246" t="s">
        <v>44</v>
      </c>
      <c r="K246" s="61">
        <f t="shared" si="9"/>
        <v>5930000000</v>
      </c>
      <c r="L246" s="61">
        <f t="shared" si="10"/>
        <v>2327000000</v>
      </c>
      <c r="M246" s="61">
        <f t="shared" si="11"/>
        <v>3603000000</v>
      </c>
    </row>
    <row r="247" spans="1:13" x14ac:dyDescent="0.25">
      <c r="A247" t="s">
        <v>122</v>
      </c>
      <c r="B247" t="s">
        <v>11</v>
      </c>
      <c r="C247">
        <v>42369</v>
      </c>
      <c r="D247" s="61">
        <v>18987000000</v>
      </c>
      <c r="E247" s="61">
        <v>12968000000</v>
      </c>
      <c r="F247" s="61">
        <v>2270000000</v>
      </c>
      <c r="G247" s="61">
        <v>0</v>
      </c>
      <c r="H247" s="61">
        <v>120000000</v>
      </c>
      <c r="I247" t="s">
        <v>41</v>
      </c>
      <c r="J247" t="s">
        <v>44</v>
      </c>
      <c r="K247" s="61">
        <f t="shared" si="9"/>
        <v>6019000000</v>
      </c>
      <c r="L247" s="61">
        <f t="shared" si="10"/>
        <v>2390000000</v>
      </c>
      <c r="M247" s="61">
        <f t="shared" si="11"/>
        <v>3629000000</v>
      </c>
    </row>
    <row r="248" spans="1:13" x14ac:dyDescent="0.25">
      <c r="A248" t="s">
        <v>123</v>
      </c>
      <c r="B248" t="s">
        <v>6</v>
      </c>
      <c r="C248">
        <v>41274</v>
      </c>
      <c r="D248" s="61">
        <v>6514099000</v>
      </c>
      <c r="E248" s="61">
        <v>5745428000</v>
      </c>
      <c r="F248" s="61">
        <v>0</v>
      </c>
      <c r="G248" s="61">
        <v>0</v>
      </c>
      <c r="H248" s="61">
        <v>169645000</v>
      </c>
      <c r="I248" t="s">
        <v>46</v>
      </c>
      <c r="J248" t="s">
        <v>124</v>
      </c>
      <c r="K248" s="61">
        <f t="shared" si="9"/>
        <v>768671000</v>
      </c>
      <c r="L248" s="61">
        <f t="shared" si="10"/>
        <v>169645000</v>
      </c>
      <c r="M248" s="61">
        <f t="shared" si="11"/>
        <v>599026000</v>
      </c>
    </row>
    <row r="249" spans="1:13" x14ac:dyDescent="0.25">
      <c r="A249" t="s">
        <v>123</v>
      </c>
      <c r="B249" t="s">
        <v>9</v>
      </c>
      <c r="C249">
        <v>41639</v>
      </c>
      <c r="D249" s="61">
        <v>7184794000</v>
      </c>
      <c r="E249" s="61">
        <v>6293699000</v>
      </c>
      <c r="F249" s="61">
        <v>0</v>
      </c>
      <c r="G249" s="61">
        <v>0</v>
      </c>
      <c r="H249" s="61">
        <v>190390000</v>
      </c>
      <c r="I249" t="s">
        <v>46</v>
      </c>
      <c r="J249" t="s">
        <v>124</v>
      </c>
      <c r="K249" s="61">
        <f t="shared" si="9"/>
        <v>891095000</v>
      </c>
      <c r="L249" s="61">
        <f t="shared" si="10"/>
        <v>190390000</v>
      </c>
      <c r="M249" s="61">
        <f t="shared" si="11"/>
        <v>700705000</v>
      </c>
    </row>
    <row r="250" spans="1:13" x14ac:dyDescent="0.25">
      <c r="A250" t="s">
        <v>123</v>
      </c>
      <c r="B250" t="s">
        <v>10</v>
      </c>
      <c r="C250">
        <v>42004</v>
      </c>
      <c r="D250" s="61">
        <v>9049918000</v>
      </c>
      <c r="E250" s="61">
        <v>8050222000</v>
      </c>
      <c r="F250" s="61">
        <v>0</v>
      </c>
      <c r="G250" s="61">
        <v>0</v>
      </c>
      <c r="H250" s="61">
        <v>265101000</v>
      </c>
      <c r="I250" t="s">
        <v>46</v>
      </c>
      <c r="J250" t="s">
        <v>124</v>
      </c>
      <c r="K250" s="61">
        <f t="shared" si="9"/>
        <v>999696000</v>
      </c>
      <c r="L250" s="61">
        <f t="shared" si="10"/>
        <v>265101000</v>
      </c>
      <c r="M250" s="61">
        <f t="shared" si="11"/>
        <v>734595000</v>
      </c>
    </row>
    <row r="251" spans="1:13" x14ac:dyDescent="0.25">
      <c r="A251" t="s">
        <v>123</v>
      </c>
      <c r="B251" t="s">
        <v>11</v>
      </c>
      <c r="C251">
        <v>42369</v>
      </c>
      <c r="D251" s="61">
        <v>10855810000</v>
      </c>
      <c r="E251" s="61">
        <v>9716541000</v>
      </c>
      <c r="F251" s="61">
        <v>0</v>
      </c>
      <c r="G251" s="61">
        <v>0</v>
      </c>
      <c r="H251" s="61">
        <v>314096000</v>
      </c>
      <c r="I251" t="s">
        <v>46</v>
      </c>
      <c r="J251" t="s">
        <v>124</v>
      </c>
      <c r="K251" s="61">
        <f t="shared" si="9"/>
        <v>1139269000</v>
      </c>
      <c r="L251" s="61">
        <f t="shared" si="10"/>
        <v>314096000</v>
      </c>
      <c r="M251" s="61">
        <f t="shared" si="11"/>
        <v>825173000</v>
      </c>
    </row>
    <row r="252" spans="1:13" x14ac:dyDescent="0.25">
      <c r="A252" t="s">
        <v>125</v>
      </c>
      <c r="B252" t="s">
        <v>6</v>
      </c>
      <c r="C252">
        <v>41274</v>
      </c>
      <c r="D252" s="61">
        <v>2432680000</v>
      </c>
      <c r="E252" s="61">
        <v>728989000</v>
      </c>
      <c r="F252" s="61">
        <v>212572000</v>
      </c>
      <c r="G252" s="61">
        <v>0</v>
      </c>
      <c r="H252" s="61">
        <v>622592000</v>
      </c>
      <c r="I252" t="s">
        <v>46</v>
      </c>
      <c r="J252" t="s">
        <v>47</v>
      </c>
      <c r="K252" s="61">
        <f t="shared" si="9"/>
        <v>1703691000</v>
      </c>
      <c r="L252" s="61">
        <f t="shared" si="10"/>
        <v>835164000</v>
      </c>
      <c r="M252" s="61">
        <f t="shared" si="11"/>
        <v>868527000</v>
      </c>
    </row>
    <row r="253" spans="1:13" x14ac:dyDescent="0.25">
      <c r="A253" t="s">
        <v>125</v>
      </c>
      <c r="B253" t="s">
        <v>9</v>
      </c>
      <c r="C253">
        <v>41639</v>
      </c>
      <c r="D253" s="61">
        <v>2865751000</v>
      </c>
      <c r="E253" s="61">
        <v>991017000</v>
      </c>
      <c r="F253" s="61">
        <v>213519000</v>
      </c>
      <c r="G253" s="61">
        <v>0</v>
      </c>
      <c r="H253" s="61">
        <v>741342000</v>
      </c>
      <c r="I253" t="s">
        <v>46</v>
      </c>
      <c r="J253" t="s">
        <v>47</v>
      </c>
      <c r="K253" s="61">
        <f t="shared" si="9"/>
        <v>1874734000</v>
      </c>
      <c r="L253" s="61">
        <f t="shared" si="10"/>
        <v>954861000</v>
      </c>
      <c r="M253" s="61">
        <f t="shared" si="11"/>
        <v>919873000</v>
      </c>
    </row>
    <row r="254" spans="1:13" x14ac:dyDescent="0.25">
      <c r="A254" t="s">
        <v>125</v>
      </c>
      <c r="B254" t="s">
        <v>10</v>
      </c>
      <c r="C254">
        <v>42004</v>
      </c>
      <c r="D254" s="61">
        <v>3538756000</v>
      </c>
      <c r="E254" s="61">
        <v>1306606000</v>
      </c>
      <c r="F254" s="61">
        <v>257296000</v>
      </c>
      <c r="G254" s="61">
        <v>0</v>
      </c>
      <c r="H254" s="61">
        <v>985781000</v>
      </c>
      <c r="I254" t="s">
        <v>46</v>
      </c>
      <c r="J254" t="s">
        <v>47</v>
      </c>
      <c r="K254" s="61">
        <f t="shared" si="9"/>
        <v>2232150000</v>
      </c>
      <c r="L254" s="61">
        <f t="shared" si="10"/>
        <v>1243077000</v>
      </c>
      <c r="M254" s="61">
        <f t="shared" si="11"/>
        <v>989073000</v>
      </c>
    </row>
    <row r="255" spans="1:13" x14ac:dyDescent="0.25">
      <c r="A255" t="s">
        <v>125</v>
      </c>
      <c r="B255" t="s">
        <v>11</v>
      </c>
      <c r="C255">
        <v>42369</v>
      </c>
      <c r="D255" s="61">
        <v>3663851000</v>
      </c>
      <c r="E255" s="61">
        <v>1321426000</v>
      </c>
      <c r="F255" s="61">
        <v>310921000</v>
      </c>
      <c r="G255" s="61">
        <v>0</v>
      </c>
      <c r="H255" s="61">
        <v>1036178000</v>
      </c>
      <c r="I255" t="s">
        <v>46</v>
      </c>
      <c r="J255" t="s">
        <v>47</v>
      </c>
      <c r="K255" s="61">
        <f t="shared" si="9"/>
        <v>2342425000</v>
      </c>
      <c r="L255" s="61">
        <f t="shared" si="10"/>
        <v>1347099000</v>
      </c>
      <c r="M255" s="61">
        <f t="shared" si="11"/>
        <v>995326000</v>
      </c>
    </row>
    <row r="256" spans="1:13" x14ac:dyDescent="0.25">
      <c r="A256" t="s">
        <v>126</v>
      </c>
      <c r="B256" t="s">
        <v>6</v>
      </c>
      <c r="C256">
        <v>41608</v>
      </c>
      <c r="D256" s="61">
        <v>15456000000</v>
      </c>
      <c r="E256" s="61">
        <v>10645000000</v>
      </c>
      <c r="F256" s="61">
        <v>1879000000</v>
      </c>
      <c r="G256" s="61">
        <v>0</v>
      </c>
      <c r="H256" s="61">
        <v>1590000000</v>
      </c>
      <c r="I256" t="s">
        <v>13</v>
      </c>
      <c r="J256" t="s">
        <v>127</v>
      </c>
      <c r="K256" s="61">
        <f t="shared" si="9"/>
        <v>4811000000</v>
      </c>
      <c r="L256" s="61">
        <f t="shared" si="10"/>
        <v>3469000000</v>
      </c>
      <c r="M256" s="61">
        <f t="shared" si="11"/>
        <v>1342000000</v>
      </c>
    </row>
    <row r="257" spans="1:13" x14ac:dyDescent="0.25">
      <c r="A257" t="s">
        <v>126</v>
      </c>
      <c r="B257" t="s">
        <v>9</v>
      </c>
      <c r="C257">
        <v>41973</v>
      </c>
      <c r="D257" s="61">
        <v>15884000000</v>
      </c>
      <c r="E257" s="61">
        <v>10421000000</v>
      </c>
      <c r="F257" s="61">
        <v>2054000000</v>
      </c>
      <c r="G257" s="61">
        <v>0</v>
      </c>
      <c r="H257" s="61">
        <v>1637000000</v>
      </c>
      <c r="I257" t="s">
        <v>13</v>
      </c>
      <c r="J257" t="s">
        <v>127</v>
      </c>
      <c r="K257" s="61">
        <f t="shared" si="9"/>
        <v>5463000000</v>
      </c>
      <c r="L257" s="61">
        <f t="shared" si="10"/>
        <v>3691000000</v>
      </c>
      <c r="M257" s="61">
        <f t="shared" si="11"/>
        <v>1772000000</v>
      </c>
    </row>
    <row r="258" spans="1:13" x14ac:dyDescent="0.25">
      <c r="A258" t="s">
        <v>126</v>
      </c>
      <c r="B258" t="s">
        <v>10</v>
      </c>
      <c r="C258">
        <v>42338</v>
      </c>
      <c r="D258" s="61">
        <v>15714000000</v>
      </c>
      <c r="E258" s="61">
        <v>9447000000</v>
      </c>
      <c r="F258" s="61">
        <v>2067000000</v>
      </c>
      <c r="G258" s="61">
        <v>0</v>
      </c>
      <c r="H258" s="61">
        <v>1626000000</v>
      </c>
      <c r="I258" t="s">
        <v>13</v>
      </c>
      <c r="J258" t="s">
        <v>127</v>
      </c>
      <c r="K258" s="61">
        <f t="shared" ref="K258:K321" si="12">D258-E258</f>
        <v>6267000000</v>
      </c>
      <c r="L258" s="61">
        <f t="shared" ref="L258:L321" si="13">F258+G258+H258</f>
        <v>3693000000</v>
      </c>
      <c r="M258" s="61">
        <f t="shared" si="11"/>
        <v>2574000000</v>
      </c>
    </row>
    <row r="259" spans="1:13" x14ac:dyDescent="0.25">
      <c r="A259" t="s">
        <v>126</v>
      </c>
      <c r="B259" t="s">
        <v>11</v>
      </c>
      <c r="C259">
        <v>42704</v>
      </c>
      <c r="D259" s="61">
        <v>16389000000</v>
      </c>
      <c r="E259" s="61">
        <v>9383000000</v>
      </c>
      <c r="F259" s="61">
        <v>2197000000</v>
      </c>
      <c r="G259" s="61">
        <v>0</v>
      </c>
      <c r="H259" s="61">
        <v>1738000000</v>
      </c>
      <c r="I259" t="s">
        <v>13</v>
      </c>
      <c r="J259" t="s">
        <v>127</v>
      </c>
      <c r="K259" s="61">
        <f t="shared" si="12"/>
        <v>7006000000</v>
      </c>
      <c r="L259" s="61">
        <f t="shared" si="13"/>
        <v>3935000000</v>
      </c>
      <c r="M259" s="61">
        <f t="shared" ref="M259:M322" si="14">K259-L259</f>
        <v>3071000000</v>
      </c>
    </row>
    <row r="260" spans="1:13" x14ac:dyDescent="0.25">
      <c r="A260" t="s">
        <v>128</v>
      </c>
      <c r="B260" t="s">
        <v>6</v>
      </c>
      <c r="C260">
        <v>41639</v>
      </c>
      <c r="D260" s="61">
        <v>6493900000</v>
      </c>
      <c r="E260" s="61">
        <v>340400000</v>
      </c>
      <c r="F260" s="61">
        <v>1684500000</v>
      </c>
      <c r="G260" s="61">
        <v>2226200000</v>
      </c>
      <c r="H260" s="61">
        <v>262800000</v>
      </c>
      <c r="I260" t="s">
        <v>19</v>
      </c>
      <c r="J260" t="s">
        <v>60</v>
      </c>
      <c r="K260" s="61">
        <f t="shared" si="12"/>
        <v>6153500000</v>
      </c>
      <c r="L260" s="61">
        <f t="shared" si="13"/>
        <v>4173500000</v>
      </c>
      <c r="M260" s="61">
        <f t="shared" si="14"/>
        <v>1980000000</v>
      </c>
    </row>
    <row r="261" spans="1:13" x14ac:dyDescent="0.25">
      <c r="A261" t="s">
        <v>128</v>
      </c>
      <c r="B261" t="s">
        <v>9</v>
      </c>
      <c r="C261">
        <v>42004</v>
      </c>
      <c r="D261" s="61">
        <v>7670400000</v>
      </c>
      <c r="E261" s="61">
        <v>385900000</v>
      </c>
      <c r="F261" s="61">
        <v>2027900000</v>
      </c>
      <c r="G261" s="61">
        <v>2430600000</v>
      </c>
      <c r="H261" s="61">
        <v>258300000</v>
      </c>
      <c r="I261" t="s">
        <v>19</v>
      </c>
      <c r="J261" t="s">
        <v>60</v>
      </c>
      <c r="K261" s="61">
        <f t="shared" si="12"/>
        <v>7284500000</v>
      </c>
      <c r="L261" s="61">
        <f t="shared" si="13"/>
        <v>4716800000</v>
      </c>
      <c r="M261" s="61">
        <f t="shared" si="14"/>
        <v>2567700000</v>
      </c>
    </row>
    <row r="262" spans="1:13" x14ac:dyDescent="0.25">
      <c r="A262" t="s">
        <v>128</v>
      </c>
      <c r="B262" t="s">
        <v>10</v>
      </c>
      <c r="C262">
        <v>42369</v>
      </c>
      <c r="D262" s="61">
        <v>9256000000</v>
      </c>
      <c r="E262" s="61">
        <v>420100000</v>
      </c>
      <c r="F262" s="61">
        <v>2305400000</v>
      </c>
      <c r="G262" s="61">
        <v>3697300000</v>
      </c>
      <c r="H262" s="61">
        <v>279000000</v>
      </c>
      <c r="I262" t="s">
        <v>19</v>
      </c>
      <c r="J262" t="s">
        <v>60</v>
      </c>
      <c r="K262" s="61">
        <f t="shared" si="12"/>
        <v>8835900000</v>
      </c>
      <c r="L262" s="61">
        <f t="shared" si="13"/>
        <v>6281700000</v>
      </c>
      <c r="M262" s="61">
        <f t="shared" si="14"/>
        <v>2554200000</v>
      </c>
    </row>
    <row r="263" spans="1:13" x14ac:dyDescent="0.25">
      <c r="A263" t="s">
        <v>128</v>
      </c>
      <c r="B263" t="s">
        <v>11</v>
      </c>
      <c r="C263">
        <v>42735</v>
      </c>
      <c r="D263" s="61">
        <v>11229200000</v>
      </c>
      <c r="E263" s="61">
        <v>438000000</v>
      </c>
      <c r="F263" s="61">
        <v>2657700000</v>
      </c>
      <c r="G263" s="61">
        <v>4470100000</v>
      </c>
      <c r="H263" s="61">
        <v>459000000</v>
      </c>
      <c r="I263" t="s">
        <v>19</v>
      </c>
      <c r="J263" t="s">
        <v>60</v>
      </c>
      <c r="K263" s="61">
        <f t="shared" si="12"/>
        <v>10791200000</v>
      </c>
      <c r="L263" s="61">
        <f t="shared" si="13"/>
        <v>7586800000</v>
      </c>
      <c r="M263" s="61">
        <f t="shared" si="14"/>
        <v>3204400000</v>
      </c>
    </row>
    <row r="264" spans="1:13" x14ac:dyDescent="0.25">
      <c r="A264" t="s">
        <v>129</v>
      </c>
      <c r="B264" t="s">
        <v>6</v>
      </c>
      <c r="C264">
        <v>41636</v>
      </c>
      <c r="D264" s="61">
        <v>2910748000</v>
      </c>
      <c r="E264" s="61">
        <v>514722000</v>
      </c>
      <c r="F264" s="61">
        <v>1468434000</v>
      </c>
      <c r="G264" s="61">
        <v>338786000</v>
      </c>
      <c r="H264" s="61">
        <v>12794000</v>
      </c>
      <c r="I264" t="s">
        <v>19</v>
      </c>
      <c r="J264" t="s">
        <v>130</v>
      </c>
      <c r="K264" s="61">
        <f t="shared" si="12"/>
        <v>2396026000</v>
      </c>
      <c r="L264" s="61">
        <f t="shared" si="13"/>
        <v>1820014000</v>
      </c>
      <c r="M264" s="61">
        <f t="shared" si="14"/>
        <v>576012000</v>
      </c>
    </row>
    <row r="265" spans="1:13" x14ac:dyDescent="0.25">
      <c r="A265" t="s">
        <v>129</v>
      </c>
      <c r="B265" t="s">
        <v>9</v>
      </c>
      <c r="C265">
        <v>42007</v>
      </c>
      <c r="D265" s="61">
        <v>3402703000</v>
      </c>
      <c r="E265" s="61">
        <v>604377000</v>
      </c>
      <c r="F265" s="61">
        <v>1628961000</v>
      </c>
      <c r="G265" s="61">
        <v>392805000</v>
      </c>
      <c r="H265" s="61">
        <v>13476000</v>
      </c>
      <c r="I265" t="s">
        <v>19</v>
      </c>
      <c r="J265" t="s">
        <v>130</v>
      </c>
      <c r="K265" s="61">
        <f t="shared" si="12"/>
        <v>2798326000</v>
      </c>
      <c r="L265" s="61">
        <f t="shared" si="13"/>
        <v>2035242000</v>
      </c>
      <c r="M265" s="61">
        <f t="shared" si="14"/>
        <v>763084000</v>
      </c>
    </row>
    <row r="266" spans="1:13" x14ac:dyDescent="0.25">
      <c r="A266" t="s">
        <v>129</v>
      </c>
      <c r="B266" t="s">
        <v>10</v>
      </c>
      <c r="C266">
        <v>42371</v>
      </c>
      <c r="D266" s="61">
        <v>4425267000</v>
      </c>
      <c r="E266" s="61">
        <v>750781000</v>
      </c>
      <c r="F266" s="61">
        <v>2262024000</v>
      </c>
      <c r="G266" s="61">
        <v>539799000</v>
      </c>
      <c r="H266" s="61">
        <v>91527000</v>
      </c>
      <c r="I266" t="s">
        <v>19</v>
      </c>
      <c r="J266" t="s">
        <v>130</v>
      </c>
      <c r="K266" s="61">
        <f t="shared" si="12"/>
        <v>3674486000</v>
      </c>
      <c r="L266" s="61">
        <f t="shared" si="13"/>
        <v>2893350000</v>
      </c>
      <c r="M266" s="61">
        <f t="shared" si="14"/>
        <v>781136000</v>
      </c>
    </row>
    <row r="267" spans="1:13" x14ac:dyDescent="0.25">
      <c r="A267" t="s">
        <v>129</v>
      </c>
      <c r="B267" t="s">
        <v>11</v>
      </c>
      <c r="C267">
        <v>42735</v>
      </c>
      <c r="D267" s="61">
        <v>4796473000</v>
      </c>
      <c r="E267" s="61">
        <v>779116000</v>
      </c>
      <c r="F267" s="61">
        <v>2464380000</v>
      </c>
      <c r="G267" s="61">
        <v>551418000</v>
      </c>
      <c r="H267" s="61">
        <v>90546000</v>
      </c>
      <c r="I267" t="s">
        <v>19</v>
      </c>
      <c r="J267" t="s">
        <v>130</v>
      </c>
      <c r="K267" s="61">
        <f t="shared" si="12"/>
        <v>4017357000</v>
      </c>
      <c r="L267" s="61">
        <f t="shared" si="13"/>
        <v>3106344000</v>
      </c>
      <c r="M267" s="61">
        <f t="shared" si="14"/>
        <v>911013000</v>
      </c>
    </row>
    <row r="268" spans="1:13" x14ac:dyDescent="0.25">
      <c r="A268" t="s">
        <v>131</v>
      </c>
      <c r="B268" t="s">
        <v>6</v>
      </c>
      <c r="C268">
        <v>41274</v>
      </c>
      <c r="D268" s="61">
        <v>6104000000</v>
      </c>
      <c r="E268" s="61">
        <v>2990700000</v>
      </c>
      <c r="F268" s="61">
        <v>200900000</v>
      </c>
      <c r="G268" s="61">
        <v>0</v>
      </c>
      <c r="H268" s="61">
        <v>0</v>
      </c>
      <c r="I268" t="s">
        <v>53</v>
      </c>
      <c r="J268" t="s">
        <v>132</v>
      </c>
      <c r="K268" s="61">
        <f t="shared" si="12"/>
        <v>3113300000</v>
      </c>
      <c r="L268" s="61">
        <f t="shared" si="13"/>
        <v>200900000</v>
      </c>
      <c r="M268" s="61">
        <f t="shared" si="14"/>
        <v>2912400000</v>
      </c>
    </row>
    <row r="269" spans="1:13" x14ac:dyDescent="0.25">
      <c r="A269" t="s">
        <v>131</v>
      </c>
      <c r="B269" t="s">
        <v>9</v>
      </c>
      <c r="C269">
        <v>41639</v>
      </c>
      <c r="D269" s="61">
        <v>5474700000</v>
      </c>
      <c r="E269" s="61">
        <v>2954500000</v>
      </c>
      <c r="F269" s="61">
        <v>150200000</v>
      </c>
      <c r="G269" s="61">
        <v>0</v>
      </c>
      <c r="H269" s="61">
        <v>0</v>
      </c>
      <c r="I269" t="s">
        <v>53</v>
      </c>
      <c r="J269" t="s">
        <v>132</v>
      </c>
      <c r="K269" s="61">
        <f t="shared" si="12"/>
        <v>2520200000</v>
      </c>
      <c r="L269" s="61">
        <f t="shared" si="13"/>
        <v>150200000</v>
      </c>
      <c r="M269" s="61">
        <f t="shared" si="14"/>
        <v>2370000000</v>
      </c>
    </row>
    <row r="270" spans="1:13" x14ac:dyDescent="0.25">
      <c r="A270" t="s">
        <v>131</v>
      </c>
      <c r="B270" t="s">
        <v>10</v>
      </c>
      <c r="C270">
        <v>42004</v>
      </c>
      <c r="D270" s="61">
        <v>4743200000</v>
      </c>
      <c r="E270" s="61">
        <v>2964700000</v>
      </c>
      <c r="F270" s="61">
        <v>205200000</v>
      </c>
      <c r="G270" s="61">
        <v>0</v>
      </c>
      <c r="H270" s="61">
        <v>0</v>
      </c>
      <c r="I270" t="s">
        <v>53</v>
      </c>
      <c r="J270" t="s">
        <v>132</v>
      </c>
      <c r="K270" s="61">
        <f t="shared" si="12"/>
        <v>1778500000</v>
      </c>
      <c r="L270" s="61">
        <f t="shared" si="13"/>
        <v>205200000</v>
      </c>
      <c r="M270" s="61">
        <f t="shared" si="14"/>
        <v>1573300000</v>
      </c>
    </row>
    <row r="271" spans="1:13" x14ac:dyDescent="0.25">
      <c r="A271" t="s">
        <v>131</v>
      </c>
      <c r="B271" t="s">
        <v>11</v>
      </c>
      <c r="C271">
        <v>42369</v>
      </c>
      <c r="D271" s="61">
        <v>4308300000</v>
      </c>
      <c r="E271" s="61">
        <v>2761200000</v>
      </c>
      <c r="F271" s="61">
        <v>319000000</v>
      </c>
      <c r="G271" s="61">
        <v>0</v>
      </c>
      <c r="H271" s="61">
        <v>0</v>
      </c>
      <c r="I271" t="s">
        <v>53</v>
      </c>
      <c r="J271" t="s">
        <v>132</v>
      </c>
      <c r="K271" s="61">
        <f t="shared" si="12"/>
        <v>1547100000</v>
      </c>
      <c r="L271" s="61">
        <f t="shared" si="13"/>
        <v>319000000</v>
      </c>
      <c r="M271" s="61">
        <f t="shared" si="14"/>
        <v>1228100000</v>
      </c>
    </row>
    <row r="272" spans="1:13" x14ac:dyDescent="0.25">
      <c r="A272" t="s">
        <v>133</v>
      </c>
      <c r="B272" t="s">
        <v>6</v>
      </c>
      <c r="C272">
        <v>41274</v>
      </c>
      <c r="D272" s="61">
        <v>5513000000</v>
      </c>
      <c r="E272" s="61">
        <v>375000000</v>
      </c>
      <c r="F272" s="61">
        <v>3380000000</v>
      </c>
      <c r="G272" s="61">
        <v>0</v>
      </c>
      <c r="H272" s="61">
        <v>490000000</v>
      </c>
      <c r="I272" t="s">
        <v>41</v>
      </c>
      <c r="J272" t="s">
        <v>134</v>
      </c>
      <c r="K272" s="61">
        <f t="shared" si="12"/>
        <v>5138000000</v>
      </c>
      <c r="L272" s="61">
        <f t="shared" si="13"/>
        <v>3870000000</v>
      </c>
      <c r="M272" s="61">
        <f t="shared" si="14"/>
        <v>1268000000</v>
      </c>
    </row>
    <row r="273" spans="1:13" x14ac:dyDescent="0.25">
      <c r="A273" t="s">
        <v>133</v>
      </c>
      <c r="B273" t="s">
        <v>9</v>
      </c>
      <c r="C273">
        <v>41639</v>
      </c>
      <c r="D273" s="61">
        <v>5133000000</v>
      </c>
      <c r="E273" s="61">
        <v>216000000</v>
      </c>
      <c r="F273" s="61">
        <v>3142000000</v>
      </c>
      <c r="G273" s="61">
        <v>0</v>
      </c>
      <c r="H273" s="61">
        <v>581000000</v>
      </c>
      <c r="I273" t="s">
        <v>41</v>
      </c>
      <c r="J273" t="s">
        <v>134</v>
      </c>
      <c r="K273" s="61">
        <f t="shared" si="12"/>
        <v>4917000000</v>
      </c>
      <c r="L273" s="61">
        <f t="shared" si="13"/>
        <v>3723000000</v>
      </c>
      <c r="M273" s="61">
        <f t="shared" si="14"/>
        <v>1194000000</v>
      </c>
    </row>
    <row r="274" spans="1:13" x14ac:dyDescent="0.25">
      <c r="A274" t="s">
        <v>133</v>
      </c>
      <c r="B274" t="s">
        <v>10</v>
      </c>
      <c r="C274">
        <v>42004</v>
      </c>
      <c r="D274" s="61">
        <v>5342000000</v>
      </c>
      <c r="E274" s="61">
        <v>160000000</v>
      </c>
      <c r="F274" s="61">
        <v>3247000000</v>
      </c>
      <c r="G274" s="61">
        <v>0</v>
      </c>
      <c r="H274" s="61">
        <v>464000000</v>
      </c>
      <c r="I274" t="s">
        <v>41</v>
      </c>
      <c r="J274" t="s">
        <v>134</v>
      </c>
      <c r="K274" s="61">
        <f t="shared" si="12"/>
        <v>5182000000</v>
      </c>
      <c r="L274" s="61">
        <f t="shared" si="13"/>
        <v>3711000000</v>
      </c>
      <c r="M274" s="61">
        <f t="shared" si="14"/>
        <v>1471000000</v>
      </c>
    </row>
    <row r="275" spans="1:13" x14ac:dyDescent="0.25">
      <c r="A275" t="s">
        <v>133</v>
      </c>
      <c r="B275" t="s">
        <v>11</v>
      </c>
      <c r="C275">
        <v>42369</v>
      </c>
      <c r="D275" s="61">
        <v>5276000000</v>
      </c>
      <c r="E275" s="61">
        <v>237000000</v>
      </c>
      <c r="F275" s="61">
        <v>3113000000</v>
      </c>
      <c r="G275" s="61">
        <v>0</v>
      </c>
      <c r="H275" s="61">
        <v>448000000</v>
      </c>
      <c r="I275" t="s">
        <v>41</v>
      </c>
      <c r="J275" t="s">
        <v>134</v>
      </c>
      <c r="K275" s="61">
        <f t="shared" si="12"/>
        <v>5039000000</v>
      </c>
      <c r="L275" s="61">
        <f t="shared" si="13"/>
        <v>3561000000</v>
      </c>
      <c r="M275" s="61">
        <f t="shared" si="14"/>
        <v>1478000000</v>
      </c>
    </row>
    <row r="276" spans="1:13" x14ac:dyDescent="0.25">
      <c r="A276" t="s">
        <v>135</v>
      </c>
      <c r="B276" t="s">
        <v>6</v>
      </c>
      <c r="C276">
        <v>41274</v>
      </c>
      <c r="D276" s="61">
        <v>2921900000</v>
      </c>
      <c r="E276" s="61">
        <v>1630500000</v>
      </c>
      <c r="F276" s="61">
        <v>746300000</v>
      </c>
      <c r="G276" s="61">
        <v>0</v>
      </c>
      <c r="H276" s="61">
        <v>0</v>
      </c>
      <c r="I276" t="s">
        <v>30</v>
      </c>
      <c r="J276" t="s">
        <v>136</v>
      </c>
      <c r="K276" s="61">
        <f t="shared" si="12"/>
        <v>1291400000</v>
      </c>
      <c r="L276" s="61">
        <f t="shared" si="13"/>
        <v>746300000</v>
      </c>
      <c r="M276" s="61">
        <f t="shared" si="14"/>
        <v>545100000</v>
      </c>
    </row>
    <row r="277" spans="1:13" x14ac:dyDescent="0.25">
      <c r="A277" t="s">
        <v>135</v>
      </c>
      <c r="B277" t="s">
        <v>9</v>
      </c>
      <c r="C277">
        <v>41639</v>
      </c>
      <c r="D277" s="61">
        <v>3194300000</v>
      </c>
      <c r="E277" s="61">
        <v>1756300000</v>
      </c>
      <c r="F277" s="61">
        <v>815800000</v>
      </c>
      <c r="G277" s="61">
        <v>0</v>
      </c>
      <c r="H277" s="61">
        <v>0</v>
      </c>
      <c r="I277" t="s">
        <v>30</v>
      </c>
      <c r="J277" t="s">
        <v>136</v>
      </c>
      <c r="K277" s="61">
        <f t="shared" si="12"/>
        <v>1438000000</v>
      </c>
      <c r="L277" s="61">
        <f t="shared" si="13"/>
        <v>815800000</v>
      </c>
      <c r="M277" s="61">
        <f t="shared" si="14"/>
        <v>622200000</v>
      </c>
    </row>
    <row r="278" spans="1:13" x14ac:dyDescent="0.25">
      <c r="A278" t="s">
        <v>135</v>
      </c>
      <c r="B278" t="s">
        <v>10</v>
      </c>
      <c r="C278">
        <v>42004</v>
      </c>
      <c r="D278" s="61">
        <v>3297600000</v>
      </c>
      <c r="E278" s="61">
        <v>1844700000</v>
      </c>
      <c r="F278" s="61">
        <v>811700000</v>
      </c>
      <c r="G278" s="61">
        <v>0</v>
      </c>
      <c r="H278" s="61">
        <v>0</v>
      </c>
      <c r="I278" t="s">
        <v>30</v>
      </c>
      <c r="J278" t="s">
        <v>136</v>
      </c>
      <c r="K278" s="61">
        <f t="shared" si="12"/>
        <v>1452900000</v>
      </c>
      <c r="L278" s="61">
        <f t="shared" si="13"/>
        <v>811700000</v>
      </c>
      <c r="M278" s="61">
        <f t="shared" si="14"/>
        <v>641200000</v>
      </c>
    </row>
    <row r="279" spans="1:13" x14ac:dyDescent="0.25">
      <c r="A279" t="s">
        <v>135</v>
      </c>
      <c r="B279" t="s">
        <v>11</v>
      </c>
      <c r="C279">
        <v>42369</v>
      </c>
      <c r="D279" s="61">
        <v>3394800000</v>
      </c>
      <c r="E279" s="61">
        <v>1883000000</v>
      </c>
      <c r="F279" s="61">
        <v>837600000</v>
      </c>
      <c r="G279" s="61">
        <v>0</v>
      </c>
      <c r="H279" s="61">
        <v>0</v>
      </c>
      <c r="I279" t="s">
        <v>30</v>
      </c>
      <c r="J279" t="s">
        <v>136</v>
      </c>
      <c r="K279" s="61">
        <f t="shared" si="12"/>
        <v>1511800000</v>
      </c>
      <c r="L279" s="61">
        <f t="shared" si="13"/>
        <v>837600000</v>
      </c>
      <c r="M279" s="61">
        <f t="shared" si="14"/>
        <v>674200000</v>
      </c>
    </row>
    <row r="280" spans="1:13" x14ac:dyDescent="0.25">
      <c r="A280" t="s">
        <v>137</v>
      </c>
      <c r="B280" t="s">
        <v>6</v>
      </c>
      <c r="C280">
        <v>41274</v>
      </c>
      <c r="D280" s="61">
        <v>12316000000</v>
      </c>
      <c r="E280" s="61">
        <v>7081000000</v>
      </c>
      <c r="F280" s="61">
        <v>723000000</v>
      </c>
      <c r="G280" s="61">
        <v>0</v>
      </c>
      <c r="H280" s="61">
        <v>2811000000</v>
      </c>
      <c r="I280" t="s">
        <v>77</v>
      </c>
      <c r="J280" t="s">
        <v>138</v>
      </c>
      <c r="K280" s="61">
        <f t="shared" si="12"/>
        <v>5235000000</v>
      </c>
      <c r="L280" s="61">
        <f t="shared" si="13"/>
        <v>3534000000</v>
      </c>
      <c r="M280" s="61">
        <f t="shared" si="14"/>
        <v>1701000000</v>
      </c>
    </row>
    <row r="281" spans="1:13" x14ac:dyDescent="0.25">
      <c r="A281" t="s">
        <v>137</v>
      </c>
      <c r="B281" t="s">
        <v>9</v>
      </c>
      <c r="C281">
        <v>41639</v>
      </c>
      <c r="D281" s="61">
        <v>19080000000</v>
      </c>
      <c r="E281" s="61">
        <v>12930000000</v>
      </c>
      <c r="F281" s="61">
        <v>686000000</v>
      </c>
      <c r="G281" s="61">
        <v>0</v>
      </c>
      <c r="H281" s="61">
        <v>2903000000</v>
      </c>
      <c r="I281" t="s">
        <v>77</v>
      </c>
      <c r="J281" t="s">
        <v>138</v>
      </c>
      <c r="K281" s="61">
        <f t="shared" si="12"/>
        <v>6150000000</v>
      </c>
      <c r="L281" s="61">
        <f t="shared" si="13"/>
        <v>3589000000</v>
      </c>
      <c r="M281" s="61">
        <f t="shared" si="14"/>
        <v>2561000000</v>
      </c>
    </row>
    <row r="282" spans="1:13" x14ac:dyDescent="0.25">
      <c r="A282" t="s">
        <v>137</v>
      </c>
      <c r="B282" t="s">
        <v>10</v>
      </c>
      <c r="C282">
        <v>42004</v>
      </c>
      <c r="D282" s="61">
        <v>23125000000</v>
      </c>
      <c r="E282" s="61">
        <v>16049000000</v>
      </c>
      <c r="F282" s="61">
        <v>554000000</v>
      </c>
      <c r="G282" s="61">
        <v>0</v>
      </c>
      <c r="H282" s="61">
        <v>2915000000</v>
      </c>
      <c r="I282" t="s">
        <v>77</v>
      </c>
      <c r="J282" t="s">
        <v>138</v>
      </c>
      <c r="K282" s="61">
        <f t="shared" si="12"/>
        <v>7076000000</v>
      </c>
      <c r="L282" s="61">
        <f t="shared" si="13"/>
        <v>3469000000</v>
      </c>
      <c r="M282" s="61">
        <f t="shared" si="14"/>
        <v>3607000000</v>
      </c>
    </row>
    <row r="283" spans="1:13" x14ac:dyDescent="0.25">
      <c r="A283" t="s">
        <v>137</v>
      </c>
      <c r="B283" t="s">
        <v>11</v>
      </c>
      <c r="C283">
        <v>42369</v>
      </c>
      <c r="D283" s="61">
        <v>12764000000</v>
      </c>
      <c r="E283" s="61">
        <v>10295000000</v>
      </c>
      <c r="F283" s="61">
        <v>334000000</v>
      </c>
      <c r="G283" s="61">
        <v>0</v>
      </c>
      <c r="H283" s="61">
        <v>2229000000</v>
      </c>
      <c r="I283" t="s">
        <v>77</v>
      </c>
      <c r="J283" t="s">
        <v>138</v>
      </c>
      <c r="K283" s="61">
        <f t="shared" si="12"/>
        <v>2469000000</v>
      </c>
      <c r="L283" s="61">
        <f t="shared" si="13"/>
        <v>2563000000</v>
      </c>
      <c r="M283" s="61">
        <f t="shared" si="14"/>
        <v>-94000000</v>
      </c>
    </row>
    <row r="284" spans="1:13" x14ac:dyDescent="0.25">
      <c r="A284" t="s">
        <v>139</v>
      </c>
      <c r="B284" t="s">
        <v>6</v>
      </c>
      <c r="C284">
        <v>41274</v>
      </c>
      <c r="D284" s="61">
        <v>11359113000</v>
      </c>
      <c r="E284" s="61">
        <v>9641542000</v>
      </c>
      <c r="F284" s="61">
        <v>1042251000</v>
      </c>
      <c r="G284" s="61">
        <v>0</v>
      </c>
      <c r="H284" s="61">
        <v>0</v>
      </c>
      <c r="I284" t="s">
        <v>7</v>
      </c>
      <c r="J284" t="s">
        <v>140</v>
      </c>
      <c r="K284" s="61">
        <f t="shared" si="12"/>
        <v>1717571000</v>
      </c>
      <c r="L284" s="61">
        <f t="shared" si="13"/>
        <v>1042251000</v>
      </c>
      <c r="M284" s="61">
        <f t="shared" si="14"/>
        <v>675320000</v>
      </c>
    </row>
    <row r="285" spans="1:13" x14ac:dyDescent="0.25">
      <c r="A285" t="s">
        <v>139</v>
      </c>
      <c r="B285" t="s">
        <v>9</v>
      </c>
      <c r="C285">
        <v>41639</v>
      </c>
      <c r="D285" s="61">
        <v>12752076000</v>
      </c>
      <c r="E285" s="61">
        <v>10915981000</v>
      </c>
      <c r="F285" s="61">
        <v>1153445000</v>
      </c>
      <c r="G285" s="61">
        <v>0</v>
      </c>
      <c r="H285" s="61">
        <v>0</v>
      </c>
      <c r="I285" t="s">
        <v>7</v>
      </c>
      <c r="J285" t="s">
        <v>140</v>
      </c>
      <c r="K285" s="61">
        <f t="shared" si="12"/>
        <v>1836095000</v>
      </c>
      <c r="L285" s="61">
        <f t="shared" si="13"/>
        <v>1153445000</v>
      </c>
      <c r="M285" s="61">
        <f t="shared" si="14"/>
        <v>682650000</v>
      </c>
    </row>
    <row r="286" spans="1:13" x14ac:dyDescent="0.25">
      <c r="A286" t="s">
        <v>139</v>
      </c>
      <c r="B286" t="s">
        <v>10</v>
      </c>
      <c r="C286">
        <v>42004</v>
      </c>
      <c r="D286" s="61">
        <v>13470067000</v>
      </c>
      <c r="E286" s="61">
        <v>11462415000</v>
      </c>
      <c r="F286" s="61">
        <v>1259234000</v>
      </c>
      <c r="G286" s="61">
        <v>0</v>
      </c>
      <c r="H286" s="61">
        <v>0</v>
      </c>
      <c r="I286" t="s">
        <v>7</v>
      </c>
      <c r="J286" t="s">
        <v>140</v>
      </c>
      <c r="K286" s="61">
        <f t="shared" si="12"/>
        <v>2007652000</v>
      </c>
      <c r="L286" s="61">
        <f t="shared" si="13"/>
        <v>1259234000</v>
      </c>
      <c r="M286" s="61">
        <f t="shared" si="14"/>
        <v>748418000</v>
      </c>
    </row>
    <row r="287" spans="1:13" x14ac:dyDescent="0.25">
      <c r="A287" t="s">
        <v>139</v>
      </c>
      <c r="B287" t="s">
        <v>11</v>
      </c>
      <c r="C287">
        <v>42369</v>
      </c>
      <c r="D287" s="61">
        <v>13476084000</v>
      </c>
      <c r="E287" s="61">
        <v>11207604000</v>
      </c>
      <c r="F287" s="61">
        <v>1410170000</v>
      </c>
      <c r="G287" s="61">
        <v>0</v>
      </c>
      <c r="H287" s="61">
        <v>0</v>
      </c>
      <c r="I287" t="s">
        <v>7</v>
      </c>
      <c r="J287" t="s">
        <v>140</v>
      </c>
      <c r="K287" s="61">
        <f t="shared" si="12"/>
        <v>2268480000</v>
      </c>
      <c r="L287" s="61">
        <f t="shared" si="13"/>
        <v>1410170000</v>
      </c>
      <c r="M287" s="61">
        <f t="shared" si="14"/>
        <v>858310000</v>
      </c>
    </row>
    <row r="288" spans="1:13" x14ac:dyDescent="0.25">
      <c r="A288" t="s">
        <v>141</v>
      </c>
      <c r="B288" t="s">
        <v>6</v>
      </c>
      <c r="C288">
        <v>41639</v>
      </c>
      <c r="D288" s="61">
        <v>8155000000</v>
      </c>
      <c r="E288" s="61">
        <v>5345000000</v>
      </c>
      <c r="F288" s="61">
        <v>47000000</v>
      </c>
      <c r="G288" s="61">
        <v>0</v>
      </c>
      <c r="H288" s="61">
        <v>1854000000</v>
      </c>
      <c r="I288" t="s">
        <v>13</v>
      </c>
      <c r="J288" t="s">
        <v>142</v>
      </c>
      <c r="K288" s="61">
        <f t="shared" si="12"/>
        <v>2810000000</v>
      </c>
      <c r="L288" s="61">
        <f t="shared" si="13"/>
        <v>1901000000</v>
      </c>
      <c r="M288" s="61">
        <f t="shared" si="14"/>
        <v>909000000</v>
      </c>
    </row>
    <row r="289" spans="1:13" x14ac:dyDescent="0.25">
      <c r="A289" t="s">
        <v>141</v>
      </c>
      <c r="B289" t="s">
        <v>9</v>
      </c>
      <c r="C289">
        <v>42004</v>
      </c>
      <c r="D289" s="61">
        <v>9108000000</v>
      </c>
      <c r="E289" s="61">
        <v>5973000000</v>
      </c>
      <c r="F289" s="61">
        <v>62000000</v>
      </c>
      <c r="G289" s="61">
        <v>0</v>
      </c>
      <c r="H289" s="61">
        <v>2102000000</v>
      </c>
      <c r="I289" t="s">
        <v>13</v>
      </c>
      <c r="J289" t="s">
        <v>142</v>
      </c>
      <c r="K289" s="61">
        <f t="shared" si="12"/>
        <v>3135000000</v>
      </c>
      <c r="L289" s="61">
        <f t="shared" si="13"/>
        <v>2164000000</v>
      </c>
      <c r="M289" s="61">
        <f t="shared" si="14"/>
        <v>971000000</v>
      </c>
    </row>
    <row r="290" spans="1:13" x14ac:dyDescent="0.25">
      <c r="A290" t="s">
        <v>141</v>
      </c>
      <c r="B290" t="s">
        <v>10</v>
      </c>
      <c r="C290">
        <v>42369</v>
      </c>
      <c r="D290" s="61">
        <v>9754000000</v>
      </c>
      <c r="E290" s="61">
        <v>6426000000</v>
      </c>
      <c r="F290" s="61">
        <v>89000000</v>
      </c>
      <c r="G290" s="61">
        <v>0</v>
      </c>
      <c r="H290" s="61">
        <v>2125000000</v>
      </c>
      <c r="I290" t="s">
        <v>13</v>
      </c>
      <c r="J290" t="s">
        <v>142</v>
      </c>
      <c r="K290" s="61">
        <f t="shared" si="12"/>
        <v>3328000000</v>
      </c>
      <c r="L290" s="61">
        <f t="shared" si="13"/>
        <v>2214000000</v>
      </c>
      <c r="M290" s="61">
        <f t="shared" si="14"/>
        <v>1114000000</v>
      </c>
    </row>
    <row r="291" spans="1:13" x14ac:dyDescent="0.25">
      <c r="A291" t="s">
        <v>141</v>
      </c>
      <c r="B291" t="s">
        <v>11</v>
      </c>
      <c r="C291">
        <v>42735</v>
      </c>
      <c r="D291" s="61">
        <v>29003000000</v>
      </c>
      <c r="E291" s="61">
        <v>18655000000</v>
      </c>
      <c r="F291" s="61">
        <v>86000000</v>
      </c>
      <c r="G291" s="61">
        <v>0</v>
      </c>
      <c r="H291" s="61">
        <v>6907000000</v>
      </c>
      <c r="I291" t="s">
        <v>13</v>
      </c>
      <c r="J291" t="s">
        <v>142</v>
      </c>
      <c r="K291" s="61">
        <f t="shared" si="12"/>
        <v>10348000000</v>
      </c>
      <c r="L291" s="61">
        <f t="shared" si="13"/>
        <v>6993000000</v>
      </c>
      <c r="M291" s="61">
        <f t="shared" si="14"/>
        <v>3355000000</v>
      </c>
    </row>
    <row r="292" spans="1:13" x14ac:dyDescent="0.25">
      <c r="A292" t="s">
        <v>143</v>
      </c>
      <c r="B292" t="s">
        <v>6</v>
      </c>
      <c r="C292">
        <v>41274</v>
      </c>
      <c r="D292" s="61">
        <v>29119000000</v>
      </c>
      <c r="E292" s="61">
        <v>17900000000</v>
      </c>
      <c r="F292" s="61">
        <v>0</v>
      </c>
      <c r="G292" s="61">
        <v>0</v>
      </c>
      <c r="H292" s="61">
        <v>8742000000</v>
      </c>
      <c r="I292" t="s">
        <v>19</v>
      </c>
      <c r="J292" t="s">
        <v>75</v>
      </c>
      <c r="K292" s="61">
        <f t="shared" si="12"/>
        <v>11219000000</v>
      </c>
      <c r="L292" s="61">
        <f t="shared" si="13"/>
        <v>8742000000</v>
      </c>
      <c r="M292" s="61">
        <f t="shared" si="14"/>
        <v>2477000000</v>
      </c>
    </row>
    <row r="293" spans="1:13" x14ac:dyDescent="0.25">
      <c r="A293" t="s">
        <v>143</v>
      </c>
      <c r="B293" t="s">
        <v>9</v>
      </c>
      <c r="C293">
        <v>41639</v>
      </c>
      <c r="D293" s="61">
        <v>32380000000</v>
      </c>
      <c r="E293" s="61">
        <v>20865000000</v>
      </c>
      <c r="F293" s="61">
        <v>0</v>
      </c>
      <c r="G293" s="61">
        <v>0</v>
      </c>
      <c r="H293" s="61">
        <v>9339000000</v>
      </c>
      <c r="I293" t="s">
        <v>19</v>
      </c>
      <c r="J293" t="s">
        <v>75</v>
      </c>
      <c r="K293" s="61">
        <f t="shared" si="12"/>
        <v>11515000000</v>
      </c>
      <c r="L293" s="61">
        <f t="shared" si="13"/>
        <v>9339000000</v>
      </c>
      <c r="M293" s="61">
        <f t="shared" si="14"/>
        <v>2176000000</v>
      </c>
    </row>
    <row r="294" spans="1:13" x14ac:dyDescent="0.25">
      <c r="A294" t="s">
        <v>143</v>
      </c>
      <c r="B294" t="s">
        <v>10</v>
      </c>
      <c r="C294">
        <v>42004</v>
      </c>
      <c r="D294" s="61">
        <v>34914000000</v>
      </c>
      <c r="E294" s="61">
        <v>21334000000</v>
      </c>
      <c r="F294" s="61">
        <v>0</v>
      </c>
      <c r="G294" s="61">
        <v>0</v>
      </c>
      <c r="H294" s="61">
        <v>10276000000</v>
      </c>
      <c r="I294" t="s">
        <v>19</v>
      </c>
      <c r="J294" t="s">
        <v>75</v>
      </c>
      <c r="K294" s="61">
        <f t="shared" si="12"/>
        <v>13580000000</v>
      </c>
      <c r="L294" s="61">
        <f t="shared" si="13"/>
        <v>10276000000</v>
      </c>
      <c r="M294" s="61">
        <f t="shared" si="14"/>
        <v>3304000000</v>
      </c>
    </row>
    <row r="295" spans="1:13" x14ac:dyDescent="0.25">
      <c r="A295" t="s">
        <v>143</v>
      </c>
      <c r="B295" t="s">
        <v>11</v>
      </c>
      <c r="C295">
        <v>42369</v>
      </c>
      <c r="D295" s="61">
        <v>37876000000</v>
      </c>
      <c r="E295" s="61">
        <v>23290000000</v>
      </c>
      <c r="F295" s="61">
        <v>0</v>
      </c>
      <c r="G295" s="61">
        <v>0</v>
      </c>
      <c r="H295" s="61">
        <v>11259000000</v>
      </c>
      <c r="I295" t="s">
        <v>19</v>
      </c>
      <c r="J295" t="s">
        <v>75</v>
      </c>
      <c r="K295" s="61">
        <f t="shared" si="12"/>
        <v>14586000000</v>
      </c>
      <c r="L295" s="61">
        <f t="shared" si="13"/>
        <v>11259000000</v>
      </c>
      <c r="M295" s="61">
        <f t="shared" si="14"/>
        <v>3327000000</v>
      </c>
    </row>
    <row r="296" spans="1:13" x14ac:dyDescent="0.25">
      <c r="A296" t="s">
        <v>144</v>
      </c>
      <c r="B296" t="s">
        <v>6</v>
      </c>
      <c r="C296">
        <v>41274</v>
      </c>
      <c r="D296" s="61">
        <v>4111000000</v>
      </c>
      <c r="E296" s="61">
        <v>3477000000</v>
      </c>
      <c r="F296" s="61">
        <v>0</v>
      </c>
      <c r="G296" s="61">
        <v>0</v>
      </c>
      <c r="H296" s="61">
        <v>14000000</v>
      </c>
      <c r="I296" t="s">
        <v>41</v>
      </c>
      <c r="J296" t="s">
        <v>44</v>
      </c>
      <c r="K296" s="61">
        <f t="shared" si="12"/>
        <v>634000000</v>
      </c>
      <c r="L296" s="61">
        <f t="shared" si="13"/>
        <v>14000000</v>
      </c>
      <c r="M296" s="61">
        <f t="shared" si="14"/>
        <v>620000000</v>
      </c>
    </row>
    <row r="297" spans="1:13" x14ac:dyDescent="0.25">
      <c r="A297" t="s">
        <v>144</v>
      </c>
      <c r="B297" t="s">
        <v>9</v>
      </c>
      <c r="C297">
        <v>41639</v>
      </c>
      <c r="D297" s="61">
        <v>4531000000</v>
      </c>
      <c r="E297" s="61">
        <v>3748000000</v>
      </c>
      <c r="F297" s="61">
        <v>0</v>
      </c>
      <c r="G297" s="61">
        <v>0</v>
      </c>
      <c r="H297" s="61">
        <v>15000000</v>
      </c>
      <c r="I297" t="s">
        <v>41</v>
      </c>
      <c r="J297" t="s">
        <v>44</v>
      </c>
      <c r="K297" s="61">
        <f t="shared" si="12"/>
        <v>783000000</v>
      </c>
      <c r="L297" s="61">
        <f t="shared" si="13"/>
        <v>15000000</v>
      </c>
      <c r="M297" s="61">
        <f t="shared" si="14"/>
        <v>768000000</v>
      </c>
    </row>
    <row r="298" spans="1:13" x14ac:dyDescent="0.25">
      <c r="A298" t="s">
        <v>144</v>
      </c>
      <c r="B298" t="s">
        <v>10</v>
      </c>
      <c r="C298">
        <v>42004</v>
      </c>
      <c r="D298" s="61">
        <v>4945000000</v>
      </c>
      <c r="E298" s="61">
        <v>4157000000</v>
      </c>
      <c r="F298" s="61">
        <v>0</v>
      </c>
      <c r="G298" s="61">
        <v>0</v>
      </c>
      <c r="H298" s="61">
        <v>14000000</v>
      </c>
      <c r="I298" t="s">
        <v>41</v>
      </c>
      <c r="J298" t="s">
        <v>44</v>
      </c>
      <c r="K298" s="61">
        <f t="shared" si="12"/>
        <v>788000000</v>
      </c>
      <c r="L298" s="61">
        <f t="shared" si="13"/>
        <v>14000000</v>
      </c>
      <c r="M298" s="61">
        <f t="shared" si="14"/>
        <v>774000000</v>
      </c>
    </row>
    <row r="299" spans="1:13" x14ac:dyDescent="0.25">
      <c r="A299" t="s">
        <v>144</v>
      </c>
      <c r="B299" t="s">
        <v>11</v>
      </c>
      <c r="C299">
        <v>42369</v>
      </c>
      <c r="D299" s="61">
        <v>5142000000</v>
      </c>
      <c r="E299" s="61">
        <v>4195000000</v>
      </c>
      <c r="F299" s="61">
        <v>0</v>
      </c>
      <c r="G299" s="61">
        <v>0</v>
      </c>
      <c r="H299" s="61">
        <v>13000000</v>
      </c>
      <c r="I299" t="s">
        <v>41</v>
      </c>
      <c r="J299" t="s">
        <v>44</v>
      </c>
      <c r="K299" s="61">
        <f t="shared" si="12"/>
        <v>947000000</v>
      </c>
      <c r="L299" s="61">
        <f t="shared" si="13"/>
        <v>13000000</v>
      </c>
      <c r="M299" s="61">
        <f t="shared" si="14"/>
        <v>934000000</v>
      </c>
    </row>
    <row r="300" spans="1:13" x14ac:dyDescent="0.25">
      <c r="A300" t="s">
        <v>145</v>
      </c>
      <c r="B300" t="s">
        <v>6</v>
      </c>
      <c r="C300">
        <v>41274</v>
      </c>
      <c r="D300" s="61">
        <v>17085000000</v>
      </c>
      <c r="E300" s="61">
        <v>7153000000</v>
      </c>
      <c r="F300" s="61">
        <v>6043000000</v>
      </c>
      <c r="G300" s="61">
        <v>0</v>
      </c>
      <c r="H300" s="61">
        <v>0</v>
      </c>
      <c r="I300" t="s">
        <v>30</v>
      </c>
      <c r="J300" t="s">
        <v>136</v>
      </c>
      <c r="K300" s="61">
        <f t="shared" si="12"/>
        <v>9932000000</v>
      </c>
      <c r="L300" s="61">
        <f t="shared" si="13"/>
        <v>6043000000</v>
      </c>
      <c r="M300" s="61">
        <f t="shared" si="14"/>
        <v>3889000000</v>
      </c>
    </row>
    <row r="301" spans="1:13" x14ac:dyDescent="0.25">
      <c r="A301" t="s">
        <v>145</v>
      </c>
      <c r="B301" t="s">
        <v>9</v>
      </c>
      <c r="C301">
        <v>41639</v>
      </c>
      <c r="D301" s="61">
        <v>17420000000</v>
      </c>
      <c r="E301" s="61">
        <v>7219000000</v>
      </c>
      <c r="F301" s="61">
        <v>6645000000</v>
      </c>
      <c r="G301" s="61">
        <v>0</v>
      </c>
      <c r="H301" s="61">
        <v>0</v>
      </c>
      <c r="I301" t="s">
        <v>30</v>
      </c>
      <c r="J301" t="s">
        <v>136</v>
      </c>
      <c r="K301" s="61">
        <f t="shared" si="12"/>
        <v>10201000000</v>
      </c>
      <c r="L301" s="61">
        <f t="shared" si="13"/>
        <v>6645000000</v>
      </c>
      <c r="M301" s="61">
        <f t="shared" si="14"/>
        <v>3556000000</v>
      </c>
    </row>
    <row r="302" spans="1:13" x14ac:dyDescent="0.25">
      <c r="A302" t="s">
        <v>145</v>
      </c>
      <c r="B302" t="s">
        <v>10</v>
      </c>
      <c r="C302">
        <v>42004</v>
      </c>
      <c r="D302" s="61">
        <v>17277000000</v>
      </c>
      <c r="E302" s="61">
        <v>7168000000</v>
      </c>
      <c r="F302" s="61">
        <v>6552000000</v>
      </c>
      <c r="G302" s="61">
        <v>0</v>
      </c>
      <c r="H302" s="61">
        <v>0</v>
      </c>
      <c r="I302" t="s">
        <v>30</v>
      </c>
      <c r="J302" t="s">
        <v>136</v>
      </c>
      <c r="K302" s="61">
        <f t="shared" si="12"/>
        <v>10109000000</v>
      </c>
      <c r="L302" s="61">
        <f t="shared" si="13"/>
        <v>6552000000</v>
      </c>
      <c r="M302" s="61">
        <f t="shared" si="14"/>
        <v>3557000000</v>
      </c>
    </row>
    <row r="303" spans="1:13" x14ac:dyDescent="0.25">
      <c r="A303" t="s">
        <v>145</v>
      </c>
      <c r="B303" t="s">
        <v>11</v>
      </c>
      <c r="C303">
        <v>42369</v>
      </c>
      <c r="D303" s="61">
        <v>16034000000</v>
      </c>
      <c r="E303" s="61">
        <v>6635000000</v>
      </c>
      <c r="F303" s="61">
        <v>6610000000</v>
      </c>
      <c r="G303" s="61">
        <v>0</v>
      </c>
      <c r="H303" s="61">
        <v>0</v>
      </c>
      <c r="I303" t="s">
        <v>30</v>
      </c>
      <c r="J303" t="s">
        <v>136</v>
      </c>
      <c r="K303" s="61">
        <f t="shared" si="12"/>
        <v>9399000000</v>
      </c>
      <c r="L303" s="61">
        <f t="shared" si="13"/>
        <v>6610000000</v>
      </c>
      <c r="M303" s="61">
        <f t="shared" si="14"/>
        <v>2789000000</v>
      </c>
    </row>
    <row r="304" spans="1:13" x14ac:dyDescent="0.25">
      <c r="A304" t="s">
        <v>146</v>
      </c>
      <c r="B304" t="s">
        <v>6</v>
      </c>
      <c r="C304">
        <v>41455</v>
      </c>
      <c r="D304" s="61">
        <v>5533000000</v>
      </c>
      <c r="E304" s="61">
        <v>3142000000</v>
      </c>
      <c r="F304" s="61">
        <v>1291000000</v>
      </c>
      <c r="G304" s="61">
        <v>130000000</v>
      </c>
      <c r="H304" s="61">
        <v>0</v>
      </c>
      <c r="I304" t="s">
        <v>30</v>
      </c>
      <c r="J304" t="s">
        <v>136</v>
      </c>
      <c r="K304" s="61">
        <f t="shared" si="12"/>
        <v>2391000000</v>
      </c>
      <c r="L304" s="61">
        <f t="shared" si="13"/>
        <v>1421000000</v>
      </c>
      <c r="M304" s="61">
        <f t="shared" si="14"/>
        <v>970000000</v>
      </c>
    </row>
    <row r="305" spans="1:13" x14ac:dyDescent="0.25">
      <c r="A305" t="s">
        <v>146</v>
      </c>
      <c r="B305" t="s">
        <v>9</v>
      </c>
      <c r="C305">
        <v>41820</v>
      </c>
      <c r="D305" s="61">
        <v>5514000000</v>
      </c>
      <c r="E305" s="61">
        <v>3158000000</v>
      </c>
      <c r="F305" s="61">
        <v>1254000000</v>
      </c>
      <c r="G305" s="61">
        <v>125000000</v>
      </c>
      <c r="H305" s="61">
        <v>0</v>
      </c>
      <c r="I305" t="s">
        <v>30</v>
      </c>
      <c r="J305" t="s">
        <v>136</v>
      </c>
      <c r="K305" s="61">
        <f t="shared" si="12"/>
        <v>2356000000</v>
      </c>
      <c r="L305" s="61">
        <f t="shared" si="13"/>
        <v>1379000000</v>
      </c>
      <c r="M305" s="61">
        <f t="shared" si="14"/>
        <v>977000000</v>
      </c>
    </row>
    <row r="306" spans="1:13" x14ac:dyDescent="0.25">
      <c r="A306" t="s">
        <v>146</v>
      </c>
      <c r="B306" t="s">
        <v>10</v>
      </c>
      <c r="C306">
        <v>42185</v>
      </c>
      <c r="D306" s="61">
        <v>5655000000</v>
      </c>
      <c r="E306" s="61">
        <v>3190000000</v>
      </c>
      <c r="F306" s="61">
        <v>1321000000</v>
      </c>
      <c r="G306" s="61">
        <v>136000000</v>
      </c>
      <c r="H306" s="61">
        <v>0</v>
      </c>
      <c r="I306" t="s">
        <v>30</v>
      </c>
      <c r="J306" t="s">
        <v>136</v>
      </c>
      <c r="K306" s="61">
        <f t="shared" si="12"/>
        <v>2465000000</v>
      </c>
      <c r="L306" s="61">
        <f t="shared" si="13"/>
        <v>1457000000</v>
      </c>
      <c r="M306" s="61">
        <f t="shared" si="14"/>
        <v>1008000000</v>
      </c>
    </row>
    <row r="307" spans="1:13" x14ac:dyDescent="0.25">
      <c r="A307" t="s">
        <v>146</v>
      </c>
      <c r="B307" t="s">
        <v>11</v>
      </c>
      <c r="C307">
        <v>42551</v>
      </c>
      <c r="D307" s="61">
        <v>5761000000</v>
      </c>
      <c r="E307" s="61">
        <v>3163000000</v>
      </c>
      <c r="F307" s="61">
        <v>1393000000</v>
      </c>
      <c r="G307" s="61">
        <v>141000000</v>
      </c>
      <c r="H307" s="61">
        <v>0</v>
      </c>
      <c r="I307" t="s">
        <v>30</v>
      </c>
      <c r="J307" t="s">
        <v>136</v>
      </c>
      <c r="K307" s="61">
        <f t="shared" si="12"/>
        <v>2598000000</v>
      </c>
      <c r="L307" s="61">
        <f t="shared" si="13"/>
        <v>1534000000</v>
      </c>
      <c r="M307" s="61">
        <f t="shared" si="14"/>
        <v>1064000000</v>
      </c>
    </row>
    <row r="308" spans="1:13" x14ac:dyDescent="0.25">
      <c r="A308" t="s">
        <v>147</v>
      </c>
      <c r="B308" t="s">
        <v>6</v>
      </c>
      <c r="C308">
        <v>41639</v>
      </c>
      <c r="D308" s="61">
        <v>2666000000</v>
      </c>
      <c r="E308" s="61">
        <v>55000000</v>
      </c>
      <c r="F308" s="61">
        <v>1670000000</v>
      </c>
      <c r="G308" s="61">
        <v>0</v>
      </c>
      <c r="H308" s="61">
        <v>46000000</v>
      </c>
      <c r="I308" t="s">
        <v>41</v>
      </c>
      <c r="J308" t="s">
        <v>134</v>
      </c>
      <c r="K308" s="61">
        <f t="shared" si="12"/>
        <v>2611000000</v>
      </c>
      <c r="L308" s="61">
        <f t="shared" si="13"/>
        <v>1716000000</v>
      </c>
      <c r="M308" s="61">
        <f t="shared" si="14"/>
        <v>895000000</v>
      </c>
    </row>
    <row r="309" spans="1:13" x14ac:dyDescent="0.25">
      <c r="A309" t="s">
        <v>147</v>
      </c>
      <c r="B309" t="s">
        <v>9</v>
      </c>
      <c r="C309">
        <v>42004</v>
      </c>
      <c r="D309" s="61">
        <v>2607000000</v>
      </c>
      <c r="E309" s="61">
        <v>45000000</v>
      </c>
      <c r="F309" s="61">
        <v>1611000000</v>
      </c>
      <c r="G309" s="61">
        <v>0</v>
      </c>
      <c r="H309" s="61">
        <v>27000000</v>
      </c>
      <c r="I309" t="s">
        <v>41</v>
      </c>
      <c r="J309" t="s">
        <v>134</v>
      </c>
      <c r="K309" s="61">
        <f t="shared" si="12"/>
        <v>2562000000</v>
      </c>
      <c r="L309" s="61">
        <f t="shared" si="13"/>
        <v>1638000000</v>
      </c>
      <c r="M309" s="61">
        <f t="shared" si="14"/>
        <v>924000000</v>
      </c>
    </row>
    <row r="310" spans="1:13" x14ac:dyDescent="0.25">
      <c r="A310" t="s">
        <v>147</v>
      </c>
      <c r="B310" t="s">
        <v>10</v>
      </c>
      <c r="C310">
        <v>42369</v>
      </c>
      <c r="D310" s="61">
        <v>2819000000</v>
      </c>
      <c r="E310" s="61">
        <v>43000000</v>
      </c>
      <c r="F310" s="61">
        <v>1859000000</v>
      </c>
      <c r="G310" s="61">
        <v>0</v>
      </c>
      <c r="H310" s="61">
        <v>147000000</v>
      </c>
      <c r="I310" t="s">
        <v>41</v>
      </c>
      <c r="J310" t="s">
        <v>134</v>
      </c>
      <c r="K310" s="61">
        <f t="shared" si="12"/>
        <v>2776000000</v>
      </c>
      <c r="L310" s="61">
        <f t="shared" si="13"/>
        <v>2006000000</v>
      </c>
      <c r="M310" s="61">
        <f t="shared" si="14"/>
        <v>770000000</v>
      </c>
    </row>
    <row r="311" spans="1:13" x14ac:dyDescent="0.25">
      <c r="A311" t="s">
        <v>147</v>
      </c>
      <c r="B311" t="s">
        <v>11</v>
      </c>
      <c r="C311">
        <v>42735</v>
      </c>
      <c r="D311" s="61">
        <v>2960000000</v>
      </c>
      <c r="E311" s="61">
        <v>40000000</v>
      </c>
      <c r="F311" s="61">
        <v>1836000000</v>
      </c>
      <c r="G311" s="61">
        <v>0</v>
      </c>
      <c r="H311" s="61">
        <v>248000000</v>
      </c>
      <c r="I311" t="s">
        <v>41</v>
      </c>
      <c r="J311" t="s">
        <v>134</v>
      </c>
      <c r="K311" s="61">
        <f t="shared" si="12"/>
        <v>2920000000</v>
      </c>
      <c r="L311" s="61">
        <f t="shared" si="13"/>
        <v>2084000000</v>
      </c>
      <c r="M311" s="61">
        <f t="shared" si="14"/>
        <v>836000000</v>
      </c>
    </row>
    <row r="312" spans="1:13" x14ac:dyDescent="0.25">
      <c r="A312" t="s">
        <v>148</v>
      </c>
      <c r="B312" t="s">
        <v>6</v>
      </c>
      <c r="C312">
        <v>41639</v>
      </c>
      <c r="D312" s="61">
        <v>3214591000</v>
      </c>
      <c r="E312" s="61">
        <v>2359822000</v>
      </c>
      <c r="F312" s="61">
        <v>203733000</v>
      </c>
      <c r="G312" s="61">
        <v>0</v>
      </c>
      <c r="H312" s="61">
        <v>96054000</v>
      </c>
      <c r="I312" t="s">
        <v>13</v>
      </c>
      <c r="J312" t="s">
        <v>149</v>
      </c>
      <c r="K312" s="61">
        <f t="shared" si="12"/>
        <v>854769000</v>
      </c>
      <c r="L312" s="61">
        <f t="shared" si="13"/>
        <v>299787000</v>
      </c>
      <c r="M312" s="61">
        <f t="shared" si="14"/>
        <v>554982000</v>
      </c>
    </row>
    <row r="313" spans="1:13" x14ac:dyDescent="0.25">
      <c r="A313" t="s">
        <v>148</v>
      </c>
      <c r="B313" t="s">
        <v>9</v>
      </c>
      <c r="C313">
        <v>42004</v>
      </c>
      <c r="D313" s="61">
        <v>4108269000</v>
      </c>
      <c r="E313" s="61">
        <v>2990513000</v>
      </c>
      <c r="F313" s="61">
        <v>273897000</v>
      </c>
      <c r="G313" s="61">
        <v>0</v>
      </c>
      <c r="H313" s="61">
        <v>110474000</v>
      </c>
      <c r="I313" t="s">
        <v>13</v>
      </c>
      <c r="J313" t="s">
        <v>149</v>
      </c>
      <c r="K313" s="61">
        <f t="shared" si="12"/>
        <v>1117756000</v>
      </c>
      <c r="L313" s="61">
        <f t="shared" si="13"/>
        <v>384371000</v>
      </c>
      <c r="M313" s="61">
        <f t="shared" si="14"/>
        <v>733385000</v>
      </c>
    </row>
    <row r="314" spans="1:13" x14ac:dyDescent="0.25">
      <c r="A314" t="s">
        <v>148</v>
      </c>
      <c r="B314" t="s">
        <v>10</v>
      </c>
      <c r="C314">
        <v>42369</v>
      </c>
      <c r="D314" s="61">
        <v>4501223000</v>
      </c>
      <c r="E314" s="61">
        <v>3326936000</v>
      </c>
      <c r="F314" s="61">
        <v>250214000</v>
      </c>
      <c r="G314" s="61">
        <v>0</v>
      </c>
      <c r="H314" s="61">
        <v>130368000</v>
      </c>
      <c r="I314" t="s">
        <v>13</v>
      </c>
      <c r="J314" t="s">
        <v>149</v>
      </c>
      <c r="K314" s="61">
        <f t="shared" si="12"/>
        <v>1174287000</v>
      </c>
      <c r="L314" s="61">
        <f t="shared" si="13"/>
        <v>380582000</v>
      </c>
      <c r="M314" s="61">
        <f t="shared" si="14"/>
        <v>793705000</v>
      </c>
    </row>
    <row r="315" spans="1:13" x14ac:dyDescent="0.25">
      <c r="A315" t="s">
        <v>148</v>
      </c>
      <c r="B315" t="s">
        <v>11</v>
      </c>
      <c r="C315">
        <v>42735</v>
      </c>
      <c r="D315" s="61">
        <v>3904384000</v>
      </c>
      <c r="E315" s="61">
        <v>3406170000</v>
      </c>
      <c r="F315" s="61">
        <v>276240000</v>
      </c>
      <c r="G315" s="61">
        <v>0</v>
      </c>
      <c r="H315" s="61">
        <v>146368000</v>
      </c>
      <c r="I315" t="s">
        <v>13</v>
      </c>
      <c r="J315" t="s">
        <v>149</v>
      </c>
      <c r="K315" s="61">
        <f t="shared" si="12"/>
        <v>498214000</v>
      </c>
      <c r="L315" s="61">
        <f t="shared" si="13"/>
        <v>422608000</v>
      </c>
      <c r="M315" s="61">
        <f t="shared" si="14"/>
        <v>75606000</v>
      </c>
    </row>
    <row r="316" spans="1:13" x14ac:dyDescent="0.25">
      <c r="A316" t="s">
        <v>150</v>
      </c>
      <c r="B316" t="s">
        <v>6</v>
      </c>
      <c r="C316">
        <v>41639</v>
      </c>
      <c r="D316" s="61">
        <v>17301000000</v>
      </c>
      <c r="E316" s="61">
        <v>13021000000</v>
      </c>
      <c r="F316" s="61">
        <v>1827000000</v>
      </c>
      <c r="G316" s="61">
        <v>713000000</v>
      </c>
      <c r="H316" s="61">
        <v>0</v>
      </c>
      <c r="I316" t="s">
        <v>7</v>
      </c>
      <c r="J316" t="s">
        <v>151</v>
      </c>
      <c r="K316" s="61">
        <f t="shared" si="12"/>
        <v>4280000000</v>
      </c>
      <c r="L316" s="61">
        <f t="shared" si="13"/>
        <v>2540000000</v>
      </c>
      <c r="M316" s="61">
        <f t="shared" si="14"/>
        <v>1740000000</v>
      </c>
    </row>
    <row r="317" spans="1:13" x14ac:dyDescent="0.25">
      <c r="A317" t="s">
        <v>150</v>
      </c>
      <c r="B317" t="s">
        <v>9</v>
      </c>
      <c r="C317">
        <v>42004</v>
      </c>
      <c r="D317" s="61">
        <v>19221000000</v>
      </c>
      <c r="E317" s="61">
        <v>14360000000</v>
      </c>
      <c r="F317" s="61">
        <v>2112000000</v>
      </c>
      <c r="G317" s="61">
        <v>754000000</v>
      </c>
      <c r="H317" s="61">
        <v>0</v>
      </c>
      <c r="I317" t="s">
        <v>7</v>
      </c>
      <c r="J317" t="s">
        <v>151</v>
      </c>
      <c r="K317" s="61">
        <f t="shared" si="12"/>
        <v>4861000000</v>
      </c>
      <c r="L317" s="61">
        <f t="shared" si="13"/>
        <v>2866000000</v>
      </c>
      <c r="M317" s="61">
        <f t="shared" si="14"/>
        <v>1995000000</v>
      </c>
    </row>
    <row r="318" spans="1:13" x14ac:dyDescent="0.25">
      <c r="A318" t="s">
        <v>150</v>
      </c>
      <c r="B318" t="s">
        <v>10</v>
      </c>
      <c r="C318">
        <v>42369</v>
      </c>
      <c r="D318" s="61">
        <v>19110000000</v>
      </c>
      <c r="E318" s="61">
        <v>14163000000</v>
      </c>
      <c r="F318" s="61">
        <v>2169000000</v>
      </c>
      <c r="G318" s="61">
        <v>735000000</v>
      </c>
      <c r="H318" s="61">
        <v>0</v>
      </c>
      <c r="I318" t="s">
        <v>7</v>
      </c>
      <c r="J318" t="s">
        <v>151</v>
      </c>
      <c r="K318" s="61">
        <f t="shared" si="12"/>
        <v>4947000000</v>
      </c>
      <c r="L318" s="61">
        <f t="shared" si="13"/>
        <v>2904000000</v>
      </c>
      <c r="M318" s="61">
        <f t="shared" si="14"/>
        <v>2043000000</v>
      </c>
    </row>
    <row r="319" spans="1:13" x14ac:dyDescent="0.25">
      <c r="A319" t="s">
        <v>150</v>
      </c>
      <c r="B319" t="s">
        <v>11</v>
      </c>
      <c r="C319">
        <v>42735</v>
      </c>
      <c r="D319" s="61">
        <v>17509000000</v>
      </c>
      <c r="E319" s="61">
        <v>13057000000</v>
      </c>
      <c r="F319" s="61">
        <v>2189000000</v>
      </c>
      <c r="G319" s="61">
        <v>636000000</v>
      </c>
      <c r="H319" s="61">
        <v>0</v>
      </c>
      <c r="I319" t="s">
        <v>7</v>
      </c>
      <c r="J319" t="s">
        <v>151</v>
      </c>
      <c r="K319" s="61">
        <f t="shared" si="12"/>
        <v>4452000000</v>
      </c>
      <c r="L319" s="61">
        <f t="shared" si="13"/>
        <v>2825000000</v>
      </c>
      <c r="M319" s="61">
        <f t="shared" si="14"/>
        <v>1627000000</v>
      </c>
    </row>
    <row r="320" spans="1:13" x14ac:dyDescent="0.25">
      <c r="A320" t="s">
        <v>152</v>
      </c>
      <c r="B320" t="s">
        <v>6</v>
      </c>
      <c r="C320">
        <v>41639</v>
      </c>
      <c r="D320" s="61">
        <v>6566000000</v>
      </c>
      <c r="E320" s="61">
        <v>4562000000</v>
      </c>
      <c r="F320" s="61">
        <v>234000000</v>
      </c>
      <c r="G320" s="61">
        <v>0</v>
      </c>
      <c r="H320" s="61">
        <v>628000000</v>
      </c>
      <c r="I320" t="s">
        <v>36</v>
      </c>
      <c r="J320" t="s">
        <v>37</v>
      </c>
      <c r="K320" s="61">
        <f t="shared" si="12"/>
        <v>2004000000</v>
      </c>
      <c r="L320" s="61">
        <f t="shared" si="13"/>
        <v>862000000</v>
      </c>
      <c r="M320" s="61">
        <f t="shared" si="14"/>
        <v>1142000000</v>
      </c>
    </row>
    <row r="321" spans="1:13" x14ac:dyDescent="0.25">
      <c r="A321" t="s">
        <v>152</v>
      </c>
      <c r="B321" t="s">
        <v>9</v>
      </c>
      <c r="C321">
        <v>42004</v>
      </c>
      <c r="D321" s="61">
        <v>7179000000</v>
      </c>
      <c r="E321" s="61">
        <v>5090000000</v>
      </c>
      <c r="F321" s="61">
        <v>252000000</v>
      </c>
      <c r="G321" s="61">
        <v>0</v>
      </c>
      <c r="H321" s="61">
        <v>685000000</v>
      </c>
      <c r="I321" t="s">
        <v>36</v>
      </c>
      <c r="J321" t="s">
        <v>37</v>
      </c>
      <c r="K321" s="61">
        <f t="shared" si="12"/>
        <v>2089000000</v>
      </c>
      <c r="L321" s="61">
        <f t="shared" si="13"/>
        <v>937000000</v>
      </c>
      <c r="M321" s="61">
        <f t="shared" si="14"/>
        <v>1152000000</v>
      </c>
    </row>
    <row r="322" spans="1:13" x14ac:dyDescent="0.25">
      <c r="A322" t="s">
        <v>152</v>
      </c>
      <c r="B322" t="s">
        <v>10</v>
      </c>
      <c r="C322">
        <v>42369</v>
      </c>
      <c r="D322" s="61">
        <v>6456000000</v>
      </c>
      <c r="E322" s="61">
        <v>4281000000</v>
      </c>
      <c r="F322" s="61">
        <v>262000000</v>
      </c>
      <c r="G322" s="61">
        <v>0</v>
      </c>
      <c r="H322" s="61">
        <v>750000000</v>
      </c>
      <c r="I322" t="s">
        <v>36</v>
      </c>
      <c r="J322" t="s">
        <v>37</v>
      </c>
      <c r="K322" s="61">
        <f t="shared" ref="K322:K385" si="15">D322-E322</f>
        <v>2175000000</v>
      </c>
      <c r="L322" s="61">
        <f t="shared" ref="L322:L385" si="16">F322+G322+H322</f>
        <v>1012000000</v>
      </c>
      <c r="M322" s="61">
        <f t="shared" si="14"/>
        <v>1163000000</v>
      </c>
    </row>
    <row r="323" spans="1:13" x14ac:dyDescent="0.25">
      <c r="A323" t="s">
        <v>152</v>
      </c>
      <c r="B323" t="s">
        <v>11</v>
      </c>
      <c r="C323">
        <v>42735</v>
      </c>
      <c r="D323" s="61">
        <v>6399000000</v>
      </c>
      <c r="E323" s="61">
        <v>4010000000</v>
      </c>
      <c r="F323" s="61">
        <v>281000000</v>
      </c>
      <c r="G323" s="61">
        <v>0</v>
      </c>
      <c r="H323" s="61">
        <v>811000000</v>
      </c>
      <c r="I323" t="s">
        <v>36</v>
      </c>
      <c r="J323" t="s">
        <v>37</v>
      </c>
      <c r="K323" s="61">
        <f t="shared" si="15"/>
        <v>2389000000</v>
      </c>
      <c r="L323" s="61">
        <f t="shared" si="16"/>
        <v>1092000000</v>
      </c>
      <c r="M323" s="61">
        <f t="shared" ref="M323:M386" si="17">K323-L323</f>
        <v>1297000000</v>
      </c>
    </row>
    <row r="324" spans="1:13" x14ac:dyDescent="0.25">
      <c r="A324" t="s">
        <v>153</v>
      </c>
      <c r="B324" t="s">
        <v>6</v>
      </c>
      <c r="C324">
        <v>41274</v>
      </c>
      <c r="D324" s="61">
        <v>8110000000</v>
      </c>
      <c r="E324" s="61">
        <v>6781000000</v>
      </c>
      <c r="F324" s="61">
        <v>1105000000</v>
      </c>
      <c r="G324" s="61">
        <v>0</v>
      </c>
      <c r="H324" s="61">
        <v>88000000</v>
      </c>
      <c r="I324" t="s">
        <v>19</v>
      </c>
      <c r="J324" t="s">
        <v>75</v>
      </c>
      <c r="K324" s="61">
        <f t="shared" si="15"/>
        <v>1329000000</v>
      </c>
      <c r="L324" s="61">
        <f t="shared" si="16"/>
        <v>1193000000</v>
      </c>
      <c r="M324" s="61">
        <f t="shared" si="17"/>
        <v>136000000</v>
      </c>
    </row>
    <row r="325" spans="1:13" x14ac:dyDescent="0.25">
      <c r="A325" t="s">
        <v>153</v>
      </c>
      <c r="B325" t="s">
        <v>9</v>
      </c>
      <c r="C325">
        <v>41639</v>
      </c>
      <c r="D325" s="61">
        <v>10863000000</v>
      </c>
      <c r="E325" s="61">
        <v>8995000000</v>
      </c>
      <c r="F325" s="61">
        <v>1264000000</v>
      </c>
      <c r="G325" s="61">
        <v>0</v>
      </c>
      <c r="H325" s="61">
        <v>327000000</v>
      </c>
      <c r="I325" t="s">
        <v>19</v>
      </c>
      <c r="J325" t="s">
        <v>75</v>
      </c>
      <c r="K325" s="61">
        <f t="shared" si="15"/>
        <v>1868000000</v>
      </c>
      <c r="L325" s="61">
        <f t="shared" si="16"/>
        <v>1591000000</v>
      </c>
      <c r="M325" s="61">
        <f t="shared" si="17"/>
        <v>277000000</v>
      </c>
    </row>
    <row r="326" spans="1:13" x14ac:dyDescent="0.25">
      <c r="A326" t="s">
        <v>153</v>
      </c>
      <c r="B326" t="s">
        <v>10</v>
      </c>
      <c r="C326">
        <v>42004</v>
      </c>
      <c r="D326" s="61">
        <v>16560000000</v>
      </c>
      <c r="E326" s="61">
        <v>12678000000</v>
      </c>
      <c r="F326" s="61">
        <v>2012000000</v>
      </c>
      <c r="G326" s="61">
        <v>0</v>
      </c>
      <c r="H326" s="61">
        <v>1406000000</v>
      </c>
      <c r="I326" t="s">
        <v>19</v>
      </c>
      <c r="J326" t="s">
        <v>75</v>
      </c>
      <c r="K326" s="61">
        <f t="shared" si="15"/>
        <v>3882000000</v>
      </c>
      <c r="L326" s="61">
        <f t="shared" si="16"/>
        <v>3418000000</v>
      </c>
      <c r="M326" s="61">
        <f t="shared" si="17"/>
        <v>464000000</v>
      </c>
    </row>
    <row r="327" spans="1:13" x14ac:dyDescent="0.25">
      <c r="A327" t="s">
        <v>153</v>
      </c>
      <c r="B327" t="s">
        <v>11</v>
      </c>
      <c r="C327">
        <v>42369</v>
      </c>
      <c r="D327" s="61">
        <v>22760000000</v>
      </c>
      <c r="E327" s="61">
        <v>17242000000</v>
      </c>
      <c r="F327" s="61">
        <v>2977000000</v>
      </c>
      <c r="G327" s="61">
        <v>0</v>
      </c>
      <c r="H327" s="61">
        <v>1836000000</v>
      </c>
      <c r="I327" t="s">
        <v>19</v>
      </c>
      <c r="J327" t="s">
        <v>75</v>
      </c>
      <c r="K327" s="61">
        <f t="shared" si="15"/>
        <v>5518000000</v>
      </c>
      <c r="L327" s="61">
        <f t="shared" si="16"/>
        <v>4813000000</v>
      </c>
      <c r="M327" s="61">
        <f t="shared" si="17"/>
        <v>705000000</v>
      </c>
    </row>
    <row r="328" spans="1:13" x14ac:dyDescent="0.25">
      <c r="A328" t="s">
        <v>154</v>
      </c>
      <c r="B328" t="s">
        <v>6</v>
      </c>
      <c r="C328">
        <v>41274</v>
      </c>
      <c r="D328" s="61">
        <v>7452000000</v>
      </c>
      <c r="E328" s="61">
        <v>4747000000</v>
      </c>
      <c r="F328" s="61">
        <v>365000000</v>
      </c>
      <c r="G328" s="61">
        <v>0</v>
      </c>
      <c r="H328" s="61">
        <v>1050000000</v>
      </c>
      <c r="I328" t="s">
        <v>36</v>
      </c>
      <c r="J328" t="s">
        <v>37</v>
      </c>
      <c r="K328" s="61">
        <f t="shared" si="15"/>
        <v>2705000000</v>
      </c>
      <c r="L328" s="61">
        <f t="shared" si="16"/>
        <v>1415000000</v>
      </c>
      <c r="M328" s="61">
        <f t="shared" si="17"/>
        <v>1290000000</v>
      </c>
    </row>
    <row r="329" spans="1:13" x14ac:dyDescent="0.25">
      <c r="A329" t="s">
        <v>154</v>
      </c>
      <c r="B329" t="s">
        <v>9</v>
      </c>
      <c r="C329">
        <v>41639</v>
      </c>
      <c r="D329" s="61">
        <v>8106000000</v>
      </c>
      <c r="E329" s="61">
        <v>5755000000</v>
      </c>
      <c r="F329" s="61">
        <v>387000000</v>
      </c>
      <c r="G329" s="61">
        <v>0</v>
      </c>
      <c r="H329" s="61">
        <v>954000000</v>
      </c>
      <c r="I329" t="s">
        <v>36</v>
      </c>
      <c r="J329" t="s">
        <v>37</v>
      </c>
      <c r="K329" s="61">
        <f t="shared" si="15"/>
        <v>2351000000</v>
      </c>
      <c r="L329" s="61">
        <f t="shared" si="16"/>
        <v>1341000000</v>
      </c>
      <c r="M329" s="61">
        <f t="shared" si="17"/>
        <v>1010000000</v>
      </c>
    </row>
    <row r="330" spans="1:13" x14ac:dyDescent="0.25">
      <c r="A330" t="s">
        <v>154</v>
      </c>
      <c r="B330" t="s">
        <v>10</v>
      </c>
      <c r="C330">
        <v>42004</v>
      </c>
      <c r="D330" s="61">
        <v>9226000000</v>
      </c>
      <c r="E330" s="61">
        <v>6890000000</v>
      </c>
      <c r="F330" s="61">
        <v>388000000</v>
      </c>
      <c r="G330" s="61">
        <v>0</v>
      </c>
      <c r="H330" s="61">
        <v>1013000000</v>
      </c>
      <c r="I330" t="s">
        <v>36</v>
      </c>
      <c r="J330" t="s">
        <v>37</v>
      </c>
      <c r="K330" s="61">
        <f t="shared" si="15"/>
        <v>2336000000</v>
      </c>
      <c r="L330" s="61">
        <f t="shared" si="16"/>
        <v>1401000000</v>
      </c>
      <c r="M330" s="61">
        <f t="shared" si="17"/>
        <v>935000000</v>
      </c>
    </row>
    <row r="331" spans="1:13" x14ac:dyDescent="0.25">
      <c r="A331" t="s">
        <v>154</v>
      </c>
      <c r="B331" t="s">
        <v>11</v>
      </c>
      <c r="C331">
        <v>42369</v>
      </c>
      <c r="D331" s="61">
        <v>7386000000</v>
      </c>
      <c r="E331" s="61">
        <v>5109000000</v>
      </c>
      <c r="F331" s="61">
        <v>374000000</v>
      </c>
      <c r="G331" s="61">
        <v>0</v>
      </c>
      <c r="H331" s="61">
        <v>970000000</v>
      </c>
      <c r="I331" t="s">
        <v>36</v>
      </c>
      <c r="J331" t="s">
        <v>37</v>
      </c>
      <c r="K331" s="61">
        <f t="shared" si="15"/>
        <v>2277000000</v>
      </c>
      <c r="L331" s="61">
        <f t="shared" si="16"/>
        <v>1344000000</v>
      </c>
      <c r="M331" s="61">
        <f t="shared" si="17"/>
        <v>933000000</v>
      </c>
    </row>
    <row r="332" spans="1:13" x14ac:dyDescent="0.25">
      <c r="A332" t="s">
        <v>155</v>
      </c>
      <c r="B332" t="s">
        <v>6</v>
      </c>
      <c r="C332">
        <v>41274</v>
      </c>
      <c r="D332" s="61">
        <v>23771000000</v>
      </c>
      <c r="E332" s="61">
        <v>1403000000</v>
      </c>
      <c r="F332" s="61">
        <v>11188000000</v>
      </c>
      <c r="G332" s="61">
        <v>0</v>
      </c>
      <c r="H332" s="61">
        <v>5024000000</v>
      </c>
      <c r="I332" t="s">
        <v>41</v>
      </c>
      <c r="J332" t="s">
        <v>94</v>
      </c>
      <c r="K332" s="61">
        <f t="shared" si="15"/>
        <v>22368000000</v>
      </c>
      <c r="L332" s="61">
        <f t="shared" si="16"/>
        <v>16212000000</v>
      </c>
      <c r="M332" s="61">
        <f t="shared" si="17"/>
        <v>6156000000</v>
      </c>
    </row>
    <row r="333" spans="1:13" x14ac:dyDescent="0.25">
      <c r="A333" t="s">
        <v>155</v>
      </c>
      <c r="B333" t="s">
        <v>9</v>
      </c>
      <c r="C333">
        <v>41639</v>
      </c>
      <c r="D333" s="61">
        <v>24176000000</v>
      </c>
      <c r="E333" s="61">
        <v>1241000000</v>
      </c>
      <c r="F333" s="61">
        <v>11682000000</v>
      </c>
      <c r="G333" s="61">
        <v>0</v>
      </c>
      <c r="H333" s="61">
        <v>4124000000</v>
      </c>
      <c r="I333" t="s">
        <v>41</v>
      </c>
      <c r="J333" t="s">
        <v>94</v>
      </c>
      <c r="K333" s="61">
        <f t="shared" si="15"/>
        <v>22935000000</v>
      </c>
      <c r="L333" s="61">
        <f t="shared" si="16"/>
        <v>15806000000</v>
      </c>
      <c r="M333" s="61">
        <f t="shared" si="17"/>
        <v>7129000000</v>
      </c>
    </row>
    <row r="334" spans="1:13" x14ac:dyDescent="0.25">
      <c r="A334" t="s">
        <v>155</v>
      </c>
      <c r="B334" t="s">
        <v>10</v>
      </c>
      <c r="C334">
        <v>42004</v>
      </c>
      <c r="D334" s="61">
        <v>23869000000</v>
      </c>
      <c r="E334" s="61">
        <v>1088000000</v>
      </c>
      <c r="F334" s="61">
        <v>11648000000</v>
      </c>
      <c r="G334" s="61">
        <v>0</v>
      </c>
      <c r="H334" s="61">
        <v>4073000000</v>
      </c>
      <c r="I334" t="s">
        <v>41</v>
      </c>
      <c r="J334" t="s">
        <v>94</v>
      </c>
      <c r="K334" s="61">
        <f t="shared" si="15"/>
        <v>22781000000</v>
      </c>
      <c r="L334" s="61">
        <f t="shared" si="16"/>
        <v>15721000000</v>
      </c>
      <c r="M334" s="61">
        <f t="shared" si="17"/>
        <v>7060000000</v>
      </c>
    </row>
    <row r="335" spans="1:13" x14ac:dyDescent="0.25">
      <c r="A335" t="s">
        <v>155</v>
      </c>
      <c r="B335" t="s">
        <v>11</v>
      </c>
      <c r="C335">
        <v>42369</v>
      </c>
      <c r="D335" s="61">
        <v>25038000000</v>
      </c>
      <c r="E335" s="61">
        <v>1091000000</v>
      </c>
      <c r="F335" s="61">
        <v>12566000000</v>
      </c>
      <c r="G335" s="61">
        <v>0</v>
      </c>
      <c r="H335" s="61">
        <v>4966000000</v>
      </c>
      <c r="I335" t="s">
        <v>41</v>
      </c>
      <c r="J335" t="s">
        <v>94</v>
      </c>
      <c r="K335" s="61">
        <f t="shared" si="15"/>
        <v>23947000000</v>
      </c>
      <c r="L335" s="61">
        <f t="shared" si="16"/>
        <v>17532000000</v>
      </c>
      <c r="M335" s="61">
        <f t="shared" si="17"/>
        <v>6415000000</v>
      </c>
    </row>
    <row r="336" spans="1:13" x14ac:dyDescent="0.25">
      <c r="A336" t="s">
        <v>156</v>
      </c>
      <c r="B336" t="s">
        <v>6</v>
      </c>
      <c r="C336">
        <v>41274</v>
      </c>
      <c r="D336" s="61">
        <v>1204546000</v>
      </c>
      <c r="E336" s="61">
        <v>290054000</v>
      </c>
      <c r="F336" s="61">
        <v>170113000</v>
      </c>
      <c r="G336" s="61">
        <v>0</v>
      </c>
      <c r="H336" s="61">
        <v>451405000</v>
      </c>
      <c r="I336" t="s">
        <v>77</v>
      </c>
      <c r="J336" t="s">
        <v>78</v>
      </c>
      <c r="K336" s="61">
        <f t="shared" si="15"/>
        <v>914492000</v>
      </c>
      <c r="L336" s="61">
        <f t="shared" si="16"/>
        <v>621518000</v>
      </c>
      <c r="M336" s="61">
        <f t="shared" si="17"/>
        <v>292974000</v>
      </c>
    </row>
    <row r="337" spans="1:13" x14ac:dyDescent="0.25">
      <c r="A337" t="s">
        <v>156</v>
      </c>
      <c r="B337" t="s">
        <v>9</v>
      </c>
      <c r="C337">
        <v>41639</v>
      </c>
      <c r="D337" s="61">
        <v>1746278000</v>
      </c>
      <c r="E337" s="61">
        <v>400281000</v>
      </c>
      <c r="F337" s="61">
        <v>147651000</v>
      </c>
      <c r="G337" s="61">
        <v>0</v>
      </c>
      <c r="H337" s="61">
        <v>651052000</v>
      </c>
      <c r="I337" t="s">
        <v>77</v>
      </c>
      <c r="J337" t="s">
        <v>78</v>
      </c>
      <c r="K337" s="61">
        <f t="shared" si="15"/>
        <v>1345997000</v>
      </c>
      <c r="L337" s="61">
        <f t="shared" si="16"/>
        <v>798703000</v>
      </c>
      <c r="M337" s="61">
        <f t="shared" si="17"/>
        <v>547294000</v>
      </c>
    </row>
    <row r="338" spans="1:13" x14ac:dyDescent="0.25">
      <c r="A338" t="s">
        <v>156</v>
      </c>
      <c r="B338" t="s">
        <v>10</v>
      </c>
      <c r="C338">
        <v>42004</v>
      </c>
      <c r="D338" s="61">
        <v>2173011000</v>
      </c>
      <c r="E338" s="61">
        <v>524880000</v>
      </c>
      <c r="F338" s="61">
        <v>129602000</v>
      </c>
      <c r="G338" s="61">
        <v>0</v>
      </c>
      <c r="H338" s="61">
        <v>632760000</v>
      </c>
      <c r="I338" t="s">
        <v>77</v>
      </c>
      <c r="J338" t="s">
        <v>78</v>
      </c>
      <c r="K338" s="61">
        <f t="shared" si="15"/>
        <v>1648131000</v>
      </c>
      <c r="L338" s="61">
        <f t="shared" si="16"/>
        <v>762362000</v>
      </c>
      <c r="M338" s="61">
        <f t="shared" si="17"/>
        <v>885769000</v>
      </c>
    </row>
    <row r="339" spans="1:13" x14ac:dyDescent="0.25">
      <c r="A339" t="s">
        <v>156</v>
      </c>
      <c r="B339" t="s">
        <v>11</v>
      </c>
      <c r="C339">
        <v>42369</v>
      </c>
      <c r="D339" s="61">
        <v>1357150000</v>
      </c>
      <c r="E339" s="61">
        <v>580994000</v>
      </c>
      <c r="F339" s="61">
        <v>112253000</v>
      </c>
      <c r="G339" s="61">
        <v>0</v>
      </c>
      <c r="H339" s="61">
        <v>622211000</v>
      </c>
      <c r="I339" t="s">
        <v>77</v>
      </c>
      <c r="J339" t="s">
        <v>78</v>
      </c>
      <c r="K339" s="61">
        <f t="shared" si="15"/>
        <v>776156000</v>
      </c>
      <c r="L339" s="61">
        <f t="shared" si="16"/>
        <v>734464000</v>
      </c>
      <c r="M339" s="61">
        <f t="shared" si="17"/>
        <v>41692000</v>
      </c>
    </row>
    <row r="340" spans="1:13" x14ac:dyDescent="0.25">
      <c r="A340" t="s">
        <v>157</v>
      </c>
      <c r="B340" t="s">
        <v>6</v>
      </c>
      <c r="C340">
        <v>41547</v>
      </c>
      <c r="D340" s="61">
        <v>4474000000</v>
      </c>
      <c r="E340" s="61">
        <v>3103000000</v>
      </c>
      <c r="F340" s="61">
        <v>495000000</v>
      </c>
      <c r="G340" s="61">
        <v>0</v>
      </c>
      <c r="H340" s="61">
        <v>0</v>
      </c>
      <c r="I340" t="s">
        <v>7</v>
      </c>
      <c r="J340" t="s">
        <v>158</v>
      </c>
      <c r="K340" s="61">
        <f t="shared" si="15"/>
        <v>1371000000</v>
      </c>
      <c r="L340" s="61">
        <f t="shared" si="16"/>
        <v>495000000</v>
      </c>
      <c r="M340" s="61">
        <f t="shared" si="17"/>
        <v>876000000</v>
      </c>
    </row>
    <row r="341" spans="1:13" x14ac:dyDescent="0.25">
      <c r="A341" t="s">
        <v>157</v>
      </c>
      <c r="B341" t="s">
        <v>9</v>
      </c>
      <c r="C341">
        <v>41912</v>
      </c>
      <c r="D341" s="61">
        <v>4979000000</v>
      </c>
      <c r="E341" s="61">
        <v>3469000000</v>
      </c>
      <c r="F341" s="61">
        <v>594000000</v>
      </c>
      <c r="G341" s="61">
        <v>0</v>
      </c>
      <c r="H341" s="61">
        <v>0</v>
      </c>
      <c r="I341" t="s">
        <v>7</v>
      </c>
      <c r="J341" t="s">
        <v>158</v>
      </c>
      <c r="K341" s="61">
        <f t="shared" si="15"/>
        <v>1510000000</v>
      </c>
      <c r="L341" s="61">
        <f t="shared" si="16"/>
        <v>594000000</v>
      </c>
      <c r="M341" s="61">
        <f t="shared" si="17"/>
        <v>916000000</v>
      </c>
    </row>
    <row r="342" spans="1:13" x14ac:dyDescent="0.25">
      <c r="A342" t="s">
        <v>157</v>
      </c>
      <c r="B342" t="s">
        <v>10</v>
      </c>
      <c r="C342">
        <v>42277</v>
      </c>
      <c r="D342" s="61">
        <v>5244000000</v>
      </c>
      <c r="E342" s="61">
        <v>3630000000</v>
      </c>
      <c r="F342" s="61">
        <v>606000000</v>
      </c>
      <c r="G342" s="61">
        <v>0</v>
      </c>
      <c r="H342" s="61">
        <v>0</v>
      </c>
      <c r="I342" t="s">
        <v>7</v>
      </c>
      <c r="J342" t="s">
        <v>158</v>
      </c>
      <c r="K342" s="61">
        <f t="shared" si="15"/>
        <v>1614000000</v>
      </c>
      <c r="L342" s="61">
        <f t="shared" si="16"/>
        <v>606000000</v>
      </c>
      <c r="M342" s="61">
        <f t="shared" si="17"/>
        <v>1008000000</v>
      </c>
    </row>
    <row r="343" spans="1:13" x14ac:dyDescent="0.25">
      <c r="A343" t="s">
        <v>157</v>
      </c>
      <c r="B343" t="s">
        <v>11</v>
      </c>
      <c r="C343">
        <v>42643</v>
      </c>
      <c r="D343" s="61">
        <v>5259000000</v>
      </c>
      <c r="E343" s="61">
        <v>3642000000</v>
      </c>
      <c r="F343" s="61">
        <v>638000000</v>
      </c>
      <c r="G343" s="61">
        <v>0</v>
      </c>
      <c r="H343" s="61">
        <v>0</v>
      </c>
      <c r="I343" t="s">
        <v>7</v>
      </c>
      <c r="J343" t="s">
        <v>158</v>
      </c>
      <c r="K343" s="61">
        <f t="shared" si="15"/>
        <v>1617000000</v>
      </c>
      <c r="L343" s="61">
        <f t="shared" si="16"/>
        <v>638000000</v>
      </c>
      <c r="M343" s="61">
        <f t="shared" si="17"/>
        <v>979000000</v>
      </c>
    </row>
    <row r="344" spans="1:13" x14ac:dyDescent="0.25">
      <c r="A344" t="s">
        <v>159</v>
      </c>
      <c r="B344" t="s">
        <v>6</v>
      </c>
      <c r="C344">
        <v>41578</v>
      </c>
      <c r="D344" s="61">
        <v>1587725000</v>
      </c>
      <c r="E344" s="61">
        <v>560917000</v>
      </c>
      <c r="F344" s="61">
        <v>610735000</v>
      </c>
      <c r="G344" s="61">
        <v>58827000</v>
      </c>
      <c r="H344" s="61">
        <v>30239000</v>
      </c>
      <c r="I344" t="s">
        <v>19</v>
      </c>
      <c r="J344" t="s">
        <v>160</v>
      </c>
      <c r="K344" s="61">
        <f t="shared" si="15"/>
        <v>1026808000</v>
      </c>
      <c r="L344" s="61">
        <f t="shared" si="16"/>
        <v>699801000</v>
      </c>
      <c r="M344" s="61">
        <f t="shared" si="17"/>
        <v>327007000</v>
      </c>
    </row>
    <row r="345" spans="1:13" x14ac:dyDescent="0.25">
      <c r="A345" t="s">
        <v>159</v>
      </c>
      <c r="B345" t="s">
        <v>9</v>
      </c>
      <c r="C345">
        <v>41943</v>
      </c>
      <c r="D345" s="61">
        <v>1717776000</v>
      </c>
      <c r="E345" s="61">
        <v>626206000</v>
      </c>
      <c r="F345" s="61">
        <v>683115000</v>
      </c>
      <c r="G345" s="61">
        <v>66259000</v>
      </c>
      <c r="H345" s="61">
        <v>35710000</v>
      </c>
      <c r="I345" t="s">
        <v>19</v>
      </c>
      <c r="J345" t="s">
        <v>160</v>
      </c>
      <c r="K345" s="61">
        <f t="shared" si="15"/>
        <v>1091570000</v>
      </c>
      <c r="L345" s="61">
        <f t="shared" si="16"/>
        <v>785084000</v>
      </c>
      <c r="M345" s="61">
        <f t="shared" si="17"/>
        <v>306486000</v>
      </c>
    </row>
    <row r="346" spans="1:13" x14ac:dyDescent="0.25">
      <c r="A346" t="s">
        <v>159</v>
      </c>
      <c r="B346" t="s">
        <v>10</v>
      </c>
      <c r="C346">
        <v>42308</v>
      </c>
      <c r="D346" s="61">
        <v>1797060000</v>
      </c>
      <c r="E346" s="61">
        <v>726798000</v>
      </c>
      <c r="F346" s="61">
        <v>712543000</v>
      </c>
      <c r="G346" s="61">
        <v>69589000</v>
      </c>
      <c r="H346" s="61">
        <v>51459000</v>
      </c>
      <c r="I346" t="s">
        <v>19</v>
      </c>
      <c r="J346" t="s">
        <v>160</v>
      </c>
      <c r="K346" s="61">
        <f t="shared" si="15"/>
        <v>1070262000</v>
      </c>
      <c r="L346" s="61">
        <f t="shared" si="16"/>
        <v>833591000</v>
      </c>
      <c r="M346" s="61">
        <f t="shared" si="17"/>
        <v>236671000</v>
      </c>
    </row>
    <row r="347" spans="1:13" x14ac:dyDescent="0.25">
      <c r="A347" t="s">
        <v>159</v>
      </c>
      <c r="B347" t="s">
        <v>11</v>
      </c>
      <c r="C347">
        <v>42674</v>
      </c>
      <c r="D347" s="61">
        <v>1966814000</v>
      </c>
      <c r="E347" s="61">
        <v>793735000</v>
      </c>
      <c r="F347" s="61">
        <v>722798000</v>
      </c>
      <c r="G347" s="61">
        <v>65411000</v>
      </c>
      <c r="H347" s="61">
        <v>60790000</v>
      </c>
      <c r="I347" t="s">
        <v>19</v>
      </c>
      <c r="J347" t="s">
        <v>160</v>
      </c>
      <c r="K347" s="61">
        <f t="shared" si="15"/>
        <v>1173079000</v>
      </c>
      <c r="L347" s="61">
        <f t="shared" si="16"/>
        <v>848999000</v>
      </c>
      <c r="M347" s="61">
        <f t="shared" si="17"/>
        <v>324080000</v>
      </c>
    </row>
    <row r="348" spans="1:13" x14ac:dyDescent="0.25">
      <c r="A348" t="s">
        <v>161</v>
      </c>
      <c r="B348" t="s">
        <v>6</v>
      </c>
      <c r="C348">
        <v>41518</v>
      </c>
      <c r="D348" s="61">
        <v>105156000000</v>
      </c>
      <c r="E348" s="61">
        <v>91948000000</v>
      </c>
      <c r="F348" s="61">
        <v>10104000000</v>
      </c>
      <c r="G348" s="61">
        <v>0</v>
      </c>
      <c r="H348" s="61">
        <v>0</v>
      </c>
      <c r="I348" t="s">
        <v>30</v>
      </c>
      <c r="J348" t="s">
        <v>162</v>
      </c>
      <c r="K348" s="61">
        <f t="shared" si="15"/>
        <v>13208000000</v>
      </c>
      <c r="L348" s="61">
        <f t="shared" si="16"/>
        <v>10104000000</v>
      </c>
      <c r="M348" s="61">
        <f t="shared" si="17"/>
        <v>3104000000</v>
      </c>
    </row>
    <row r="349" spans="1:13" x14ac:dyDescent="0.25">
      <c r="A349" t="s">
        <v>161</v>
      </c>
      <c r="B349" t="s">
        <v>9</v>
      </c>
      <c r="C349">
        <v>41882</v>
      </c>
      <c r="D349" s="61">
        <v>112640000000</v>
      </c>
      <c r="E349" s="61">
        <v>98458000000</v>
      </c>
      <c r="F349" s="61">
        <v>10899000000</v>
      </c>
      <c r="G349" s="61">
        <v>0</v>
      </c>
      <c r="H349" s="61">
        <v>0</v>
      </c>
      <c r="I349" t="s">
        <v>30</v>
      </c>
      <c r="J349" t="s">
        <v>162</v>
      </c>
      <c r="K349" s="61">
        <f t="shared" si="15"/>
        <v>14182000000</v>
      </c>
      <c r="L349" s="61">
        <f t="shared" si="16"/>
        <v>10899000000</v>
      </c>
      <c r="M349" s="61">
        <f t="shared" si="17"/>
        <v>3283000000</v>
      </c>
    </row>
    <row r="350" spans="1:13" x14ac:dyDescent="0.25">
      <c r="A350" t="s">
        <v>161</v>
      </c>
      <c r="B350" t="s">
        <v>10</v>
      </c>
      <c r="C350">
        <v>42246</v>
      </c>
      <c r="D350" s="61">
        <v>116199000000</v>
      </c>
      <c r="E350" s="61">
        <v>101065000000</v>
      </c>
      <c r="F350" s="61">
        <v>11445000000</v>
      </c>
      <c r="G350" s="61">
        <v>0</v>
      </c>
      <c r="H350" s="61">
        <v>0</v>
      </c>
      <c r="I350" t="s">
        <v>30</v>
      </c>
      <c r="J350" t="s">
        <v>162</v>
      </c>
      <c r="K350" s="61">
        <f t="shared" si="15"/>
        <v>15134000000</v>
      </c>
      <c r="L350" s="61">
        <f t="shared" si="16"/>
        <v>11445000000</v>
      </c>
      <c r="M350" s="61">
        <f t="shared" si="17"/>
        <v>3689000000</v>
      </c>
    </row>
    <row r="351" spans="1:13" x14ac:dyDescent="0.25">
      <c r="A351" t="s">
        <v>161</v>
      </c>
      <c r="B351" t="s">
        <v>11</v>
      </c>
      <c r="C351">
        <v>42610</v>
      </c>
      <c r="D351" s="61">
        <v>118719000000</v>
      </c>
      <c r="E351" s="61">
        <v>102901000000</v>
      </c>
      <c r="F351" s="61">
        <v>12068000000</v>
      </c>
      <c r="G351" s="61">
        <v>0</v>
      </c>
      <c r="H351" s="61">
        <v>0</v>
      </c>
      <c r="I351" t="s">
        <v>30</v>
      </c>
      <c r="J351" t="s">
        <v>162</v>
      </c>
      <c r="K351" s="61">
        <f t="shared" si="15"/>
        <v>15818000000</v>
      </c>
      <c r="L351" s="61">
        <f t="shared" si="16"/>
        <v>12068000000</v>
      </c>
      <c r="M351" s="61">
        <f t="shared" si="17"/>
        <v>3750000000</v>
      </c>
    </row>
    <row r="352" spans="1:13" x14ac:dyDescent="0.25">
      <c r="A352" t="s">
        <v>163</v>
      </c>
      <c r="B352" t="s">
        <v>6</v>
      </c>
      <c r="C352">
        <v>37802</v>
      </c>
      <c r="D352" s="61">
        <v>1577000</v>
      </c>
      <c r="E352" s="61">
        <v>258000</v>
      </c>
      <c r="F352" s="61">
        <v>2410000</v>
      </c>
      <c r="G352" s="61">
        <v>65000</v>
      </c>
      <c r="H352" s="61">
        <v>0</v>
      </c>
      <c r="I352" t="s">
        <v>30</v>
      </c>
      <c r="J352" t="s">
        <v>164</v>
      </c>
      <c r="K352" s="61">
        <f t="shared" si="15"/>
        <v>1319000</v>
      </c>
      <c r="L352" s="61">
        <f t="shared" si="16"/>
        <v>2475000</v>
      </c>
      <c r="M352" s="61">
        <f t="shared" si="17"/>
        <v>-1156000</v>
      </c>
    </row>
    <row r="353" spans="1:13" x14ac:dyDescent="0.25">
      <c r="A353" t="s">
        <v>163</v>
      </c>
      <c r="B353" t="s">
        <v>9</v>
      </c>
      <c r="C353">
        <v>38168</v>
      </c>
      <c r="D353" s="61">
        <v>1514000</v>
      </c>
      <c r="E353" s="61">
        <v>142000</v>
      </c>
      <c r="F353" s="61">
        <v>3940000</v>
      </c>
      <c r="G353" s="61">
        <v>30000</v>
      </c>
      <c r="H353" s="61">
        <v>163000</v>
      </c>
      <c r="I353" t="s">
        <v>30</v>
      </c>
      <c r="J353" t="s">
        <v>164</v>
      </c>
      <c r="K353" s="61">
        <f t="shared" si="15"/>
        <v>1372000</v>
      </c>
      <c r="L353" s="61">
        <f t="shared" si="16"/>
        <v>4133000</v>
      </c>
      <c r="M353" s="61">
        <f t="shared" si="17"/>
        <v>-2761000</v>
      </c>
    </row>
    <row r="354" spans="1:13" x14ac:dyDescent="0.25">
      <c r="A354" t="s">
        <v>163</v>
      </c>
      <c r="B354" t="s">
        <v>10</v>
      </c>
      <c r="C354">
        <v>38776</v>
      </c>
      <c r="D354" s="61">
        <v>79562000</v>
      </c>
      <c r="E354" s="61">
        <v>75508000</v>
      </c>
      <c r="F354" s="61">
        <v>15359000</v>
      </c>
      <c r="G354" s="61">
        <v>0</v>
      </c>
      <c r="H354" s="61">
        <v>0</v>
      </c>
      <c r="I354" t="s">
        <v>30</v>
      </c>
      <c r="J354" t="s">
        <v>164</v>
      </c>
      <c r="K354" s="61">
        <f t="shared" si="15"/>
        <v>4054000</v>
      </c>
      <c r="L354" s="61">
        <f t="shared" si="16"/>
        <v>15359000</v>
      </c>
      <c r="M354" s="61">
        <f t="shared" si="17"/>
        <v>-11305000</v>
      </c>
    </row>
    <row r="355" spans="1:13" x14ac:dyDescent="0.25">
      <c r="A355" t="s">
        <v>163</v>
      </c>
      <c r="B355" t="s">
        <v>11</v>
      </c>
      <c r="C355">
        <v>39141</v>
      </c>
      <c r="D355" s="61">
        <v>99642000</v>
      </c>
      <c r="E355" s="61">
        <v>84477000</v>
      </c>
      <c r="F355" s="61">
        <v>25853000</v>
      </c>
      <c r="G355" s="61">
        <v>0</v>
      </c>
      <c r="H355" s="61">
        <v>0</v>
      </c>
      <c r="I355" t="s">
        <v>30</v>
      </c>
      <c r="J355" t="s">
        <v>164</v>
      </c>
      <c r="K355" s="61">
        <f t="shared" si="15"/>
        <v>15165000</v>
      </c>
      <c r="L355" s="61">
        <f t="shared" si="16"/>
        <v>25853000</v>
      </c>
      <c r="M355" s="61">
        <f t="shared" si="17"/>
        <v>-10688000</v>
      </c>
    </row>
    <row r="356" spans="1:13" x14ac:dyDescent="0.25">
      <c r="A356" t="s">
        <v>165</v>
      </c>
      <c r="B356" t="s">
        <v>6</v>
      </c>
      <c r="C356">
        <v>41483</v>
      </c>
      <c r="D356" s="61">
        <v>8052000000</v>
      </c>
      <c r="E356" s="61">
        <v>5140000000</v>
      </c>
      <c r="F356" s="61">
        <v>1653000000</v>
      </c>
      <c r="G356" s="61">
        <v>128000000</v>
      </c>
      <c r="H356" s="61">
        <v>0</v>
      </c>
      <c r="I356" t="s">
        <v>30</v>
      </c>
      <c r="J356" t="s">
        <v>118</v>
      </c>
      <c r="K356" s="61">
        <f t="shared" si="15"/>
        <v>2912000000</v>
      </c>
      <c r="L356" s="61">
        <f t="shared" si="16"/>
        <v>1781000000</v>
      </c>
      <c r="M356" s="61">
        <f t="shared" si="17"/>
        <v>1131000000</v>
      </c>
    </row>
    <row r="357" spans="1:13" x14ac:dyDescent="0.25">
      <c r="A357" t="s">
        <v>165</v>
      </c>
      <c r="B357" t="s">
        <v>9</v>
      </c>
      <c r="C357">
        <v>41854</v>
      </c>
      <c r="D357" s="61">
        <v>8268000000</v>
      </c>
      <c r="E357" s="61">
        <v>5297000000</v>
      </c>
      <c r="F357" s="61">
        <v>1527000000</v>
      </c>
      <c r="G357" s="61">
        <v>122000000</v>
      </c>
      <c r="H357" s="61">
        <v>0</v>
      </c>
      <c r="I357" t="s">
        <v>30</v>
      </c>
      <c r="J357" t="s">
        <v>118</v>
      </c>
      <c r="K357" s="61">
        <f t="shared" si="15"/>
        <v>2971000000</v>
      </c>
      <c r="L357" s="61">
        <f t="shared" si="16"/>
        <v>1649000000</v>
      </c>
      <c r="M357" s="61">
        <f t="shared" si="17"/>
        <v>1322000000</v>
      </c>
    </row>
    <row r="358" spans="1:13" x14ac:dyDescent="0.25">
      <c r="A358" t="s">
        <v>165</v>
      </c>
      <c r="B358" t="s">
        <v>10</v>
      </c>
      <c r="C358">
        <v>42218</v>
      </c>
      <c r="D358" s="61">
        <v>8082000000</v>
      </c>
      <c r="E358" s="61">
        <v>5300000000</v>
      </c>
      <c r="F358" s="61">
        <v>1509000000</v>
      </c>
      <c r="G358" s="61">
        <v>117000000</v>
      </c>
      <c r="H358" s="61">
        <v>0</v>
      </c>
      <c r="I358" t="s">
        <v>30</v>
      </c>
      <c r="J358" t="s">
        <v>118</v>
      </c>
      <c r="K358" s="61">
        <f t="shared" si="15"/>
        <v>2782000000</v>
      </c>
      <c r="L358" s="61">
        <f t="shared" si="16"/>
        <v>1626000000</v>
      </c>
      <c r="M358" s="61">
        <f t="shared" si="17"/>
        <v>1156000000</v>
      </c>
    </row>
    <row r="359" spans="1:13" x14ac:dyDescent="0.25">
      <c r="A359" t="s">
        <v>165</v>
      </c>
      <c r="B359" t="s">
        <v>11</v>
      </c>
      <c r="C359">
        <v>42582</v>
      </c>
      <c r="D359" s="61">
        <v>7961000000</v>
      </c>
      <c r="E359" s="61">
        <v>5181000000</v>
      </c>
      <c r="F359" s="61">
        <v>1665000000</v>
      </c>
      <c r="G359" s="61">
        <v>124000000</v>
      </c>
      <c r="H359" s="61">
        <v>0</v>
      </c>
      <c r="I359" t="s">
        <v>30</v>
      </c>
      <c r="J359" t="s">
        <v>118</v>
      </c>
      <c r="K359" s="61">
        <f t="shared" si="15"/>
        <v>2780000000</v>
      </c>
      <c r="L359" s="61">
        <f t="shared" si="16"/>
        <v>1789000000</v>
      </c>
      <c r="M359" s="61">
        <f t="shared" si="17"/>
        <v>991000000</v>
      </c>
    </row>
    <row r="360" spans="1:13" x14ac:dyDescent="0.25">
      <c r="A360" t="s">
        <v>166</v>
      </c>
      <c r="B360" t="s">
        <v>6</v>
      </c>
      <c r="C360">
        <v>41305</v>
      </c>
      <c r="D360" s="61">
        <v>3050195000</v>
      </c>
      <c r="E360" s="61">
        <v>683579000</v>
      </c>
      <c r="F360" s="61">
        <v>2047847000</v>
      </c>
      <c r="G360" s="61">
        <v>429479000</v>
      </c>
      <c r="H360" s="61">
        <v>0</v>
      </c>
      <c r="I360" t="s">
        <v>16</v>
      </c>
      <c r="J360" t="s">
        <v>51</v>
      </c>
      <c r="K360" s="61">
        <f t="shared" si="15"/>
        <v>2366616000</v>
      </c>
      <c r="L360" s="61">
        <f t="shared" si="16"/>
        <v>2477326000</v>
      </c>
      <c r="M360" s="61">
        <f t="shared" si="17"/>
        <v>-110710000</v>
      </c>
    </row>
    <row r="361" spans="1:13" x14ac:dyDescent="0.25">
      <c r="A361" t="s">
        <v>166</v>
      </c>
      <c r="B361" t="s">
        <v>9</v>
      </c>
      <c r="C361">
        <v>41670</v>
      </c>
      <c r="D361" s="61">
        <v>4071003000</v>
      </c>
      <c r="E361" s="61">
        <v>968428000</v>
      </c>
      <c r="F361" s="61">
        <v>2764851000</v>
      </c>
      <c r="G361" s="61">
        <v>623798000</v>
      </c>
      <c r="H361" s="61">
        <v>0</v>
      </c>
      <c r="I361" t="s">
        <v>16</v>
      </c>
      <c r="J361" t="s">
        <v>51</v>
      </c>
      <c r="K361" s="61">
        <f t="shared" si="15"/>
        <v>3102575000</v>
      </c>
      <c r="L361" s="61">
        <f t="shared" si="16"/>
        <v>3388649000</v>
      </c>
      <c r="M361" s="61">
        <f t="shared" si="17"/>
        <v>-286074000</v>
      </c>
    </row>
    <row r="362" spans="1:13" x14ac:dyDescent="0.25">
      <c r="A362" t="s">
        <v>166</v>
      </c>
      <c r="B362" t="s">
        <v>10</v>
      </c>
      <c r="C362">
        <v>42035</v>
      </c>
      <c r="D362" s="61">
        <v>5373586000</v>
      </c>
      <c r="E362" s="61">
        <v>1289270000</v>
      </c>
      <c r="F362" s="61">
        <v>3437032000</v>
      </c>
      <c r="G362" s="61">
        <v>792917000</v>
      </c>
      <c r="H362" s="61">
        <v>0</v>
      </c>
      <c r="I362" t="s">
        <v>16</v>
      </c>
      <c r="J362" t="s">
        <v>51</v>
      </c>
      <c r="K362" s="61">
        <f t="shared" si="15"/>
        <v>4084316000</v>
      </c>
      <c r="L362" s="61">
        <f t="shared" si="16"/>
        <v>4229949000</v>
      </c>
      <c r="M362" s="61">
        <f t="shared" si="17"/>
        <v>-145633000</v>
      </c>
    </row>
    <row r="363" spans="1:13" x14ac:dyDescent="0.25">
      <c r="A363" t="s">
        <v>166</v>
      </c>
      <c r="B363" t="s">
        <v>11</v>
      </c>
      <c r="C363">
        <v>42400</v>
      </c>
      <c r="D363" s="61">
        <v>6667216000</v>
      </c>
      <c r="E363" s="61">
        <v>1654548000</v>
      </c>
      <c r="F363" s="61">
        <v>3951445000</v>
      </c>
      <c r="G363" s="61">
        <v>946300000</v>
      </c>
      <c r="H363" s="61">
        <v>0</v>
      </c>
      <c r="I363" t="s">
        <v>16</v>
      </c>
      <c r="J363" t="s">
        <v>51</v>
      </c>
      <c r="K363" s="61">
        <f t="shared" si="15"/>
        <v>5012668000</v>
      </c>
      <c r="L363" s="61">
        <f t="shared" si="16"/>
        <v>4897745000</v>
      </c>
      <c r="M363" s="61">
        <f t="shared" si="17"/>
        <v>114923000</v>
      </c>
    </row>
    <row r="364" spans="1:13" x14ac:dyDescent="0.25">
      <c r="A364" t="s">
        <v>167</v>
      </c>
      <c r="B364" t="s">
        <v>6</v>
      </c>
      <c r="C364">
        <v>41482</v>
      </c>
      <c r="D364" s="61">
        <v>48607000000</v>
      </c>
      <c r="E364" s="61">
        <v>19167000000</v>
      </c>
      <c r="F364" s="61">
        <v>11802000000</v>
      </c>
      <c r="G364" s="61">
        <v>5942000000</v>
      </c>
      <c r="H364" s="61">
        <v>395000000</v>
      </c>
      <c r="I364" t="s">
        <v>16</v>
      </c>
      <c r="J364" t="s">
        <v>168</v>
      </c>
      <c r="K364" s="61">
        <f t="shared" si="15"/>
        <v>29440000000</v>
      </c>
      <c r="L364" s="61">
        <f t="shared" si="16"/>
        <v>18139000000</v>
      </c>
      <c r="M364" s="61">
        <f t="shared" si="17"/>
        <v>11301000000</v>
      </c>
    </row>
    <row r="365" spans="1:13" x14ac:dyDescent="0.25">
      <c r="A365" t="s">
        <v>167</v>
      </c>
      <c r="B365" t="s">
        <v>9</v>
      </c>
      <c r="C365">
        <v>41846</v>
      </c>
      <c r="D365" s="61">
        <v>47142000000</v>
      </c>
      <c r="E365" s="61">
        <v>19373000000</v>
      </c>
      <c r="F365" s="61">
        <v>11437000000</v>
      </c>
      <c r="G365" s="61">
        <v>6294000000</v>
      </c>
      <c r="H365" s="61">
        <v>275000000</v>
      </c>
      <c r="I365" t="s">
        <v>16</v>
      </c>
      <c r="J365" t="s">
        <v>168</v>
      </c>
      <c r="K365" s="61">
        <f t="shared" si="15"/>
        <v>27769000000</v>
      </c>
      <c r="L365" s="61">
        <f t="shared" si="16"/>
        <v>18006000000</v>
      </c>
      <c r="M365" s="61">
        <f t="shared" si="17"/>
        <v>9763000000</v>
      </c>
    </row>
    <row r="366" spans="1:13" x14ac:dyDescent="0.25">
      <c r="A366" t="s">
        <v>167</v>
      </c>
      <c r="B366" t="s">
        <v>10</v>
      </c>
      <c r="C366">
        <v>42210</v>
      </c>
      <c r="D366" s="61">
        <v>49161000000</v>
      </c>
      <c r="E366" s="61">
        <v>19480000000</v>
      </c>
      <c r="F366" s="61">
        <v>11861000000</v>
      </c>
      <c r="G366" s="61">
        <v>6207000000</v>
      </c>
      <c r="H366" s="61">
        <v>359000000</v>
      </c>
      <c r="I366" t="s">
        <v>16</v>
      </c>
      <c r="J366" t="s">
        <v>168</v>
      </c>
      <c r="K366" s="61">
        <f t="shared" si="15"/>
        <v>29681000000</v>
      </c>
      <c r="L366" s="61">
        <f t="shared" si="16"/>
        <v>18427000000</v>
      </c>
      <c r="M366" s="61">
        <f t="shared" si="17"/>
        <v>11254000000</v>
      </c>
    </row>
    <row r="367" spans="1:13" x14ac:dyDescent="0.25">
      <c r="A367" t="s">
        <v>167</v>
      </c>
      <c r="B367" t="s">
        <v>11</v>
      </c>
      <c r="C367">
        <v>42581</v>
      </c>
      <c r="D367" s="61">
        <v>49247000000</v>
      </c>
      <c r="E367" s="61">
        <v>18287000000</v>
      </c>
      <c r="F367" s="61">
        <v>11433000000</v>
      </c>
      <c r="G367" s="61">
        <v>6296000000</v>
      </c>
      <c r="H367" s="61">
        <v>303000000</v>
      </c>
      <c r="I367" t="s">
        <v>16</v>
      </c>
      <c r="J367" t="s">
        <v>168</v>
      </c>
      <c r="K367" s="61">
        <f t="shared" si="15"/>
        <v>30960000000</v>
      </c>
      <c r="L367" s="61">
        <f t="shared" si="16"/>
        <v>18032000000</v>
      </c>
      <c r="M367" s="61">
        <f t="shared" si="17"/>
        <v>12928000000</v>
      </c>
    </row>
    <row r="368" spans="1:13" x14ac:dyDescent="0.25">
      <c r="A368" t="s">
        <v>169</v>
      </c>
      <c r="B368" t="s">
        <v>6</v>
      </c>
      <c r="C368">
        <v>42097</v>
      </c>
      <c r="D368" s="61">
        <v>4069746000</v>
      </c>
      <c r="E368" s="61">
        <v>3282301000</v>
      </c>
      <c r="F368" s="61">
        <v>194207000</v>
      </c>
      <c r="G368" s="61">
        <v>0</v>
      </c>
      <c r="H368" s="61">
        <v>137058000</v>
      </c>
      <c r="I368" t="s">
        <v>16</v>
      </c>
      <c r="J368" t="s">
        <v>170</v>
      </c>
      <c r="K368" s="61">
        <f t="shared" si="15"/>
        <v>787445000</v>
      </c>
      <c r="L368" s="61">
        <f t="shared" si="16"/>
        <v>331265000</v>
      </c>
      <c r="M368" s="61">
        <f t="shared" si="17"/>
        <v>456180000</v>
      </c>
    </row>
    <row r="369" spans="1:13" x14ac:dyDescent="0.25">
      <c r="A369" t="s">
        <v>169</v>
      </c>
      <c r="B369" t="s">
        <v>9</v>
      </c>
      <c r="C369">
        <v>42461</v>
      </c>
      <c r="D369" s="61">
        <v>4250447000</v>
      </c>
      <c r="E369" s="61">
        <v>3575631000</v>
      </c>
      <c r="F369" s="61">
        <v>187244000</v>
      </c>
      <c r="G369" s="61">
        <v>0</v>
      </c>
      <c r="H369" s="61">
        <v>182242000</v>
      </c>
      <c r="I369" t="s">
        <v>16</v>
      </c>
      <c r="J369" t="s">
        <v>170</v>
      </c>
      <c r="K369" s="61">
        <f t="shared" si="15"/>
        <v>674816000</v>
      </c>
      <c r="L369" s="61">
        <f t="shared" si="16"/>
        <v>369486000</v>
      </c>
      <c r="M369" s="61">
        <f t="shared" si="17"/>
        <v>305330000</v>
      </c>
    </row>
    <row r="370" spans="1:13" x14ac:dyDescent="0.25">
      <c r="A370" t="s">
        <v>171</v>
      </c>
      <c r="B370" t="s">
        <v>6</v>
      </c>
      <c r="C370">
        <v>41639</v>
      </c>
      <c r="D370" s="61">
        <v>12026000000</v>
      </c>
      <c r="E370" s="61">
        <v>3931000000</v>
      </c>
      <c r="F370" s="61">
        <v>3518000000</v>
      </c>
      <c r="G370" s="61">
        <v>0</v>
      </c>
      <c r="H370" s="61">
        <v>1104000000</v>
      </c>
      <c r="I370" t="s">
        <v>7</v>
      </c>
      <c r="J370" t="s">
        <v>172</v>
      </c>
      <c r="K370" s="61">
        <f t="shared" si="15"/>
        <v>8095000000</v>
      </c>
      <c r="L370" s="61">
        <f t="shared" si="16"/>
        <v>4622000000</v>
      </c>
      <c r="M370" s="61">
        <f t="shared" si="17"/>
        <v>3473000000</v>
      </c>
    </row>
    <row r="371" spans="1:13" x14ac:dyDescent="0.25">
      <c r="A371" t="s">
        <v>171</v>
      </c>
      <c r="B371" t="s">
        <v>9</v>
      </c>
      <c r="C371">
        <v>41999</v>
      </c>
      <c r="D371" s="61">
        <v>12669000000</v>
      </c>
      <c r="E371" s="61">
        <v>4100000000</v>
      </c>
      <c r="F371" s="61">
        <v>3805000000</v>
      </c>
      <c r="G371" s="61">
        <v>0</v>
      </c>
      <c r="H371" s="61">
        <v>1151000000</v>
      </c>
      <c r="I371" t="s">
        <v>7</v>
      </c>
      <c r="J371" t="s">
        <v>172</v>
      </c>
      <c r="K371" s="61">
        <f t="shared" si="15"/>
        <v>8569000000</v>
      </c>
      <c r="L371" s="61">
        <f t="shared" si="16"/>
        <v>4956000000</v>
      </c>
      <c r="M371" s="61">
        <f t="shared" si="17"/>
        <v>3613000000</v>
      </c>
    </row>
    <row r="372" spans="1:13" x14ac:dyDescent="0.25">
      <c r="A372" t="s">
        <v>171</v>
      </c>
      <c r="B372" t="s">
        <v>10</v>
      </c>
      <c r="C372">
        <v>42363</v>
      </c>
      <c r="D372" s="61">
        <v>11811000000</v>
      </c>
      <c r="E372" s="61">
        <v>3293000000</v>
      </c>
      <c r="F372" s="61">
        <v>3726000000</v>
      </c>
      <c r="G372" s="61">
        <v>0</v>
      </c>
      <c r="H372" s="61">
        <v>1208000000</v>
      </c>
      <c r="I372" t="s">
        <v>7</v>
      </c>
      <c r="J372" t="s">
        <v>172</v>
      </c>
      <c r="K372" s="61">
        <f t="shared" si="15"/>
        <v>8518000000</v>
      </c>
      <c r="L372" s="61">
        <f t="shared" si="16"/>
        <v>4934000000</v>
      </c>
      <c r="M372" s="61">
        <f t="shared" si="17"/>
        <v>3584000000</v>
      </c>
    </row>
    <row r="373" spans="1:13" x14ac:dyDescent="0.25">
      <c r="A373" t="s">
        <v>171</v>
      </c>
      <c r="B373" t="s">
        <v>11</v>
      </c>
      <c r="C373">
        <v>42734</v>
      </c>
      <c r="D373" s="61">
        <v>11069000000</v>
      </c>
      <c r="E373" s="61">
        <v>2782000000</v>
      </c>
      <c r="F373" s="61">
        <v>3597000000</v>
      </c>
      <c r="G373" s="61">
        <v>0</v>
      </c>
      <c r="H373" s="61">
        <v>1301000000</v>
      </c>
      <c r="I373" t="s">
        <v>7</v>
      </c>
      <c r="J373" t="s">
        <v>172</v>
      </c>
      <c r="K373" s="61">
        <f t="shared" si="15"/>
        <v>8287000000</v>
      </c>
      <c r="L373" s="61">
        <f t="shared" si="16"/>
        <v>4898000000</v>
      </c>
      <c r="M373" s="61">
        <f t="shared" si="17"/>
        <v>3389000000</v>
      </c>
    </row>
    <row r="374" spans="1:13" x14ac:dyDescent="0.25">
      <c r="A374" t="s">
        <v>173</v>
      </c>
      <c r="B374" t="s">
        <v>6</v>
      </c>
      <c r="C374">
        <v>41425</v>
      </c>
      <c r="D374" s="61">
        <v>4245964000</v>
      </c>
      <c r="E374" s="61">
        <v>2492655000</v>
      </c>
      <c r="F374" s="61">
        <v>1187331000</v>
      </c>
      <c r="G374" s="61">
        <v>0</v>
      </c>
      <c r="H374" s="61">
        <v>0</v>
      </c>
      <c r="I374" t="s">
        <v>7</v>
      </c>
      <c r="J374" t="s">
        <v>174</v>
      </c>
      <c r="K374" s="61">
        <f t="shared" si="15"/>
        <v>1753309000</v>
      </c>
      <c r="L374" s="61">
        <f t="shared" si="16"/>
        <v>1187331000</v>
      </c>
      <c r="M374" s="61">
        <f t="shared" si="17"/>
        <v>565978000</v>
      </c>
    </row>
    <row r="375" spans="1:13" x14ac:dyDescent="0.25">
      <c r="A375" t="s">
        <v>173</v>
      </c>
      <c r="B375" t="s">
        <v>9</v>
      </c>
      <c r="C375">
        <v>41790</v>
      </c>
      <c r="D375" s="61">
        <v>4193844000</v>
      </c>
      <c r="E375" s="61">
        <v>2444085000</v>
      </c>
      <c r="F375" s="61">
        <v>1147039000</v>
      </c>
      <c r="G375" s="61">
        <v>0</v>
      </c>
      <c r="H375" s="61">
        <v>0</v>
      </c>
      <c r="I375" t="s">
        <v>7</v>
      </c>
      <c r="J375" t="s">
        <v>174</v>
      </c>
      <c r="K375" s="61">
        <f t="shared" si="15"/>
        <v>1749759000</v>
      </c>
      <c r="L375" s="61">
        <f t="shared" si="16"/>
        <v>1147039000</v>
      </c>
      <c r="M375" s="61">
        <f t="shared" si="17"/>
        <v>602720000</v>
      </c>
    </row>
    <row r="376" spans="1:13" x14ac:dyDescent="0.25">
      <c r="A376" t="s">
        <v>173</v>
      </c>
      <c r="B376" t="s">
        <v>10</v>
      </c>
      <c r="C376">
        <v>42155</v>
      </c>
      <c r="D376" s="61">
        <v>4476886000</v>
      </c>
      <c r="E376" s="61">
        <v>2555549000</v>
      </c>
      <c r="F376" s="61">
        <v>1224930000</v>
      </c>
      <c r="G376" s="61">
        <v>0</v>
      </c>
      <c r="H376" s="61">
        <v>0</v>
      </c>
      <c r="I376" t="s">
        <v>7</v>
      </c>
      <c r="J376" t="s">
        <v>174</v>
      </c>
      <c r="K376" s="61">
        <f t="shared" si="15"/>
        <v>1921337000</v>
      </c>
      <c r="L376" s="61">
        <f t="shared" si="16"/>
        <v>1224930000</v>
      </c>
      <c r="M376" s="61">
        <f t="shared" si="17"/>
        <v>696407000</v>
      </c>
    </row>
    <row r="377" spans="1:13" x14ac:dyDescent="0.25">
      <c r="A377" t="s">
        <v>173</v>
      </c>
      <c r="B377" t="s">
        <v>11</v>
      </c>
      <c r="C377">
        <v>42521</v>
      </c>
      <c r="D377" s="61">
        <v>4905458000</v>
      </c>
      <c r="E377" s="61">
        <v>2775588000</v>
      </c>
      <c r="F377" s="61">
        <v>1348122000</v>
      </c>
      <c r="G377" s="61">
        <v>0</v>
      </c>
      <c r="H377" s="61">
        <v>0</v>
      </c>
      <c r="I377" t="s">
        <v>7</v>
      </c>
      <c r="J377" t="s">
        <v>174</v>
      </c>
      <c r="K377" s="61">
        <f t="shared" si="15"/>
        <v>2129870000</v>
      </c>
      <c r="L377" s="61">
        <f t="shared" si="16"/>
        <v>1348122000</v>
      </c>
      <c r="M377" s="61">
        <f t="shared" si="17"/>
        <v>781748000</v>
      </c>
    </row>
    <row r="378" spans="1:13" x14ac:dyDescent="0.25">
      <c r="A378" t="s">
        <v>175</v>
      </c>
      <c r="B378" t="s">
        <v>6</v>
      </c>
      <c r="C378">
        <v>41274</v>
      </c>
      <c r="D378" s="61">
        <v>18376000000</v>
      </c>
      <c r="E378" s="61">
        <v>7639000000</v>
      </c>
      <c r="F378" s="61">
        <v>3244000000</v>
      </c>
      <c r="G378" s="61">
        <v>0</v>
      </c>
      <c r="H378" s="61">
        <v>4780000000</v>
      </c>
      <c r="I378" t="s">
        <v>176</v>
      </c>
      <c r="J378" t="s">
        <v>177</v>
      </c>
      <c r="K378" s="61">
        <f t="shared" si="15"/>
        <v>10737000000</v>
      </c>
      <c r="L378" s="61">
        <f t="shared" si="16"/>
        <v>8024000000</v>
      </c>
      <c r="M378" s="61">
        <f t="shared" si="17"/>
        <v>2713000000</v>
      </c>
    </row>
    <row r="379" spans="1:13" x14ac:dyDescent="0.25">
      <c r="A379" t="s">
        <v>175</v>
      </c>
      <c r="B379" t="s">
        <v>9</v>
      </c>
      <c r="C379">
        <v>41639</v>
      </c>
      <c r="D379" s="61">
        <v>18095000000</v>
      </c>
      <c r="E379" s="61">
        <v>7507000000</v>
      </c>
      <c r="F379" s="61">
        <v>3502000000</v>
      </c>
      <c r="G379" s="61">
        <v>0</v>
      </c>
      <c r="H379" s="61">
        <v>4541000000</v>
      </c>
      <c r="I379" t="s">
        <v>176</v>
      </c>
      <c r="J379" t="s">
        <v>177</v>
      </c>
      <c r="K379" s="61">
        <f t="shared" si="15"/>
        <v>10588000000</v>
      </c>
      <c r="L379" s="61">
        <f t="shared" si="16"/>
        <v>8043000000</v>
      </c>
      <c r="M379" s="61">
        <f t="shared" si="17"/>
        <v>2545000000</v>
      </c>
    </row>
    <row r="380" spans="1:13" x14ac:dyDescent="0.25">
      <c r="A380" t="s">
        <v>175</v>
      </c>
      <c r="B380" t="s">
        <v>10</v>
      </c>
      <c r="C380">
        <v>42004</v>
      </c>
      <c r="D380" s="61">
        <v>18031000000</v>
      </c>
      <c r="E380" s="61">
        <v>7846000000</v>
      </c>
      <c r="F380" s="61">
        <v>3347000000</v>
      </c>
      <c r="G380" s="61">
        <v>0</v>
      </c>
      <c r="H380" s="61">
        <v>4428000000</v>
      </c>
      <c r="I380" t="s">
        <v>176</v>
      </c>
      <c r="J380" t="s">
        <v>177</v>
      </c>
      <c r="K380" s="61">
        <f t="shared" si="15"/>
        <v>10185000000</v>
      </c>
      <c r="L380" s="61">
        <f t="shared" si="16"/>
        <v>7775000000</v>
      </c>
      <c r="M380" s="61">
        <f t="shared" si="17"/>
        <v>2410000000</v>
      </c>
    </row>
    <row r="381" spans="1:13" x14ac:dyDescent="0.25">
      <c r="A381" t="s">
        <v>175</v>
      </c>
      <c r="B381" t="s">
        <v>11</v>
      </c>
      <c r="C381">
        <v>42369</v>
      </c>
      <c r="D381" s="61">
        <v>17900000000</v>
      </c>
      <c r="E381" s="61">
        <v>7778000000</v>
      </c>
      <c r="F381" s="61">
        <v>3328000000</v>
      </c>
      <c r="G381" s="61">
        <v>0</v>
      </c>
      <c r="H381" s="61">
        <v>4189000000</v>
      </c>
      <c r="I381" t="s">
        <v>176</v>
      </c>
      <c r="J381" t="s">
        <v>177</v>
      </c>
      <c r="K381" s="61">
        <f t="shared" si="15"/>
        <v>10122000000</v>
      </c>
      <c r="L381" s="61">
        <f t="shared" si="16"/>
        <v>7517000000</v>
      </c>
      <c r="M381" s="61">
        <f t="shared" si="17"/>
        <v>2605000000</v>
      </c>
    </row>
    <row r="382" spans="1:13" x14ac:dyDescent="0.25">
      <c r="A382" t="s">
        <v>178</v>
      </c>
      <c r="B382" t="s">
        <v>6</v>
      </c>
      <c r="C382">
        <v>41274</v>
      </c>
      <c r="D382" s="61">
        <v>7346472000</v>
      </c>
      <c r="E382" s="61">
        <v>4278241000</v>
      </c>
      <c r="F382" s="61">
        <v>1557646000</v>
      </c>
      <c r="G382" s="61">
        <v>0</v>
      </c>
      <c r="H382" s="61">
        <v>149089000</v>
      </c>
      <c r="I382" t="s">
        <v>16</v>
      </c>
      <c r="J382" t="s">
        <v>170</v>
      </c>
      <c r="K382" s="61">
        <f t="shared" si="15"/>
        <v>3068231000</v>
      </c>
      <c r="L382" s="61">
        <f t="shared" si="16"/>
        <v>1706735000</v>
      </c>
      <c r="M382" s="61">
        <f t="shared" si="17"/>
        <v>1361496000</v>
      </c>
    </row>
    <row r="383" spans="1:13" x14ac:dyDescent="0.25">
      <c r="A383" t="s">
        <v>178</v>
      </c>
      <c r="B383" t="s">
        <v>9</v>
      </c>
      <c r="C383">
        <v>41639</v>
      </c>
      <c r="D383" s="61">
        <v>8843200000</v>
      </c>
      <c r="E383" s="61">
        <v>5265500000</v>
      </c>
      <c r="F383" s="61">
        <v>1727600000</v>
      </c>
      <c r="G383" s="61">
        <v>0</v>
      </c>
      <c r="H383" s="61">
        <v>172200000</v>
      </c>
      <c r="I383" t="s">
        <v>16</v>
      </c>
      <c r="J383" t="s">
        <v>170</v>
      </c>
      <c r="K383" s="61">
        <f t="shared" si="15"/>
        <v>3577700000</v>
      </c>
      <c r="L383" s="61">
        <f t="shared" si="16"/>
        <v>1899800000</v>
      </c>
      <c r="M383" s="61">
        <f t="shared" si="17"/>
        <v>1677900000</v>
      </c>
    </row>
    <row r="384" spans="1:13" x14ac:dyDescent="0.25">
      <c r="A384" t="s">
        <v>178</v>
      </c>
      <c r="B384" t="s">
        <v>10</v>
      </c>
      <c r="C384">
        <v>42004</v>
      </c>
      <c r="D384" s="61">
        <v>10262700000</v>
      </c>
      <c r="E384" s="61">
        <v>6141100000</v>
      </c>
      <c r="F384" s="61">
        <v>2037000000</v>
      </c>
      <c r="G384" s="61">
        <v>0</v>
      </c>
      <c r="H384" s="61">
        <v>199700000</v>
      </c>
      <c r="I384" t="s">
        <v>16</v>
      </c>
      <c r="J384" t="s">
        <v>170</v>
      </c>
      <c r="K384" s="61">
        <f t="shared" si="15"/>
        <v>4121600000</v>
      </c>
      <c r="L384" s="61">
        <f t="shared" si="16"/>
        <v>2236700000</v>
      </c>
      <c r="M384" s="61">
        <f t="shared" si="17"/>
        <v>1884900000</v>
      </c>
    </row>
    <row r="385" spans="1:13" x14ac:dyDescent="0.25">
      <c r="A385" t="s">
        <v>178</v>
      </c>
      <c r="B385" t="s">
        <v>11</v>
      </c>
      <c r="C385">
        <v>42369</v>
      </c>
      <c r="D385" s="61">
        <v>12416000000</v>
      </c>
      <c r="E385" s="61">
        <v>7440200000</v>
      </c>
      <c r="F385" s="61">
        <v>2508600000</v>
      </c>
      <c r="G385" s="61">
        <v>0</v>
      </c>
      <c r="H385" s="61">
        <v>325200000</v>
      </c>
      <c r="I385" t="s">
        <v>16</v>
      </c>
      <c r="J385" t="s">
        <v>170</v>
      </c>
      <c r="K385" s="61">
        <f t="shared" si="15"/>
        <v>4975800000</v>
      </c>
      <c r="L385" s="61">
        <f t="shared" si="16"/>
        <v>2833800000</v>
      </c>
      <c r="M385" s="61">
        <f t="shared" si="17"/>
        <v>2142000000</v>
      </c>
    </row>
    <row r="386" spans="1:13" x14ac:dyDescent="0.25">
      <c r="A386" t="s">
        <v>179</v>
      </c>
      <c r="B386" t="s">
        <v>6</v>
      </c>
      <c r="C386">
        <v>41639</v>
      </c>
      <c r="D386" s="61">
        <v>2918434000</v>
      </c>
      <c r="E386" s="61">
        <v>502795000</v>
      </c>
      <c r="F386" s="61">
        <v>1476916000</v>
      </c>
      <c r="G386" s="61">
        <v>516338000</v>
      </c>
      <c r="H386" s="61">
        <v>41668000</v>
      </c>
      <c r="I386" t="s">
        <v>16</v>
      </c>
      <c r="J386" t="s">
        <v>51</v>
      </c>
      <c r="K386" s="61">
        <f t="shared" ref="K386:K449" si="18">D386-E386</f>
        <v>2415639000</v>
      </c>
      <c r="L386" s="61">
        <f t="shared" ref="L386:L449" si="19">F386+G386+H386</f>
        <v>2034922000</v>
      </c>
      <c r="M386" s="61">
        <f t="shared" si="17"/>
        <v>380717000</v>
      </c>
    </row>
    <row r="387" spans="1:13" x14ac:dyDescent="0.25">
      <c r="A387" t="s">
        <v>179</v>
      </c>
      <c r="B387" t="s">
        <v>9</v>
      </c>
      <c r="C387">
        <v>42004</v>
      </c>
      <c r="D387" s="61">
        <v>3142856000</v>
      </c>
      <c r="E387" s="61">
        <v>620219000</v>
      </c>
      <c r="F387" s="61">
        <v>1600187000</v>
      </c>
      <c r="G387" s="61">
        <v>553817000</v>
      </c>
      <c r="H387" s="61">
        <v>39577000</v>
      </c>
      <c r="I387" t="s">
        <v>16</v>
      </c>
      <c r="J387" t="s">
        <v>51</v>
      </c>
      <c r="K387" s="61">
        <f t="shared" si="18"/>
        <v>2522637000</v>
      </c>
      <c r="L387" s="61">
        <f t="shared" si="19"/>
        <v>2193581000</v>
      </c>
      <c r="M387" s="61">
        <f t="shared" ref="M387:M450" si="20">K387-L387</f>
        <v>329056000</v>
      </c>
    </row>
    <row r="388" spans="1:13" x14ac:dyDescent="0.25">
      <c r="A388" t="s">
        <v>179</v>
      </c>
      <c r="B388" t="s">
        <v>10</v>
      </c>
      <c r="C388">
        <v>42369</v>
      </c>
      <c r="D388" s="61">
        <v>3275594000</v>
      </c>
      <c r="E388" s="61">
        <v>614364000</v>
      </c>
      <c r="F388" s="61">
        <v>1538027000</v>
      </c>
      <c r="G388" s="61">
        <v>563975000</v>
      </c>
      <c r="H388" s="61">
        <v>41595000</v>
      </c>
      <c r="I388" t="s">
        <v>16</v>
      </c>
      <c r="J388" t="s">
        <v>51</v>
      </c>
      <c r="K388" s="61">
        <f t="shared" si="18"/>
        <v>2661230000</v>
      </c>
      <c r="L388" s="61">
        <f t="shared" si="19"/>
        <v>2143597000</v>
      </c>
      <c r="M388" s="61">
        <f t="shared" si="20"/>
        <v>517633000</v>
      </c>
    </row>
    <row r="389" spans="1:13" x14ac:dyDescent="0.25">
      <c r="A389" t="s">
        <v>179</v>
      </c>
      <c r="B389" t="s">
        <v>11</v>
      </c>
      <c r="C389">
        <v>42735</v>
      </c>
      <c r="D389" s="61">
        <v>3418265000</v>
      </c>
      <c r="E389" s="61">
        <v>559541000</v>
      </c>
      <c r="F389" s="61">
        <v>1620006000</v>
      </c>
      <c r="G389" s="61">
        <v>489265000</v>
      </c>
      <c r="H389" s="61">
        <v>29173000</v>
      </c>
      <c r="I389" t="s">
        <v>16</v>
      </c>
      <c r="J389" t="s">
        <v>51</v>
      </c>
      <c r="K389" s="61">
        <f t="shared" si="18"/>
        <v>2858724000</v>
      </c>
      <c r="L389" s="61">
        <f t="shared" si="19"/>
        <v>2138444000</v>
      </c>
      <c r="M389" s="61">
        <f t="shared" si="20"/>
        <v>720280000</v>
      </c>
    </row>
    <row r="390" spans="1:13" x14ac:dyDescent="0.25">
      <c r="A390" t="s">
        <v>180</v>
      </c>
      <c r="B390" t="s">
        <v>6</v>
      </c>
      <c r="C390">
        <v>41639</v>
      </c>
      <c r="D390" s="61">
        <v>126761000000</v>
      </c>
      <c r="E390" s="61">
        <v>102978000000</v>
      </c>
      <c r="F390" s="61">
        <v>0</v>
      </c>
      <c r="G390" s="61">
        <v>0</v>
      </c>
      <c r="H390" s="61">
        <v>0</v>
      </c>
      <c r="I390" t="s">
        <v>30</v>
      </c>
      <c r="J390" t="s">
        <v>181</v>
      </c>
      <c r="K390" s="61">
        <f t="shared" si="18"/>
        <v>23783000000</v>
      </c>
      <c r="L390" s="61">
        <f t="shared" si="19"/>
        <v>0</v>
      </c>
      <c r="M390" s="61">
        <f t="shared" si="20"/>
        <v>23783000000</v>
      </c>
    </row>
    <row r="391" spans="1:13" x14ac:dyDescent="0.25">
      <c r="A391" t="s">
        <v>180</v>
      </c>
      <c r="B391" t="s">
        <v>9</v>
      </c>
      <c r="C391">
        <v>42004</v>
      </c>
      <c r="D391" s="61">
        <v>139367000000</v>
      </c>
      <c r="E391" s="61">
        <v>114000000000</v>
      </c>
      <c r="F391" s="61">
        <v>0</v>
      </c>
      <c r="G391" s="61">
        <v>0</v>
      </c>
      <c r="H391" s="61">
        <v>0</v>
      </c>
      <c r="I391" t="s">
        <v>30</v>
      </c>
      <c r="J391" t="s">
        <v>181</v>
      </c>
      <c r="K391" s="61">
        <f t="shared" si="18"/>
        <v>25367000000</v>
      </c>
      <c r="L391" s="61">
        <f t="shared" si="19"/>
        <v>0</v>
      </c>
      <c r="M391" s="61">
        <f t="shared" si="20"/>
        <v>25367000000</v>
      </c>
    </row>
    <row r="392" spans="1:13" x14ac:dyDescent="0.25">
      <c r="A392" t="s">
        <v>180</v>
      </c>
      <c r="B392" t="s">
        <v>10</v>
      </c>
      <c r="C392">
        <v>42369</v>
      </c>
      <c r="D392" s="61">
        <v>153290000000</v>
      </c>
      <c r="E392" s="61">
        <v>126762000000</v>
      </c>
      <c r="F392" s="61">
        <v>0</v>
      </c>
      <c r="G392" s="61">
        <v>0</v>
      </c>
      <c r="H392" s="61">
        <v>0</v>
      </c>
      <c r="I392" t="s">
        <v>30</v>
      </c>
      <c r="J392" t="s">
        <v>181</v>
      </c>
      <c r="K392" s="61">
        <f t="shared" si="18"/>
        <v>26528000000</v>
      </c>
      <c r="L392" s="61">
        <f t="shared" si="19"/>
        <v>0</v>
      </c>
      <c r="M392" s="61">
        <f t="shared" si="20"/>
        <v>26528000000</v>
      </c>
    </row>
    <row r="393" spans="1:13" x14ac:dyDescent="0.25">
      <c r="A393" t="s">
        <v>180</v>
      </c>
      <c r="B393" t="s">
        <v>11</v>
      </c>
      <c r="C393">
        <v>42735</v>
      </c>
      <c r="D393" s="61">
        <v>177526000000</v>
      </c>
      <c r="E393" s="61">
        <v>148669000000</v>
      </c>
      <c r="F393" s="61">
        <v>0</v>
      </c>
      <c r="G393" s="61">
        <v>0</v>
      </c>
      <c r="H393" s="61">
        <v>0</v>
      </c>
      <c r="I393" t="s">
        <v>30</v>
      </c>
      <c r="J393" t="s">
        <v>181</v>
      </c>
      <c r="K393" s="61">
        <f t="shared" si="18"/>
        <v>28857000000</v>
      </c>
      <c r="L393" s="61">
        <f t="shared" si="19"/>
        <v>0</v>
      </c>
      <c r="M393" s="61">
        <f t="shared" si="20"/>
        <v>28857000000</v>
      </c>
    </row>
    <row r="394" spans="1:13" x14ac:dyDescent="0.25">
      <c r="A394" t="s">
        <v>182</v>
      </c>
      <c r="B394" t="s">
        <v>6</v>
      </c>
      <c r="C394">
        <v>41274</v>
      </c>
      <c r="D394" s="61">
        <v>230590000000</v>
      </c>
      <c r="E394" s="61">
        <v>163336000000</v>
      </c>
      <c r="F394" s="61">
        <v>17100000000</v>
      </c>
      <c r="G394" s="61">
        <v>0</v>
      </c>
      <c r="H394" s="61">
        <v>13413000000</v>
      </c>
      <c r="I394" t="s">
        <v>77</v>
      </c>
      <c r="J394" t="s">
        <v>138</v>
      </c>
      <c r="K394" s="61">
        <f t="shared" si="18"/>
        <v>67254000000</v>
      </c>
      <c r="L394" s="61">
        <f t="shared" si="19"/>
        <v>30513000000</v>
      </c>
      <c r="M394" s="61">
        <f t="shared" si="20"/>
        <v>36741000000</v>
      </c>
    </row>
    <row r="395" spans="1:13" x14ac:dyDescent="0.25">
      <c r="A395" t="s">
        <v>182</v>
      </c>
      <c r="B395" t="s">
        <v>9</v>
      </c>
      <c r="C395">
        <v>41639</v>
      </c>
      <c r="D395" s="61">
        <v>220156000000</v>
      </c>
      <c r="E395" s="61">
        <v>159323000000</v>
      </c>
      <c r="F395" s="61">
        <v>17573000000</v>
      </c>
      <c r="G395" s="61">
        <v>0</v>
      </c>
      <c r="H395" s="61">
        <v>14186000000</v>
      </c>
      <c r="I395" t="s">
        <v>77</v>
      </c>
      <c r="J395" t="s">
        <v>138</v>
      </c>
      <c r="K395" s="61">
        <f t="shared" si="18"/>
        <v>60833000000</v>
      </c>
      <c r="L395" s="61">
        <f t="shared" si="19"/>
        <v>31759000000</v>
      </c>
      <c r="M395" s="61">
        <f t="shared" si="20"/>
        <v>29074000000</v>
      </c>
    </row>
    <row r="396" spans="1:13" x14ac:dyDescent="0.25">
      <c r="A396" t="s">
        <v>182</v>
      </c>
      <c r="B396" t="s">
        <v>10</v>
      </c>
      <c r="C396">
        <v>42004</v>
      </c>
      <c r="D396" s="61">
        <v>200494000000</v>
      </c>
      <c r="E396" s="61">
        <v>144956000000</v>
      </c>
      <c r="F396" s="61">
        <v>17034000000</v>
      </c>
      <c r="G396" s="61">
        <v>0</v>
      </c>
      <c r="H396" s="61">
        <v>16793000000</v>
      </c>
      <c r="I396" t="s">
        <v>77</v>
      </c>
      <c r="J396" t="s">
        <v>138</v>
      </c>
      <c r="K396" s="61">
        <f t="shared" si="18"/>
        <v>55538000000</v>
      </c>
      <c r="L396" s="61">
        <f t="shared" si="19"/>
        <v>33827000000</v>
      </c>
      <c r="M396" s="61">
        <f t="shared" si="20"/>
        <v>21711000000</v>
      </c>
    </row>
    <row r="397" spans="1:13" x14ac:dyDescent="0.25">
      <c r="A397" t="s">
        <v>182</v>
      </c>
      <c r="B397" t="s">
        <v>11</v>
      </c>
      <c r="C397">
        <v>42369</v>
      </c>
      <c r="D397" s="61">
        <v>129925000000</v>
      </c>
      <c r="E397" s="61">
        <v>92785000000</v>
      </c>
      <c r="F397" s="61">
        <v>16473000000</v>
      </c>
      <c r="G397" s="61">
        <v>0</v>
      </c>
      <c r="H397" s="61">
        <v>21037000000</v>
      </c>
      <c r="I397" t="s">
        <v>77</v>
      </c>
      <c r="J397" t="s">
        <v>138</v>
      </c>
      <c r="K397" s="61">
        <f t="shared" si="18"/>
        <v>37140000000</v>
      </c>
      <c r="L397" s="61">
        <f t="shared" si="19"/>
        <v>37510000000</v>
      </c>
      <c r="M397" s="61">
        <f t="shared" si="20"/>
        <v>-370000000</v>
      </c>
    </row>
    <row r="398" spans="1:13" x14ac:dyDescent="0.25">
      <c r="A398" t="s">
        <v>183</v>
      </c>
      <c r="B398" t="s">
        <v>6</v>
      </c>
      <c r="C398">
        <v>41274</v>
      </c>
      <c r="D398" s="61">
        <v>1819814000</v>
      </c>
      <c r="E398" s="61">
        <v>343743000</v>
      </c>
      <c r="F398" s="61">
        <v>133796000</v>
      </c>
      <c r="G398" s="61">
        <v>0</v>
      </c>
      <c r="H398" s="61">
        <v>579315000</v>
      </c>
      <c r="I398" t="s">
        <v>77</v>
      </c>
      <c r="J398" t="s">
        <v>78</v>
      </c>
      <c r="K398" s="61">
        <f t="shared" si="18"/>
        <v>1476071000</v>
      </c>
      <c r="L398" s="61">
        <f t="shared" si="19"/>
        <v>713111000</v>
      </c>
      <c r="M398" s="61">
        <f t="shared" si="20"/>
        <v>762960000</v>
      </c>
    </row>
    <row r="399" spans="1:13" x14ac:dyDescent="0.25">
      <c r="A399" t="s">
        <v>183</v>
      </c>
      <c r="B399" t="s">
        <v>9</v>
      </c>
      <c r="C399">
        <v>41639</v>
      </c>
      <c r="D399" s="61">
        <v>2319919000</v>
      </c>
      <c r="E399" s="61">
        <v>455436000</v>
      </c>
      <c r="F399" s="61">
        <v>169815000</v>
      </c>
      <c r="G399" s="61">
        <v>0</v>
      </c>
      <c r="H399" s="61">
        <v>778655000</v>
      </c>
      <c r="I399" t="s">
        <v>77</v>
      </c>
      <c r="J399" t="s">
        <v>78</v>
      </c>
      <c r="K399" s="61">
        <f t="shared" si="18"/>
        <v>1864483000</v>
      </c>
      <c r="L399" s="61">
        <f t="shared" si="19"/>
        <v>948470000</v>
      </c>
      <c r="M399" s="61">
        <f t="shared" si="20"/>
        <v>916013000</v>
      </c>
    </row>
    <row r="400" spans="1:13" x14ac:dyDescent="0.25">
      <c r="A400" t="s">
        <v>183</v>
      </c>
      <c r="B400" t="s">
        <v>10</v>
      </c>
      <c r="C400">
        <v>42004</v>
      </c>
      <c r="D400" s="61">
        <v>2660147000</v>
      </c>
      <c r="E400" s="61">
        <v>538374000</v>
      </c>
      <c r="F400" s="61">
        <v>204161000</v>
      </c>
      <c r="G400" s="61">
        <v>0</v>
      </c>
      <c r="H400" s="61">
        <v>986812000</v>
      </c>
      <c r="I400" t="s">
        <v>77</v>
      </c>
      <c r="J400" t="s">
        <v>78</v>
      </c>
      <c r="K400" s="61">
        <f t="shared" si="18"/>
        <v>2121773000</v>
      </c>
      <c r="L400" s="61">
        <f t="shared" si="19"/>
        <v>1190973000</v>
      </c>
      <c r="M400" s="61">
        <f t="shared" si="20"/>
        <v>930800000</v>
      </c>
    </row>
    <row r="401" spans="1:13" x14ac:dyDescent="0.25">
      <c r="A401" t="s">
        <v>183</v>
      </c>
      <c r="B401" t="s">
        <v>11</v>
      </c>
      <c r="C401">
        <v>42369</v>
      </c>
      <c r="D401" s="61">
        <v>1803573000</v>
      </c>
      <c r="E401" s="61">
        <v>541359000</v>
      </c>
      <c r="F401" s="61">
        <v>230734000</v>
      </c>
      <c r="G401" s="61">
        <v>0</v>
      </c>
      <c r="H401" s="61">
        <v>1230853000</v>
      </c>
      <c r="I401" t="s">
        <v>77</v>
      </c>
      <c r="J401" t="s">
        <v>78</v>
      </c>
      <c r="K401" s="61">
        <f t="shared" si="18"/>
        <v>1262214000</v>
      </c>
      <c r="L401" s="61">
        <f t="shared" si="19"/>
        <v>1461587000</v>
      </c>
      <c r="M401" s="61">
        <f t="shared" si="20"/>
        <v>-199373000</v>
      </c>
    </row>
    <row r="402" spans="1:13" x14ac:dyDescent="0.25">
      <c r="A402" t="s">
        <v>184</v>
      </c>
      <c r="B402" t="s">
        <v>6</v>
      </c>
      <c r="C402">
        <v>41274</v>
      </c>
      <c r="D402" s="61">
        <v>12835000000</v>
      </c>
      <c r="E402" s="61">
        <v>8300000000</v>
      </c>
      <c r="F402" s="61">
        <v>550000000</v>
      </c>
      <c r="G402" s="61">
        <v>0</v>
      </c>
      <c r="H402" s="61">
        <v>1127000000</v>
      </c>
      <c r="I402" t="s">
        <v>36</v>
      </c>
      <c r="J402" t="s">
        <v>39</v>
      </c>
      <c r="K402" s="61">
        <f t="shared" si="18"/>
        <v>4535000000</v>
      </c>
      <c r="L402" s="61">
        <f t="shared" si="19"/>
        <v>1677000000</v>
      </c>
      <c r="M402" s="61">
        <f t="shared" si="20"/>
        <v>2858000000</v>
      </c>
    </row>
    <row r="403" spans="1:13" x14ac:dyDescent="0.25">
      <c r="A403" t="s">
        <v>184</v>
      </c>
      <c r="B403" t="s">
        <v>9</v>
      </c>
      <c r="C403">
        <v>41639</v>
      </c>
      <c r="D403" s="61">
        <v>13120000000</v>
      </c>
      <c r="E403" s="61">
        <v>8033000000</v>
      </c>
      <c r="F403" s="61">
        <v>563000000</v>
      </c>
      <c r="G403" s="61">
        <v>0</v>
      </c>
      <c r="H403" s="61">
        <v>1208000000</v>
      </c>
      <c r="I403" t="s">
        <v>36</v>
      </c>
      <c r="J403" t="s">
        <v>39</v>
      </c>
      <c r="K403" s="61">
        <f t="shared" si="18"/>
        <v>5087000000</v>
      </c>
      <c r="L403" s="61">
        <f t="shared" si="19"/>
        <v>1771000000</v>
      </c>
      <c r="M403" s="61">
        <f t="shared" si="20"/>
        <v>3316000000</v>
      </c>
    </row>
    <row r="404" spans="1:13" x14ac:dyDescent="0.25">
      <c r="A404" t="s">
        <v>184</v>
      </c>
      <c r="B404" t="s">
        <v>10</v>
      </c>
      <c r="C404">
        <v>42004</v>
      </c>
      <c r="D404" s="61">
        <v>12436000000</v>
      </c>
      <c r="E404" s="61">
        <v>7881000000</v>
      </c>
      <c r="F404" s="61">
        <v>542000000</v>
      </c>
      <c r="G404" s="61">
        <v>0</v>
      </c>
      <c r="H404" s="61">
        <v>1292000000</v>
      </c>
      <c r="I404" t="s">
        <v>36</v>
      </c>
      <c r="J404" t="s">
        <v>39</v>
      </c>
      <c r="K404" s="61">
        <f t="shared" si="18"/>
        <v>4555000000</v>
      </c>
      <c r="L404" s="61">
        <f t="shared" si="19"/>
        <v>1834000000</v>
      </c>
      <c r="M404" s="61">
        <f t="shared" si="20"/>
        <v>2721000000</v>
      </c>
    </row>
    <row r="405" spans="1:13" x14ac:dyDescent="0.25">
      <c r="A405" t="s">
        <v>184</v>
      </c>
      <c r="B405" t="s">
        <v>11</v>
      </c>
      <c r="C405">
        <v>42369</v>
      </c>
      <c r="D405" s="61">
        <v>11683000000</v>
      </c>
      <c r="E405" s="61">
        <v>6201000000</v>
      </c>
      <c r="F405" s="61">
        <v>551000000</v>
      </c>
      <c r="G405" s="61">
        <v>0</v>
      </c>
      <c r="H405" s="61">
        <v>1395000000</v>
      </c>
      <c r="I405" t="s">
        <v>36</v>
      </c>
      <c r="J405" t="s">
        <v>39</v>
      </c>
      <c r="K405" s="61">
        <f t="shared" si="18"/>
        <v>5482000000</v>
      </c>
      <c r="L405" s="61">
        <f t="shared" si="19"/>
        <v>1946000000</v>
      </c>
      <c r="M405" s="61">
        <f t="shared" si="20"/>
        <v>3536000000</v>
      </c>
    </row>
    <row r="406" spans="1:13" x14ac:dyDescent="0.25">
      <c r="A406" t="s">
        <v>185</v>
      </c>
      <c r="B406" t="s">
        <v>6</v>
      </c>
      <c r="C406">
        <v>41639</v>
      </c>
      <c r="D406" s="61">
        <v>37773000000</v>
      </c>
      <c r="E406" s="61">
        <v>20964000000</v>
      </c>
      <c r="F406" s="61">
        <v>11349000000</v>
      </c>
      <c r="G406" s="61">
        <v>0</v>
      </c>
      <c r="H406" s="61">
        <v>1658000000</v>
      </c>
      <c r="I406" t="s">
        <v>7</v>
      </c>
      <c r="J406" t="s">
        <v>8</v>
      </c>
      <c r="K406" s="61">
        <f t="shared" si="18"/>
        <v>16809000000</v>
      </c>
      <c r="L406" s="61">
        <f t="shared" si="19"/>
        <v>13007000000</v>
      </c>
      <c r="M406" s="61">
        <f t="shared" si="20"/>
        <v>3802000000</v>
      </c>
    </row>
    <row r="407" spans="1:13" x14ac:dyDescent="0.25">
      <c r="A407" t="s">
        <v>185</v>
      </c>
      <c r="B407" t="s">
        <v>9</v>
      </c>
      <c r="C407">
        <v>42004</v>
      </c>
      <c r="D407" s="61">
        <v>40362000000</v>
      </c>
      <c r="E407" s="61">
        <v>22967000000</v>
      </c>
      <c r="F407" s="61">
        <v>12702000000</v>
      </c>
      <c r="G407" s="61">
        <v>0</v>
      </c>
      <c r="H407" s="61">
        <v>1771000000</v>
      </c>
      <c r="I407" t="s">
        <v>7</v>
      </c>
      <c r="J407" t="s">
        <v>8</v>
      </c>
      <c r="K407" s="61">
        <f t="shared" si="18"/>
        <v>17395000000</v>
      </c>
      <c r="L407" s="61">
        <f t="shared" si="19"/>
        <v>14473000000</v>
      </c>
      <c r="M407" s="61">
        <f t="shared" si="20"/>
        <v>2922000000</v>
      </c>
    </row>
    <row r="408" spans="1:13" x14ac:dyDescent="0.25">
      <c r="A408" t="s">
        <v>185</v>
      </c>
      <c r="B408" t="s">
        <v>10</v>
      </c>
      <c r="C408">
        <v>42369</v>
      </c>
      <c r="D408" s="61">
        <v>40704000000</v>
      </c>
      <c r="E408" s="61">
        <v>17096000000</v>
      </c>
      <c r="F408" s="61">
        <v>13936000000</v>
      </c>
      <c r="G408" s="61">
        <v>0</v>
      </c>
      <c r="H408" s="61">
        <v>1835000000</v>
      </c>
      <c r="I408" t="s">
        <v>7</v>
      </c>
      <c r="J408" t="s">
        <v>8</v>
      </c>
      <c r="K408" s="61">
        <f t="shared" si="18"/>
        <v>23608000000</v>
      </c>
      <c r="L408" s="61">
        <f t="shared" si="19"/>
        <v>15771000000</v>
      </c>
      <c r="M408" s="61">
        <f t="shared" si="20"/>
        <v>7837000000</v>
      </c>
    </row>
    <row r="409" spans="1:13" x14ac:dyDescent="0.25">
      <c r="A409" t="s">
        <v>185</v>
      </c>
      <c r="B409" t="s">
        <v>11</v>
      </c>
      <c r="C409">
        <v>42735</v>
      </c>
      <c r="D409" s="61">
        <v>39639000000</v>
      </c>
      <c r="E409" s="61">
        <v>15940000000</v>
      </c>
      <c r="F409" s="61">
        <v>14845000000</v>
      </c>
      <c r="G409" s="61">
        <v>0</v>
      </c>
      <c r="H409" s="61">
        <v>1902000000</v>
      </c>
      <c r="I409" t="s">
        <v>7</v>
      </c>
      <c r="J409" t="s">
        <v>8</v>
      </c>
      <c r="K409" s="61">
        <f t="shared" si="18"/>
        <v>23699000000</v>
      </c>
      <c r="L409" s="61">
        <f t="shared" si="19"/>
        <v>16747000000</v>
      </c>
      <c r="M409" s="61">
        <f t="shared" si="20"/>
        <v>6952000000</v>
      </c>
    </row>
    <row r="410" spans="1:13" x14ac:dyDescent="0.25">
      <c r="A410" t="s">
        <v>186</v>
      </c>
      <c r="B410" t="s">
        <v>6</v>
      </c>
      <c r="C410">
        <v>41639</v>
      </c>
      <c r="D410" s="61">
        <v>28998000000</v>
      </c>
      <c r="E410" s="61">
        <v>17642000000</v>
      </c>
      <c r="F410" s="61">
        <v>6564000000</v>
      </c>
      <c r="G410" s="61">
        <v>2037000000</v>
      </c>
      <c r="H410" s="61">
        <v>0</v>
      </c>
      <c r="I410" t="s">
        <v>53</v>
      </c>
      <c r="J410" t="s">
        <v>187</v>
      </c>
      <c r="K410" s="61">
        <f t="shared" si="18"/>
        <v>11356000000</v>
      </c>
      <c r="L410" s="61">
        <f t="shared" si="19"/>
        <v>8601000000</v>
      </c>
      <c r="M410" s="61">
        <f t="shared" si="20"/>
        <v>2755000000</v>
      </c>
    </row>
    <row r="411" spans="1:13" x14ac:dyDescent="0.25">
      <c r="A411" t="s">
        <v>186</v>
      </c>
      <c r="B411" t="s">
        <v>9</v>
      </c>
      <c r="C411">
        <v>42004</v>
      </c>
      <c r="D411" s="61">
        <v>28406000000</v>
      </c>
      <c r="E411" s="61">
        <v>17023000000</v>
      </c>
      <c r="F411" s="61">
        <v>5536000000</v>
      </c>
      <c r="G411" s="61">
        <v>1958000000</v>
      </c>
      <c r="H411" s="61">
        <v>0</v>
      </c>
      <c r="I411" t="s">
        <v>53</v>
      </c>
      <c r="J411" t="s">
        <v>187</v>
      </c>
      <c r="K411" s="61">
        <f t="shared" si="18"/>
        <v>11383000000</v>
      </c>
      <c r="L411" s="61">
        <f t="shared" si="19"/>
        <v>7494000000</v>
      </c>
      <c r="M411" s="61">
        <f t="shared" si="20"/>
        <v>3889000000</v>
      </c>
    </row>
    <row r="412" spans="1:13" x14ac:dyDescent="0.25">
      <c r="A412" t="s">
        <v>186</v>
      </c>
      <c r="B412" t="s">
        <v>10</v>
      </c>
      <c r="C412">
        <v>42369</v>
      </c>
      <c r="D412" s="61">
        <v>25130000000</v>
      </c>
      <c r="E412" s="61">
        <v>15112000000</v>
      </c>
      <c r="F412" s="61">
        <v>5074000000</v>
      </c>
      <c r="G412" s="61">
        <v>1898000000</v>
      </c>
      <c r="H412" s="61">
        <v>0</v>
      </c>
      <c r="I412" t="s">
        <v>53</v>
      </c>
      <c r="J412" t="s">
        <v>187</v>
      </c>
      <c r="K412" s="61">
        <f t="shared" si="18"/>
        <v>10018000000</v>
      </c>
      <c r="L412" s="61">
        <f t="shared" si="19"/>
        <v>6972000000</v>
      </c>
      <c r="M412" s="61">
        <f t="shared" si="20"/>
        <v>3046000000</v>
      </c>
    </row>
    <row r="413" spans="1:13" x14ac:dyDescent="0.25">
      <c r="A413" t="s">
        <v>186</v>
      </c>
      <c r="B413" t="s">
        <v>11</v>
      </c>
      <c r="C413">
        <v>42735</v>
      </c>
      <c r="D413" s="61">
        <v>24594000000</v>
      </c>
      <c r="E413" s="61">
        <v>14469000000</v>
      </c>
      <c r="F413" s="61">
        <v>5005000000</v>
      </c>
      <c r="G413" s="61">
        <v>1641000000</v>
      </c>
      <c r="H413" s="61">
        <v>0</v>
      </c>
      <c r="I413" t="s">
        <v>53</v>
      </c>
      <c r="J413" t="s">
        <v>187</v>
      </c>
      <c r="K413" s="61">
        <f t="shared" si="18"/>
        <v>10125000000</v>
      </c>
      <c r="L413" s="61">
        <f t="shared" si="19"/>
        <v>6646000000</v>
      </c>
      <c r="M413" s="61">
        <f t="shared" si="20"/>
        <v>3479000000</v>
      </c>
    </row>
    <row r="414" spans="1:13" x14ac:dyDescent="0.25">
      <c r="A414" t="s">
        <v>188</v>
      </c>
      <c r="B414" t="s">
        <v>6</v>
      </c>
      <c r="C414">
        <v>41578</v>
      </c>
      <c r="D414" s="61">
        <v>37795400000</v>
      </c>
      <c r="E414" s="61">
        <v>25667300000</v>
      </c>
      <c r="F414" s="61">
        <v>4426100000</v>
      </c>
      <c r="G414" s="61">
        <v>1477300000</v>
      </c>
      <c r="H414" s="61">
        <v>0</v>
      </c>
      <c r="I414" t="s">
        <v>7</v>
      </c>
      <c r="J414" t="s">
        <v>121</v>
      </c>
      <c r="K414" s="61">
        <f t="shared" si="18"/>
        <v>12128100000</v>
      </c>
      <c r="L414" s="61">
        <f t="shared" si="19"/>
        <v>5903400000</v>
      </c>
      <c r="M414" s="61">
        <f t="shared" si="20"/>
        <v>6224700000</v>
      </c>
    </row>
    <row r="415" spans="1:13" x14ac:dyDescent="0.25">
      <c r="A415" t="s">
        <v>188</v>
      </c>
      <c r="B415" t="s">
        <v>9</v>
      </c>
      <c r="C415">
        <v>41943</v>
      </c>
      <c r="D415" s="61">
        <v>36066900000</v>
      </c>
      <c r="E415" s="61">
        <v>24775800000</v>
      </c>
      <c r="F415" s="61">
        <v>4377700000</v>
      </c>
      <c r="G415" s="61">
        <v>1452000000</v>
      </c>
      <c r="H415" s="61">
        <v>0</v>
      </c>
      <c r="I415" t="s">
        <v>7</v>
      </c>
      <c r="J415" t="s">
        <v>121</v>
      </c>
      <c r="K415" s="61">
        <f t="shared" si="18"/>
        <v>11291100000</v>
      </c>
      <c r="L415" s="61">
        <f t="shared" si="19"/>
        <v>5829700000</v>
      </c>
      <c r="M415" s="61">
        <f t="shared" si="20"/>
        <v>5461400000</v>
      </c>
    </row>
    <row r="416" spans="1:13" x14ac:dyDescent="0.25">
      <c r="A416" t="s">
        <v>188</v>
      </c>
      <c r="B416" t="s">
        <v>10</v>
      </c>
      <c r="C416">
        <v>42308</v>
      </c>
      <c r="D416" s="61">
        <v>28862800000</v>
      </c>
      <c r="E416" s="61">
        <v>20143200000</v>
      </c>
      <c r="F416" s="61">
        <v>3834400000</v>
      </c>
      <c r="G416" s="61">
        <v>1425100000</v>
      </c>
      <c r="H416" s="61">
        <v>0</v>
      </c>
      <c r="I416" t="s">
        <v>7</v>
      </c>
      <c r="J416" t="s">
        <v>121</v>
      </c>
      <c r="K416" s="61">
        <f t="shared" si="18"/>
        <v>8719600000</v>
      </c>
      <c r="L416" s="61">
        <f t="shared" si="19"/>
        <v>5259500000</v>
      </c>
      <c r="M416" s="61">
        <f t="shared" si="20"/>
        <v>3460100000</v>
      </c>
    </row>
    <row r="417" spans="1:13" x14ac:dyDescent="0.25">
      <c r="A417" t="s">
        <v>188</v>
      </c>
      <c r="B417" t="s">
        <v>11</v>
      </c>
      <c r="C417">
        <v>42674</v>
      </c>
      <c r="D417" s="61">
        <v>26644000000</v>
      </c>
      <c r="E417" s="61">
        <v>18248900000</v>
      </c>
      <c r="F417" s="61">
        <v>4018300000</v>
      </c>
      <c r="G417" s="61">
        <v>1389100000</v>
      </c>
      <c r="H417" s="61">
        <v>0</v>
      </c>
      <c r="I417" t="s">
        <v>7</v>
      </c>
      <c r="J417" t="s">
        <v>121</v>
      </c>
      <c r="K417" s="61">
        <f t="shared" si="18"/>
        <v>8395100000</v>
      </c>
      <c r="L417" s="61">
        <f t="shared" si="19"/>
        <v>5407400000</v>
      </c>
      <c r="M417" s="61">
        <f t="shared" si="20"/>
        <v>2987700000</v>
      </c>
    </row>
    <row r="418" spans="1:13" x14ac:dyDescent="0.25">
      <c r="A418" t="s">
        <v>189</v>
      </c>
      <c r="B418" t="s">
        <v>6</v>
      </c>
      <c r="C418">
        <v>41243</v>
      </c>
      <c r="D418" s="61">
        <v>8984000000</v>
      </c>
      <c r="E418" s="61">
        <v>845000000</v>
      </c>
      <c r="F418" s="61">
        <v>3052000000</v>
      </c>
      <c r="G418" s="61">
        <v>0</v>
      </c>
      <c r="H418" s="61">
        <v>848000000</v>
      </c>
      <c r="I418" t="s">
        <v>41</v>
      </c>
      <c r="J418" t="s">
        <v>94</v>
      </c>
      <c r="K418" s="61">
        <f t="shared" si="18"/>
        <v>8139000000</v>
      </c>
      <c r="L418" s="61">
        <f t="shared" si="19"/>
        <v>3900000000</v>
      </c>
      <c r="M418" s="61">
        <f t="shared" si="20"/>
        <v>4239000000</v>
      </c>
    </row>
    <row r="419" spans="1:13" x14ac:dyDescent="0.25">
      <c r="A419" t="s">
        <v>189</v>
      </c>
      <c r="B419" t="s">
        <v>9</v>
      </c>
      <c r="C419">
        <v>41639</v>
      </c>
      <c r="D419" s="61">
        <v>9370000000</v>
      </c>
      <c r="E419" s="61">
        <v>698000000</v>
      </c>
      <c r="F419" s="61">
        <v>3194000000</v>
      </c>
      <c r="G419" s="61">
        <v>0</v>
      </c>
      <c r="H419" s="61">
        <v>1086000000</v>
      </c>
      <c r="I419" t="s">
        <v>41</v>
      </c>
      <c r="J419" t="s">
        <v>94</v>
      </c>
      <c r="K419" s="61">
        <f t="shared" si="18"/>
        <v>8672000000</v>
      </c>
      <c r="L419" s="61">
        <f t="shared" si="19"/>
        <v>4280000000</v>
      </c>
      <c r="M419" s="61">
        <f t="shared" si="20"/>
        <v>4392000000</v>
      </c>
    </row>
    <row r="420" spans="1:13" x14ac:dyDescent="0.25">
      <c r="A420" t="s">
        <v>189</v>
      </c>
      <c r="B420" t="s">
        <v>10</v>
      </c>
      <c r="C420">
        <v>42004</v>
      </c>
      <c r="D420" s="61">
        <v>9611000000</v>
      </c>
      <c r="E420" s="61">
        <v>614000000</v>
      </c>
      <c r="F420" s="61">
        <v>3340000000</v>
      </c>
      <c r="G420" s="61">
        <v>0</v>
      </c>
      <c r="H420" s="61">
        <v>1443000000</v>
      </c>
      <c r="I420" t="s">
        <v>41</v>
      </c>
      <c r="J420" t="s">
        <v>94</v>
      </c>
      <c r="K420" s="61">
        <f t="shared" si="18"/>
        <v>8997000000</v>
      </c>
      <c r="L420" s="61">
        <f t="shared" si="19"/>
        <v>4783000000</v>
      </c>
      <c r="M420" s="61">
        <f t="shared" si="20"/>
        <v>4214000000</v>
      </c>
    </row>
    <row r="421" spans="1:13" x14ac:dyDescent="0.25">
      <c r="A421" t="s">
        <v>189</v>
      </c>
      <c r="B421" t="s">
        <v>11</v>
      </c>
      <c r="C421">
        <v>42369</v>
      </c>
      <c r="D421" s="61">
        <v>10002000000</v>
      </c>
      <c r="E421" s="61">
        <v>623000000</v>
      </c>
      <c r="F421" s="61">
        <v>3615000000</v>
      </c>
      <c r="G421" s="61">
        <v>0</v>
      </c>
      <c r="H421" s="61">
        <v>1512000000</v>
      </c>
      <c r="I421" t="s">
        <v>41</v>
      </c>
      <c r="J421" t="s">
        <v>94</v>
      </c>
      <c r="K421" s="61">
        <f t="shared" si="18"/>
        <v>9379000000</v>
      </c>
      <c r="L421" s="61">
        <f t="shared" si="19"/>
        <v>5127000000</v>
      </c>
      <c r="M421" s="61">
        <f t="shared" si="20"/>
        <v>4252000000</v>
      </c>
    </row>
    <row r="422" spans="1:13" x14ac:dyDescent="0.25">
      <c r="A422" t="s">
        <v>190</v>
      </c>
      <c r="B422" t="s">
        <v>6</v>
      </c>
      <c r="C422">
        <v>41306</v>
      </c>
      <c r="D422" s="61">
        <v>16022128000</v>
      </c>
      <c r="E422" s="61">
        <v>10936727000</v>
      </c>
      <c r="F422" s="61">
        <v>3430125000</v>
      </c>
      <c r="G422" s="61">
        <v>0</v>
      </c>
      <c r="H422" s="61">
        <v>0</v>
      </c>
      <c r="I422" t="s">
        <v>13</v>
      </c>
      <c r="J422" t="s">
        <v>191</v>
      </c>
      <c r="K422" s="61">
        <f t="shared" si="18"/>
        <v>5085401000</v>
      </c>
      <c r="L422" s="61">
        <f t="shared" si="19"/>
        <v>3430125000</v>
      </c>
      <c r="M422" s="61">
        <f t="shared" si="20"/>
        <v>1655276000</v>
      </c>
    </row>
    <row r="423" spans="1:13" x14ac:dyDescent="0.25">
      <c r="A423" t="s">
        <v>190</v>
      </c>
      <c r="B423" t="s">
        <v>9</v>
      </c>
      <c r="C423">
        <v>41670</v>
      </c>
      <c r="D423" s="61">
        <v>17504167000</v>
      </c>
      <c r="E423" s="61">
        <v>12068425000</v>
      </c>
      <c r="F423" s="61">
        <v>3699557000</v>
      </c>
      <c r="G423" s="61">
        <v>0</v>
      </c>
      <c r="H423" s="61">
        <v>0</v>
      </c>
      <c r="I423" t="s">
        <v>13</v>
      </c>
      <c r="J423" t="s">
        <v>191</v>
      </c>
      <c r="K423" s="61">
        <f t="shared" si="18"/>
        <v>5435742000</v>
      </c>
      <c r="L423" s="61">
        <f t="shared" si="19"/>
        <v>3699557000</v>
      </c>
      <c r="M423" s="61">
        <f t="shared" si="20"/>
        <v>1736185000</v>
      </c>
    </row>
    <row r="424" spans="1:13" x14ac:dyDescent="0.25">
      <c r="A424" t="s">
        <v>190</v>
      </c>
      <c r="B424" t="s">
        <v>10</v>
      </c>
      <c r="C424">
        <v>42034</v>
      </c>
      <c r="D424" s="61">
        <v>18909588000</v>
      </c>
      <c r="E424" s="61">
        <v>13107081000</v>
      </c>
      <c r="F424" s="61">
        <v>4033414000</v>
      </c>
      <c r="G424" s="61">
        <v>0</v>
      </c>
      <c r="H424" s="61">
        <v>0</v>
      </c>
      <c r="I424" t="s">
        <v>13</v>
      </c>
      <c r="J424" t="s">
        <v>191</v>
      </c>
      <c r="K424" s="61">
        <f t="shared" si="18"/>
        <v>5802507000</v>
      </c>
      <c r="L424" s="61">
        <f t="shared" si="19"/>
        <v>4033414000</v>
      </c>
      <c r="M424" s="61">
        <f t="shared" si="20"/>
        <v>1769093000</v>
      </c>
    </row>
    <row r="425" spans="1:13" x14ac:dyDescent="0.25">
      <c r="A425" t="s">
        <v>190</v>
      </c>
      <c r="B425" t="s">
        <v>11</v>
      </c>
      <c r="C425">
        <v>42398</v>
      </c>
      <c r="D425" s="61">
        <v>20368562000</v>
      </c>
      <c r="E425" s="61">
        <v>14062471000</v>
      </c>
      <c r="F425" s="61">
        <v>4365797000</v>
      </c>
      <c r="G425" s="61">
        <v>0</v>
      </c>
      <c r="H425" s="61">
        <v>0</v>
      </c>
      <c r="I425" t="s">
        <v>13</v>
      </c>
      <c r="J425" t="s">
        <v>191</v>
      </c>
      <c r="K425" s="61">
        <f t="shared" si="18"/>
        <v>6306091000</v>
      </c>
      <c r="L425" s="61">
        <f t="shared" si="19"/>
        <v>4365797000</v>
      </c>
      <c r="M425" s="61">
        <f t="shared" si="20"/>
        <v>1940294000</v>
      </c>
    </row>
    <row r="426" spans="1:13" x14ac:dyDescent="0.25">
      <c r="A426" t="s">
        <v>192</v>
      </c>
      <c r="B426" t="s">
        <v>6</v>
      </c>
      <c r="C426">
        <v>41274</v>
      </c>
      <c r="D426" s="61">
        <v>7383000000</v>
      </c>
      <c r="E426" s="61">
        <v>4365000000</v>
      </c>
      <c r="F426" s="61">
        <v>1742000000</v>
      </c>
      <c r="G426" s="61">
        <v>0</v>
      </c>
      <c r="H426" s="61">
        <v>75000000</v>
      </c>
      <c r="I426" t="s">
        <v>19</v>
      </c>
      <c r="J426" t="s">
        <v>193</v>
      </c>
      <c r="K426" s="61">
        <f t="shared" si="18"/>
        <v>3018000000</v>
      </c>
      <c r="L426" s="61">
        <f t="shared" si="19"/>
        <v>1817000000</v>
      </c>
      <c r="M426" s="61">
        <f t="shared" si="20"/>
        <v>1201000000</v>
      </c>
    </row>
    <row r="427" spans="1:13" x14ac:dyDescent="0.25">
      <c r="A427" t="s">
        <v>192</v>
      </c>
      <c r="B427" t="s">
        <v>9</v>
      </c>
      <c r="C427">
        <v>41639</v>
      </c>
      <c r="D427" s="61">
        <v>7146000000</v>
      </c>
      <c r="E427" s="61">
        <v>4326000000</v>
      </c>
      <c r="F427" s="61">
        <v>1740000000</v>
      </c>
      <c r="G427" s="61">
        <v>0</v>
      </c>
      <c r="H427" s="61">
        <v>79000000</v>
      </c>
      <c r="I427" t="s">
        <v>19</v>
      </c>
      <c r="J427" t="s">
        <v>193</v>
      </c>
      <c r="K427" s="61">
        <f t="shared" si="18"/>
        <v>2820000000</v>
      </c>
      <c r="L427" s="61">
        <f t="shared" si="19"/>
        <v>1819000000</v>
      </c>
      <c r="M427" s="61">
        <f t="shared" si="20"/>
        <v>1001000000</v>
      </c>
    </row>
    <row r="428" spans="1:13" x14ac:dyDescent="0.25">
      <c r="A428" t="s">
        <v>192</v>
      </c>
      <c r="B428" t="s">
        <v>10</v>
      </c>
      <c r="C428">
        <v>42004</v>
      </c>
      <c r="D428" s="61">
        <v>7435000000</v>
      </c>
      <c r="E428" s="61">
        <v>4637000000</v>
      </c>
      <c r="F428" s="61">
        <v>1721000000</v>
      </c>
      <c r="G428" s="61">
        <v>0</v>
      </c>
      <c r="H428" s="61">
        <v>94000000</v>
      </c>
      <c r="I428" t="s">
        <v>19</v>
      </c>
      <c r="J428" t="s">
        <v>193</v>
      </c>
      <c r="K428" s="61">
        <f t="shared" si="18"/>
        <v>2798000000</v>
      </c>
      <c r="L428" s="61">
        <f t="shared" si="19"/>
        <v>1815000000</v>
      </c>
      <c r="M428" s="61">
        <f t="shared" si="20"/>
        <v>983000000</v>
      </c>
    </row>
    <row r="429" spans="1:13" x14ac:dyDescent="0.25">
      <c r="A429" t="s">
        <v>192</v>
      </c>
      <c r="B429" t="s">
        <v>11</v>
      </c>
      <c r="C429">
        <v>42369</v>
      </c>
      <c r="D429" s="61">
        <v>7493000000</v>
      </c>
      <c r="E429" s="61">
        <v>4657000000</v>
      </c>
      <c r="F429" s="61">
        <v>1356000000</v>
      </c>
      <c r="G429" s="61">
        <v>0</v>
      </c>
      <c r="H429" s="61">
        <v>81000000</v>
      </c>
      <c r="I429" t="s">
        <v>19</v>
      </c>
      <c r="J429" t="s">
        <v>193</v>
      </c>
      <c r="K429" s="61">
        <f t="shared" si="18"/>
        <v>2836000000</v>
      </c>
      <c r="L429" s="61">
        <f t="shared" si="19"/>
        <v>1437000000</v>
      </c>
      <c r="M429" s="61">
        <f t="shared" si="20"/>
        <v>1399000000</v>
      </c>
    </row>
    <row r="430" spans="1:13" x14ac:dyDescent="0.25">
      <c r="A430" t="s">
        <v>194</v>
      </c>
      <c r="B430" t="s">
        <v>6</v>
      </c>
      <c r="C430">
        <v>41547</v>
      </c>
      <c r="D430" s="61">
        <v>6259300000</v>
      </c>
      <c r="E430" s="61">
        <v>4853500000</v>
      </c>
      <c r="F430" s="61">
        <v>649900000</v>
      </c>
      <c r="G430" s="61">
        <v>0</v>
      </c>
      <c r="H430" s="61">
        <v>0</v>
      </c>
      <c r="I430" t="s">
        <v>13</v>
      </c>
      <c r="J430" t="s">
        <v>195</v>
      </c>
      <c r="K430" s="61">
        <f t="shared" si="18"/>
        <v>1405800000</v>
      </c>
      <c r="L430" s="61">
        <f t="shared" si="19"/>
        <v>649900000</v>
      </c>
      <c r="M430" s="61">
        <f t="shared" si="20"/>
        <v>755900000</v>
      </c>
    </row>
    <row r="431" spans="1:13" x14ac:dyDescent="0.25">
      <c r="A431" t="s">
        <v>194</v>
      </c>
      <c r="B431" t="s">
        <v>9</v>
      </c>
      <c r="C431">
        <v>41912</v>
      </c>
      <c r="D431" s="61">
        <v>8024900000</v>
      </c>
      <c r="E431" s="61">
        <v>6268600000</v>
      </c>
      <c r="F431" s="61">
        <v>826900000</v>
      </c>
      <c r="G431" s="61">
        <v>0</v>
      </c>
      <c r="H431" s="61">
        <v>0</v>
      </c>
      <c r="I431" t="s">
        <v>13</v>
      </c>
      <c r="J431" t="s">
        <v>195</v>
      </c>
      <c r="K431" s="61">
        <f t="shared" si="18"/>
        <v>1756300000</v>
      </c>
      <c r="L431" s="61">
        <f t="shared" si="19"/>
        <v>826900000</v>
      </c>
      <c r="M431" s="61">
        <f t="shared" si="20"/>
        <v>929400000</v>
      </c>
    </row>
    <row r="432" spans="1:13" x14ac:dyDescent="0.25">
      <c r="A432" t="s">
        <v>194</v>
      </c>
      <c r="B432" t="s">
        <v>10</v>
      </c>
      <c r="C432">
        <v>42277</v>
      </c>
      <c r="D432" s="61">
        <v>10824000000</v>
      </c>
      <c r="E432" s="61">
        <v>8535700000</v>
      </c>
      <c r="F432" s="61">
        <v>1003000000</v>
      </c>
      <c r="G432" s="61">
        <v>0</v>
      </c>
      <c r="H432" s="61">
        <v>0</v>
      </c>
      <c r="I432" t="s">
        <v>13</v>
      </c>
      <c r="J432" t="s">
        <v>195</v>
      </c>
      <c r="K432" s="61">
        <f t="shared" si="18"/>
        <v>2288300000</v>
      </c>
      <c r="L432" s="61">
        <f t="shared" si="19"/>
        <v>1003000000</v>
      </c>
      <c r="M432" s="61">
        <f t="shared" si="20"/>
        <v>1285300000</v>
      </c>
    </row>
    <row r="433" spans="1:13" x14ac:dyDescent="0.25">
      <c r="A433" t="s">
        <v>194</v>
      </c>
      <c r="B433" t="s">
        <v>11</v>
      </c>
      <c r="C433">
        <v>42643</v>
      </c>
      <c r="D433" s="61">
        <v>12157400000</v>
      </c>
      <c r="E433" s="61">
        <v>9502600000</v>
      </c>
      <c r="F433" s="61">
        <v>1100300000</v>
      </c>
      <c r="G433" s="61">
        <v>0</v>
      </c>
      <c r="H433" s="61">
        <v>0</v>
      </c>
      <c r="I433" t="s">
        <v>13</v>
      </c>
      <c r="J433" t="s">
        <v>195</v>
      </c>
      <c r="K433" s="61">
        <f t="shared" si="18"/>
        <v>2654800000</v>
      </c>
      <c r="L433" s="61">
        <f t="shared" si="19"/>
        <v>1100300000</v>
      </c>
      <c r="M433" s="61">
        <f t="shared" si="20"/>
        <v>1554500000</v>
      </c>
    </row>
    <row r="434" spans="1:13" x14ac:dyDescent="0.25">
      <c r="A434" t="s">
        <v>196</v>
      </c>
      <c r="B434" t="s">
        <v>6</v>
      </c>
      <c r="C434">
        <v>41274</v>
      </c>
      <c r="D434" s="61">
        <v>18260400000</v>
      </c>
      <c r="E434" s="61">
        <v>8846100000</v>
      </c>
      <c r="F434" s="61">
        <v>5181200000</v>
      </c>
      <c r="G434" s="61">
        <v>1137900000</v>
      </c>
      <c r="H434" s="61">
        <v>0</v>
      </c>
      <c r="I434" t="s">
        <v>7</v>
      </c>
      <c r="J434" t="s">
        <v>158</v>
      </c>
      <c r="K434" s="61">
        <f t="shared" si="18"/>
        <v>9414300000</v>
      </c>
      <c r="L434" s="61">
        <f t="shared" si="19"/>
        <v>6319100000</v>
      </c>
      <c r="M434" s="61">
        <f t="shared" si="20"/>
        <v>3095200000</v>
      </c>
    </row>
    <row r="435" spans="1:13" x14ac:dyDescent="0.25">
      <c r="A435" t="s">
        <v>196</v>
      </c>
      <c r="B435" t="s">
        <v>9</v>
      </c>
      <c r="C435">
        <v>41639</v>
      </c>
      <c r="D435" s="61">
        <v>18283100000</v>
      </c>
      <c r="E435" s="61">
        <v>8941100000</v>
      </c>
      <c r="F435" s="61">
        <v>5117100000</v>
      </c>
      <c r="G435" s="61">
        <v>1104400000</v>
      </c>
      <c r="H435" s="61">
        <v>0</v>
      </c>
      <c r="I435" t="s">
        <v>7</v>
      </c>
      <c r="J435" t="s">
        <v>158</v>
      </c>
      <c r="K435" s="61">
        <f t="shared" si="18"/>
        <v>9342000000</v>
      </c>
      <c r="L435" s="61">
        <f t="shared" si="19"/>
        <v>6221500000</v>
      </c>
      <c r="M435" s="61">
        <f t="shared" si="20"/>
        <v>3120500000</v>
      </c>
    </row>
    <row r="436" spans="1:13" x14ac:dyDescent="0.25">
      <c r="A436" t="s">
        <v>196</v>
      </c>
      <c r="B436" t="s">
        <v>10</v>
      </c>
      <c r="C436">
        <v>42004</v>
      </c>
      <c r="D436" s="61">
        <v>19154000000</v>
      </c>
      <c r="E436" s="61">
        <v>9261400000</v>
      </c>
      <c r="F436" s="61">
        <v>5389000000</v>
      </c>
      <c r="G436" s="61">
        <v>1157000000</v>
      </c>
      <c r="H436" s="61">
        <v>0</v>
      </c>
      <c r="I436" t="s">
        <v>7</v>
      </c>
      <c r="J436" t="s">
        <v>158</v>
      </c>
      <c r="K436" s="61">
        <f t="shared" si="18"/>
        <v>9892600000</v>
      </c>
      <c r="L436" s="61">
        <f t="shared" si="19"/>
        <v>6546000000</v>
      </c>
      <c r="M436" s="61">
        <f t="shared" si="20"/>
        <v>3346600000</v>
      </c>
    </row>
    <row r="437" spans="1:13" x14ac:dyDescent="0.25">
      <c r="A437" t="s">
        <v>196</v>
      </c>
      <c r="B437" t="s">
        <v>11</v>
      </c>
      <c r="C437">
        <v>42369</v>
      </c>
      <c r="D437" s="61">
        <v>20563100000</v>
      </c>
      <c r="E437" s="61">
        <v>9800600000</v>
      </c>
      <c r="F437" s="61">
        <v>6054300000</v>
      </c>
      <c r="G437" s="61">
        <v>1239100000</v>
      </c>
      <c r="H437" s="61">
        <v>0</v>
      </c>
      <c r="I437" t="s">
        <v>7</v>
      </c>
      <c r="J437" t="s">
        <v>158</v>
      </c>
      <c r="K437" s="61">
        <f t="shared" si="18"/>
        <v>10762500000</v>
      </c>
      <c r="L437" s="61">
        <f t="shared" si="19"/>
        <v>7293400000</v>
      </c>
      <c r="M437" s="61">
        <f t="shared" si="20"/>
        <v>3469100000</v>
      </c>
    </row>
    <row r="438" spans="1:13" x14ac:dyDescent="0.25">
      <c r="A438" t="s">
        <v>197</v>
      </c>
      <c r="B438" t="s">
        <v>6</v>
      </c>
      <c r="C438">
        <v>41545</v>
      </c>
      <c r="D438" s="61">
        <v>45041000000</v>
      </c>
      <c r="E438" s="61">
        <v>25034000000</v>
      </c>
      <c r="F438" s="61">
        <v>8365000000</v>
      </c>
      <c r="G438" s="61">
        <v>0</v>
      </c>
      <c r="H438" s="61">
        <v>2192000000</v>
      </c>
      <c r="I438" t="s">
        <v>13</v>
      </c>
      <c r="J438" t="s">
        <v>198</v>
      </c>
      <c r="K438" s="61">
        <f t="shared" si="18"/>
        <v>20007000000</v>
      </c>
      <c r="L438" s="61">
        <f t="shared" si="19"/>
        <v>10557000000</v>
      </c>
      <c r="M438" s="61">
        <f t="shared" si="20"/>
        <v>9450000000</v>
      </c>
    </row>
    <row r="439" spans="1:13" x14ac:dyDescent="0.25">
      <c r="A439" t="s">
        <v>197</v>
      </c>
      <c r="B439" t="s">
        <v>9</v>
      </c>
      <c r="C439">
        <v>41909</v>
      </c>
      <c r="D439" s="61">
        <v>48813000000</v>
      </c>
      <c r="E439" s="61">
        <v>26420000000</v>
      </c>
      <c r="F439" s="61">
        <v>8565000000</v>
      </c>
      <c r="G439" s="61">
        <v>0</v>
      </c>
      <c r="H439" s="61">
        <v>2288000000</v>
      </c>
      <c r="I439" t="s">
        <v>13</v>
      </c>
      <c r="J439" t="s">
        <v>198</v>
      </c>
      <c r="K439" s="61">
        <f t="shared" si="18"/>
        <v>22393000000</v>
      </c>
      <c r="L439" s="61">
        <f t="shared" si="19"/>
        <v>10853000000</v>
      </c>
      <c r="M439" s="61">
        <f t="shared" si="20"/>
        <v>11540000000</v>
      </c>
    </row>
    <row r="440" spans="1:13" x14ac:dyDescent="0.25">
      <c r="A440" t="s">
        <v>197</v>
      </c>
      <c r="B440" t="s">
        <v>10</v>
      </c>
      <c r="C440">
        <v>42280</v>
      </c>
      <c r="D440" s="61">
        <v>52465000000</v>
      </c>
      <c r="E440" s="61">
        <v>28364000000</v>
      </c>
      <c r="F440" s="61">
        <v>8523000000</v>
      </c>
      <c r="G440" s="61">
        <v>0</v>
      </c>
      <c r="H440" s="61">
        <v>2354000000</v>
      </c>
      <c r="I440" t="s">
        <v>13</v>
      </c>
      <c r="J440" t="s">
        <v>198</v>
      </c>
      <c r="K440" s="61">
        <f t="shared" si="18"/>
        <v>24101000000</v>
      </c>
      <c r="L440" s="61">
        <f t="shared" si="19"/>
        <v>10877000000</v>
      </c>
      <c r="M440" s="61">
        <f t="shared" si="20"/>
        <v>13224000000</v>
      </c>
    </row>
    <row r="441" spans="1:13" x14ac:dyDescent="0.25">
      <c r="A441" t="s">
        <v>197</v>
      </c>
      <c r="B441" t="s">
        <v>11</v>
      </c>
      <c r="C441">
        <v>42644</v>
      </c>
      <c r="D441" s="61">
        <v>55632000000</v>
      </c>
      <c r="E441" s="61">
        <v>29993000000</v>
      </c>
      <c r="F441" s="61">
        <v>8754000000</v>
      </c>
      <c r="G441" s="61">
        <v>0</v>
      </c>
      <c r="H441" s="61">
        <v>2527000000</v>
      </c>
      <c r="I441" t="s">
        <v>13</v>
      </c>
      <c r="J441" t="s">
        <v>198</v>
      </c>
      <c r="K441" s="61">
        <f t="shared" si="18"/>
        <v>25639000000</v>
      </c>
      <c r="L441" s="61">
        <f t="shared" si="19"/>
        <v>11281000000</v>
      </c>
      <c r="M441" s="61">
        <f t="shared" si="20"/>
        <v>14358000000</v>
      </c>
    </row>
    <row r="442" spans="1:13" x14ac:dyDescent="0.25">
      <c r="A442" t="s">
        <v>199</v>
      </c>
      <c r="B442" t="s">
        <v>6</v>
      </c>
      <c r="C442">
        <v>41639</v>
      </c>
      <c r="D442" s="61">
        <v>5535000000</v>
      </c>
      <c r="E442" s="61">
        <v>1689000000</v>
      </c>
      <c r="F442" s="61">
        <v>1598000000</v>
      </c>
      <c r="G442" s="61">
        <v>0</v>
      </c>
      <c r="H442" s="61">
        <v>276000000</v>
      </c>
      <c r="I442" t="s">
        <v>13</v>
      </c>
      <c r="J442" t="s">
        <v>142</v>
      </c>
      <c r="K442" s="61">
        <f t="shared" si="18"/>
        <v>3846000000</v>
      </c>
      <c r="L442" s="61">
        <f t="shared" si="19"/>
        <v>1874000000</v>
      </c>
      <c r="M442" s="61">
        <f t="shared" si="20"/>
        <v>1972000000</v>
      </c>
    </row>
    <row r="443" spans="1:13" x14ac:dyDescent="0.25">
      <c r="A443" t="s">
        <v>199</v>
      </c>
      <c r="B443" t="s">
        <v>9</v>
      </c>
      <c r="C443">
        <v>42004</v>
      </c>
      <c r="D443" s="61">
        <v>6265000000</v>
      </c>
      <c r="E443" s="61">
        <v>2124000000</v>
      </c>
      <c r="F443" s="61">
        <v>1692000000</v>
      </c>
      <c r="G443" s="61">
        <v>0</v>
      </c>
      <c r="H443" s="61">
        <v>329000000</v>
      </c>
      <c r="I443" t="s">
        <v>13</v>
      </c>
      <c r="J443" t="s">
        <v>142</v>
      </c>
      <c r="K443" s="61">
        <f t="shared" si="18"/>
        <v>4141000000</v>
      </c>
      <c r="L443" s="61">
        <f t="shared" si="19"/>
        <v>2021000000</v>
      </c>
      <c r="M443" s="61">
        <f t="shared" si="20"/>
        <v>2120000000</v>
      </c>
    </row>
    <row r="444" spans="1:13" x14ac:dyDescent="0.25">
      <c r="A444" t="s">
        <v>199</v>
      </c>
      <c r="B444" t="s">
        <v>10</v>
      </c>
      <c r="C444">
        <v>42369</v>
      </c>
      <c r="D444" s="61">
        <v>6394000000</v>
      </c>
      <c r="E444" s="61">
        <v>2343000000</v>
      </c>
      <c r="F444" s="61">
        <v>1669000000</v>
      </c>
      <c r="G444" s="61">
        <v>0</v>
      </c>
      <c r="H444" s="61">
        <v>330000000</v>
      </c>
      <c r="I444" t="s">
        <v>13</v>
      </c>
      <c r="J444" t="s">
        <v>142</v>
      </c>
      <c r="K444" s="61">
        <f t="shared" si="18"/>
        <v>4051000000</v>
      </c>
      <c r="L444" s="61">
        <f t="shared" si="19"/>
        <v>1999000000</v>
      </c>
      <c r="M444" s="61">
        <f t="shared" si="20"/>
        <v>2052000000</v>
      </c>
    </row>
    <row r="445" spans="1:13" x14ac:dyDescent="0.25">
      <c r="A445" t="s">
        <v>199</v>
      </c>
      <c r="B445" t="s">
        <v>11</v>
      </c>
      <c r="C445">
        <v>42735</v>
      </c>
      <c r="D445" s="61">
        <v>6497000000</v>
      </c>
      <c r="E445" s="61">
        <v>2432000000</v>
      </c>
      <c r="F445" s="61">
        <v>1690000000</v>
      </c>
      <c r="G445" s="61">
        <v>0</v>
      </c>
      <c r="H445" s="61">
        <v>322000000</v>
      </c>
      <c r="I445" t="s">
        <v>13</v>
      </c>
      <c r="J445" t="s">
        <v>142</v>
      </c>
      <c r="K445" s="61">
        <f t="shared" si="18"/>
        <v>4065000000</v>
      </c>
      <c r="L445" s="61">
        <f t="shared" si="19"/>
        <v>2012000000</v>
      </c>
      <c r="M445" s="61">
        <f t="shared" si="20"/>
        <v>2053000000</v>
      </c>
    </row>
    <row r="446" spans="1:13" x14ac:dyDescent="0.25">
      <c r="A446" t="s">
        <v>200</v>
      </c>
      <c r="B446" t="s">
        <v>6</v>
      </c>
      <c r="C446">
        <v>41639</v>
      </c>
      <c r="D446" s="61">
        <v>5535000000</v>
      </c>
      <c r="E446" s="61">
        <v>1689000000</v>
      </c>
      <c r="F446" s="61">
        <v>1598000000</v>
      </c>
      <c r="G446" s="61">
        <v>0</v>
      </c>
      <c r="H446" s="61">
        <v>276000000</v>
      </c>
      <c r="I446" t="s">
        <v>13</v>
      </c>
      <c r="J446" t="s">
        <v>142</v>
      </c>
      <c r="K446" s="61">
        <f t="shared" si="18"/>
        <v>3846000000</v>
      </c>
      <c r="L446" s="61">
        <f t="shared" si="19"/>
        <v>1874000000</v>
      </c>
      <c r="M446" s="61">
        <f t="shared" si="20"/>
        <v>1972000000</v>
      </c>
    </row>
    <row r="447" spans="1:13" x14ac:dyDescent="0.25">
      <c r="A447" t="s">
        <v>200</v>
      </c>
      <c r="B447" t="s">
        <v>9</v>
      </c>
      <c r="C447">
        <v>42004</v>
      </c>
      <c r="D447" s="61">
        <v>6265000000</v>
      </c>
      <c r="E447" s="61">
        <v>2124000000</v>
      </c>
      <c r="F447" s="61">
        <v>1692000000</v>
      </c>
      <c r="G447" s="61">
        <v>0</v>
      </c>
      <c r="H447" s="61">
        <v>329000000</v>
      </c>
      <c r="I447" t="s">
        <v>13</v>
      </c>
      <c r="J447" t="s">
        <v>142</v>
      </c>
      <c r="K447" s="61">
        <f t="shared" si="18"/>
        <v>4141000000</v>
      </c>
      <c r="L447" s="61">
        <f t="shared" si="19"/>
        <v>2021000000</v>
      </c>
      <c r="M447" s="61">
        <f t="shared" si="20"/>
        <v>2120000000</v>
      </c>
    </row>
    <row r="448" spans="1:13" x14ac:dyDescent="0.25">
      <c r="A448" t="s">
        <v>200</v>
      </c>
      <c r="B448" t="s">
        <v>10</v>
      </c>
      <c r="C448">
        <v>42369</v>
      </c>
      <c r="D448" s="61">
        <v>6394000000</v>
      </c>
      <c r="E448" s="61">
        <v>2343000000</v>
      </c>
      <c r="F448" s="61">
        <v>1669000000</v>
      </c>
      <c r="G448" s="61">
        <v>0</v>
      </c>
      <c r="H448" s="61">
        <v>330000000</v>
      </c>
      <c r="I448" t="s">
        <v>13</v>
      </c>
      <c r="J448" t="s">
        <v>142</v>
      </c>
      <c r="K448" s="61">
        <f t="shared" si="18"/>
        <v>4051000000</v>
      </c>
      <c r="L448" s="61">
        <f t="shared" si="19"/>
        <v>1999000000</v>
      </c>
      <c r="M448" s="61">
        <f t="shared" si="20"/>
        <v>2052000000</v>
      </c>
    </row>
    <row r="449" spans="1:13" x14ac:dyDescent="0.25">
      <c r="A449" t="s">
        <v>200</v>
      </c>
      <c r="B449" t="s">
        <v>11</v>
      </c>
      <c r="C449">
        <v>42735</v>
      </c>
      <c r="D449" s="61">
        <v>6497000000</v>
      </c>
      <c r="E449" s="61">
        <v>2432000000</v>
      </c>
      <c r="F449" s="61">
        <v>1690000000</v>
      </c>
      <c r="G449" s="61">
        <v>0</v>
      </c>
      <c r="H449" s="61">
        <v>322000000</v>
      </c>
      <c r="I449" t="s">
        <v>13</v>
      </c>
      <c r="J449" t="s">
        <v>142</v>
      </c>
      <c r="K449" s="61">
        <f t="shared" si="18"/>
        <v>4065000000</v>
      </c>
      <c r="L449" s="61">
        <f t="shared" si="19"/>
        <v>2012000000</v>
      </c>
      <c r="M449" s="61">
        <f t="shared" si="20"/>
        <v>2053000000</v>
      </c>
    </row>
    <row r="450" spans="1:13" x14ac:dyDescent="0.25">
      <c r="A450" t="s">
        <v>201</v>
      </c>
      <c r="B450" t="s">
        <v>6</v>
      </c>
      <c r="C450">
        <v>41639</v>
      </c>
      <c r="D450" s="61">
        <v>15051000000</v>
      </c>
      <c r="E450" s="61">
        <v>12274000000</v>
      </c>
      <c r="F450" s="61">
        <v>916000000</v>
      </c>
      <c r="G450" s="61">
        <v>0</v>
      </c>
      <c r="H450" s="61">
        <v>97000000</v>
      </c>
      <c r="I450" t="s">
        <v>13</v>
      </c>
      <c r="J450" t="s">
        <v>115</v>
      </c>
      <c r="K450" s="61">
        <f t="shared" ref="K450:K513" si="21">D450-E450</f>
        <v>2777000000</v>
      </c>
      <c r="L450" s="61">
        <f t="shared" ref="L450:L513" si="22">F450+G450+H450</f>
        <v>1013000000</v>
      </c>
      <c r="M450" s="61">
        <f t="shared" si="20"/>
        <v>1764000000</v>
      </c>
    </row>
    <row r="451" spans="1:13" x14ac:dyDescent="0.25">
      <c r="A451" t="s">
        <v>201</v>
      </c>
      <c r="B451" t="s">
        <v>9</v>
      </c>
      <c r="C451">
        <v>42004</v>
      </c>
      <c r="D451" s="61">
        <v>15499000000</v>
      </c>
      <c r="E451" s="61">
        <v>12471000000</v>
      </c>
      <c r="F451" s="61">
        <v>1036000000</v>
      </c>
      <c r="G451" s="61">
        <v>0</v>
      </c>
      <c r="H451" s="61">
        <v>94000000</v>
      </c>
      <c r="I451" t="s">
        <v>13</v>
      </c>
      <c r="J451" t="s">
        <v>115</v>
      </c>
      <c r="K451" s="61">
        <f t="shared" si="21"/>
        <v>3028000000</v>
      </c>
      <c r="L451" s="61">
        <f t="shared" si="22"/>
        <v>1130000000</v>
      </c>
      <c r="M451" s="61">
        <f t="shared" ref="M451:M514" si="23">K451-L451</f>
        <v>1898000000</v>
      </c>
    </row>
    <row r="452" spans="1:13" x14ac:dyDescent="0.25">
      <c r="A452" t="s">
        <v>201</v>
      </c>
      <c r="B452" t="s">
        <v>10</v>
      </c>
      <c r="C452">
        <v>42369</v>
      </c>
      <c r="D452" s="61">
        <v>15165000000</v>
      </c>
      <c r="E452" s="61">
        <v>12155000000</v>
      </c>
      <c r="F452" s="61">
        <v>1017000000</v>
      </c>
      <c r="G452" s="61">
        <v>0</v>
      </c>
      <c r="H452" s="61">
        <v>93000000</v>
      </c>
      <c r="I452" t="s">
        <v>13</v>
      </c>
      <c r="J452" t="s">
        <v>115</v>
      </c>
      <c r="K452" s="61">
        <f t="shared" si="21"/>
        <v>3010000000</v>
      </c>
      <c r="L452" s="61">
        <f t="shared" si="22"/>
        <v>1110000000</v>
      </c>
      <c r="M452" s="61">
        <f t="shared" si="23"/>
        <v>1900000000</v>
      </c>
    </row>
    <row r="453" spans="1:13" x14ac:dyDescent="0.25">
      <c r="A453" t="s">
        <v>201</v>
      </c>
      <c r="B453" t="s">
        <v>11</v>
      </c>
      <c r="C453">
        <v>42735</v>
      </c>
      <c r="D453" s="61">
        <v>16661000000</v>
      </c>
      <c r="E453" s="61">
        <v>13107000000</v>
      </c>
      <c r="F453" s="61">
        <v>1145000000</v>
      </c>
      <c r="G453" s="61">
        <v>0</v>
      </c>
      <c r="H453" s="61">
        <v>134000000</v>
      </c>
      <c r="I453" t="s">
        <v>13</v>
      </c>
      <c r="J453" t="s">
        <v>115</v>
      </c>
      <c r="K453" s="61">
        <f t="shared" si="21"/>
        <v>3554000000</v>
      </c>
      <c r="L453" s="61">
        <f t="shared" si="22"/>
        <v>1279000000</v>
      </c>
      <c r="M453" s="61">
        <f t="shared" si="23"/>
        <v>2275000000</v>
      </c>
    </row>
    <row r="454" spans="1:13" x14ac:dyDescent="0.25">
      <c r="A454" t="s">
        <v>202</v>
      </c>
      <c r="B454" t="s">
        <v>6</v>
      </c>
      <c r="C454">
        <v>41274</v>
      </c>
      <c r="D454" s="61">
        <v>1279067000</v>
      </c>
      <c r="E454" s="61">
        <v>461898000</v>
      </c>
      <c r="F454" s="61">
        <v>68538000</v>
      </c>
      <c r="G454" s="61">
        <v>0</v>
      </c>
      <c r="H454" s="61">
        <v>382553000</v>
      </c>
      <c r="I454" t="s">
        <v>46</v>
      </c>
      <c r="J454" t="s">
        <v>69</v>
      </c>
      <c r="K454" s="61">
        <f t="shared" si="21"/>
        <v>817169000</v>
      </c>
      <c r="L454" s="61">
        <f t="shared" si="22"/>
        <v>451091000</v>
      </c>
      <c r="M454" s="61">
        <f t="shared" si="23"/>
        <v>366078000</v>
      </c>
    </row>
    <row r="455" spans="1:13" x14ac:dyDescent="0.25">
      <c r="A455" t="s">
        <v>202</v>
      </c>
      <c r="B455" t="s">
        <v>9</v>
      </c>
      <c r="C455">
        <v>41639</v>
      </c>
      <c r="D455" s="61">
        <v>1482259000</v>
      </c>
      <c r="E455" s="61">
        <v>555660000</v>
      </c>
      <c r="F455" s="61">
        <v>69323000</v>
      </c>
      <c r="G455" s="61">
        <v>0</v>
      </c>
      <c r="H455" s="61">
        <v>475464000</v>
      </c>
      <c r="I455" t="s">
        <v>46</v>
      </c>
      <c r="J455" t="s">
        <v>69</v>
      </c>
      <c r="K455" s="61">
        <f t="shared" si="21"/>
        <v>926599000</v>
      </c>
      <c r="L455" s="61">
        <f t="shared" si="22"/>
        <v>544787000</v>
      </c>
      <c r="M455" s="61">
        <f t="shared" si="23"/>
        <v>381812000</v>
      </c>
    </row>
    <row r="456" spans="1:13" x14ac:dyDescent="0.25">
      <c r="A456" t="s">
        <v>202</v>
      </c>
      <c r="B456" t="s">
        <v>10</v>
      </c>
      <c r="C456">
        <v>42004</v>
      </c>
      <c r="D456" s="61">
        <v>1616438000</v>
      </c>
      <c r="E456" s="61">
        <v>603321000</v>
      </c>
      <c r="F456" s="61">
        <v>89468000</v>
      </c>
      <c r="G456" s="61">
        <v>0</v>
      </c>
      <c r="H456" s="61">
        <v>538513000</v>
      </c>
      <c r="I456" t="s">
        <v>46</v>
      </c>
      <c r="J456" t="s">
        <v>69</v>
      </c>
      <c r="K456" s="61">
        <f t="shared" si="21"/>
        <v>1013117000</v>
      </c>
      <c r="L456" s="61">
        <f t="shared" si="22"/>
        <v>627981000</v>
      </c>
      <c r="M456" s="61">
        <f t="shared" si="23"/>
        <v>385136000</v>
      </c>
    </row>
    <row r="457" spans="1:13" x14ac:dyDescent="0.25">
      <c r="A457" t="s">
        <v>202</v>
      </c>
      <c r="B457" t="s">
        <v>11</v>
      </c>
      <c r="C457">
        <v>42369</v>
      </c>
      <c r="D457" s="61">
        <v>1763336000</v>
      </c>
      <c r="E457" s="61">
        <v>651282000</v>
      </c>
      <c r="F457" s="61">
        <v>139616000</v>
      </c>
      <c r="G457" s="61">
        <v>0</v>
      </c>
      <c r="H457" s="61">
        <v>570527000</v>
      </c>
      <c r="I457" t="s">
        <v>46</v>
      </c>
      <c r="J457" t="s">
        <v>69</v>
      </c>
      <c r="K457" s="61">
        <f t="shared" si="21"/>
        <v>1112054000</v>
      </c>
      <c r="L457" s="61">
        <f t="shared" si="22"/>
        <v>710143000</v>
      </c>
      <c r="M457" s="61">
        <f t="shared" si="23"/>
        <v>401911000</v>
      </c>
    </row>
    <row r="458" spans="1:13" x14ac:dyDescent="0.25">
      <c r="A458" t="s">
        <v>203</v>
      </c>
      <c r="B458" t="s">
        <v>6</v>
      </c>
      <c r="C458">
        <v>41307</v>
      </c>
      <c r="D458" s="61">
        <v>7394500000</v>
      </c>
      <c r="E458" s="61">
        <v>4741800000</v>
      </c>
      <c r="F458" s="61">
        <v>1732600000</v>
      </c>
      <c r="G458" s="61">
        <v>0</v>
      </c>
      <c r="H458" s="61">
        <v>0</v>
      </c>
      <c r="I458" t="s">
        <v>13</v>
      </c>
      <c r="J458" t="s">
        <v>191</v>
      </c>
      <c r="K458" s="61">
        <f t="shared" si="21"/>
        <v>2652700000</v>
      </c>
      <c r="L458" s="61">
        <f t="shared" si="22"/>
        <v>1732600000</v>
      </c>
      <c r="M458" s="61">
        <f t="shared" si="23"/>
        <v>920100000</v>
      </c>
    </row>
    <row r="459" spans="1:13" x14ac:dyDescent="0.25">
      <c r="A459" t="s">
        <v>203</v>
      </c>
      <c r="B459" t="s">
        <v>9</v>
      </c>
      <c r="C459">
        <v>41671</v>
      </c>
      <c r="D459" s="61">
        <v>7840300000</v>
      </c>
      <c r="E459" s="61">
        <v>5050500000</v>
      </c>
      <c r="F459" s="61">
        <v>1819500000</v>
      </c>
      <c r="G459" s="61">
        <v>0</v>
      </c>
      <c r="H459" s="61">
        <v>0</v>
      </c>
      <c r="I459" t="s">
        <v>13</v>
      </c>
      <c r="J459" t="s">
        <v>191</v>
      </c>
      <c r="K459" s="61">
        <f t="shared" si="21"/>
        <v>2789800000</v>
      </c>
      <c r="L459" s="61">
        <f t="shared" si="22"/>
        <v>1819500000</v>
      </c>
      <c r="M459" s="61">
        <f t="shared" si="23"/>
        <v>970300000</v>
      </c>
    </row>
    <row r="460" spans="1:13" x14ac:dyDescent="0.25">
      <c r="A460" t="s">
        <v>203</v>
      </c>
      <c r="B460" t="s">
        <v>10</v>
      </c>
      <c r="C460">
        <v>42035</v>
      </c>
      <c r="D460" s="61">
        <v>8602200000</v>
      </c>
      <c r="E460" s="61">
        <v>5568200000</v>
      </c>
      <c r="F460" s="61">
        <v>1993800000</v>
      </c>
      <c r="G460" s="61">
        <v>0</v>
      </c>
      <c r="H460" s="61">
        <v>0</v>
      </c>
      <c r="I460" t="s">
        <v>13</v>
      </c>
      <c r="J460" t="s">
        <v>191</v>
      </c>
      <c r="K460" s="61">
        <f t="shared" si="21"/>
        <v>3034000000</v>
      </c>
      <c r="L460" s="61">
        <f t="shared" si="22"/>
        <v>1993800000</v>
      </c>
      <c r="M460" s="61">
        <f t="shared" si="23"/>
        <v>1040200000</v>
      </c>
    </row>
    <row r="461" spans="1:13" x14ac:dyDescent="0.25">
      <c r="A461" t="s">
        <v>203</v>
      </c>
      <c r="B461" t="s">
        <v>11</v>
      </c>
      <c r="C461">
        <v>42399</v>
      </c>
      <c r="D461" s="61">
        <v>15498400000</v>
      </c>
      <c r="E461" s="61">
        <v>10841700000</v>
      </c>
      <c r="F461" s="61">
        <v>3607000000</v>
      </c>
      <c r="G461" s="61">
        <v>0</v>
      </c>
      <c r="H461" s="61">
        <v>0</v>
      </c>
      <c r="I461" t="s">
        <v>13</v>
      </c>
      <c r="J461" t="s">
        <v>191</v>
      </c>
      <c r="K461" s="61">
        <f t="shared" si="21"/>
        <v>4656700000</v>
      </c>
      <c r="L461" s="61">
        <f t="shared" si="22"/>
        <v>3607000000</v>
      </c>
      <c r="M461" s="61">
        <f t="shared" si="23"/>
        <v>1049700000</v>
      </c>
    </row>
    <row r="462" spans="1:13" x14ac:dyDescent="0.25">
      <c r="A462" t="s">
        <v>204</v>
      </c>
      <c r="B462" t="s">
        <v>6</v>
      </c>
      <c r="C462">
        <v>41274</v>
      </c>
      <c r="D462" s="61">
        <v>1663000000</v>
      </c>
      <c r="E462" s="61">
        <v>0</v>
      </c>
      <c r="F462" s="61">
        <v>1123200000</v>
      </c>
      <c r="G462" s="61">
        <v>0</v>
      </c>
      <c r="H462" s="61">
        <v>78300000</v>
      </c>
      <c r="I462" t="s">
        <v>7</v>
      </c>
      <c r="J462" t="s">
        <v>205</v>
      </c>
      <c r="K462" s="61">
        <f t="shared" si="21"/>
        <v>1663000000</v>
      </c>
      <c r="L462" s="61">
        <f t="shared" si="22"/>
        <v>1201500000</v>
      </c>
      <c r="M462" s="61">
        <f t="shared" si="23"/>
        <v>461500000</v>
      </c>
    </row>
    <row r="463" spans="1:13" x14ac:dyDescent="0.25">
      <c r="A463" t="s">
        <v>204</v>
      </c>
      <c r="B463" t="s">
        <v>9</v>
      </c>
      <c r="C463">
        <v>41639</v>
      </c>
      <c r="D463" s="61">
        <v>1558400000</v>
      </c>
      <c r="E463" s="61">
        <v>0</v>
      </c>
      <c r="F463" s="61">
        <v>1058000000</v>
      </c>
      <c r="G463" s="61">
        <v>0</v>
      </c>
      <c r="H463" s="61">
        <v>60400000</v>
      </c>
      <c r="I463" t="s">
        <v>7</v>
      </c>
      <c r="J463" t="s">
        <v>205</v>
      </c>
      <c r="K463" s="61">
        <f t="shared" si="21"/>
        <v>1558400000</v>
      </c>
      <c r="L463" s="61">
        <f t="shared" si="22"/>
        <v>1118400000</v>
      </c>
      <c r="M463" s="61">
        <f t="shared" si="23"/>
        <v>440000000</v>
      </c>
    </row>
    <row r="464" spans="1:13" x14ac:dyDescent="0.25">
      <c r="A464" t="s">
        <v>204</v>
      </c>
      <c r="B464" t="s">
        <v>10</v>
      </c>
      <c r="C464">
        <v>42004</v>
      </c>
      <c r="D464" s="61">
        <v>1584500000</v>
      </c>
      <c r="E464" s="61">
        <v>0</v>
      </c>
      <c r="F464" s="61">
        <v>1105700000</v>
      </c>
      <c r="G464" s="61">
        <v>0</v>
      </c>
      <c r="H464" s="61">
        <v>52500000</v>
      </c>
      <c r="I464" t="s">
        <v>7</v>
      </c>
      <c r="J464" t="s">
        <v>205</v>
      </c>
      <c r="K464" s="61">
        <f t="shared" si="21"/>
        <v>1584500000</v>
      </c>
      <c r="L464" s="61">
        <f t="shared" si="22"/>
        <v>1158200000</v>
      </c>
      <c r="M464" s="61">
        <f t="shared" si="23"/>
        <v>426300000</v>
      </c>
    </row>
    <row r="465" spans="1:13" x14ac:dyDescent="0.25">
      <c r="A465" t="s">
        <v>204</v>
      </c>
      <c r="B465" t="s">
        <v>11</v>
      </c>
      <c r="C465">
        <v>42369</v>
      </c>
      <c r="D465" s="61">
        <v>1637100000</v>
      </c>
      <c r="E465" s="61">
        <v>0</v>
      </c>
      <c r="F465" s="61">
        <v>1209100000</v>
      </c>
      <c r="G465" s="61">
        <v>0</v>
      </c>
      <c r="H465" s="61">
        <v>58700000</v>
      </c>
      <c r="I465" t="s">
        <v>7</v>
      </c>
      <c r="J465" t="s">
        <v>205</v>
      </c>
      <c r="K465" s="61">
        <f t="shared" si="21"/>
        <v>1637100000</v>
      </c>
      <c r="L465" s="61">
        <f t="shared" si="22"/>
        <v>1267800000</v>
      </c>
      <c r="M465" s="61">
        <f t="shared" si="23"/>
        <v>369300000</v>
      </c>
    </row>
    <row r="466" spans="1:13" x14ac:dyDescent="0.25">
      <c r="A466" t="s">
        <v>206</v>
      </c>
      <c r="B466" t="s">
        <v>6</v>
      </c>
      <c r="C466">
        <v>41639</v>
      </c>
      <c r="D466" s="61">
        <v>7155096000</v>
      </c>
      <c r="E466" s="61">
        <v>4376505000</v>
      </c>
      <c r="F466" s="61">
        <v>1616921000</v>
      </c>
      <c r="G466" s="61">
        <v>0</v>
      </c>
      <c r="H466" s="61">
        <v>0</v>
      </c>
      <c r="I466" t="s">
        <v>7</v>
      </c>
      <c r="J466" t="s">
        <v>151</v>
      </c>
      <c r="K466" s="61">
        <f t="shared" si="21"/>
        <v>2778591000</v>
      </c>
      <c r="L466" s="61">
        <f t="shared" si="22"/>
        <v>1616921000</v>
      </c>
      <c r="M466" s="61">
        <f t="shared" si="23"/>
        <v>1161670000</v>
      </c>
    </row>
    <row r="467" spans="1:13" x14ac:dyDescent="0.25">
      <c r="A467" t="s">
        <v>206</v>
      </c>
      <c r="B467" t="s">
        <v>9</v>
      </c>
      <c r="C467">
        <v>42004</v>
      </c>
      <c r="D467" s="61">
        <v>7752728000</v>
      </c>
      <c r="E467" s="61">
        <v>4778479000</v>
      </c>
      <c r="F467" s="61">
        <v>1758765000</v>
      </c>
      <c r="G467" s="61">
        <v>0</v>
      </c>
      <c r="H467" s="61">
        <v>0</v>
      </c>
      <c r="I467" t="s">
        <v>7</v>
      </c>
      <c r="J467" t="s">
        <v>151</v>
      </c>
      <c r="K467" s="61">
        <f t="shared" si="21"/>
        <v>2974249000</v>
      </c>
      <c r="L467" s="61">
        <f t="shared" si="22"/>
        <v>1758765000</v>
      </c>
      <c r="M467" s="61">
        <f t="shared" si="23"/>
        <v>1215484000</v>
      </c>
    </row>
    <row r="468" spans="1:13" x14ac:dyDescent="0.25">
      <c r="A468" t="s">
        <v>206</v>
      </c>
      <c r="B468" t="s">
        <v>10</v>
      </c>
      <c r="C468">
        <v>42369</v>
      </c>
      <c r="D468" s="61">
        <v>6956311000</v>
      </c>
      <c r="E468" s="61">
        <v>4388167000</v>
      </c>
      <c r="F468" s="61">
        <v>1647382000</v>
      </c>
      <c r="G468" s="61">
        <v>0</v>
      </c>
      <c r="H468" s="61">
        <v>0</v>
      </c>
      <c r="I468" t="s">
        <v>7</v>
      </c>
      <c r="J468" t="s">
        <v>151</v>
      </c>
      <c r="K468" s="61">
        <f t="shared" si="21"/>
        <v>2568144000</v>
      </c>
      <c r="L468" s="61">
        <f t="shared" si="22"/>
        <v>1647382000</v>
      </c>
      <c r="M468" s="61">
        <f t="shared" si="23"/>
        <v>920762000</v>
      </c>
    </row>
    <row r="469" spans="1:13" x14ac:dyDescent="0.25">
      <c r="A469" t="s">
        <v>206</v>
      </c>
      <c r="B469" t="s">
        <v>11</v>
      </c>
      <c r="C469">
        <v>42735</v>
      </c>
      <c r="D469" s="61">
        <v>6794342000</v>
      </c>
      <c r="E469" s="61">
        <v>4322373000</v>
      </c>
      <c r="F469" s="61">
        <v>1757523000</v>
      </c>
      <c r="G469" s="61">
        <v>0</v>
      </c>
      <c r="H469" s="61">
        <v>0</v>
      </c>
      <c r="I469" t="s">
        <v>7</v>
      </c>
      <c r="J469" t="s">
        <v>151</v>
      </c>
      <c r="K469" s="61">
        <f t="shared" si="21"/>
        <v>2471969000</v>
      </c>
      <c r="L469" s="61">
        <f t="shared" si="22"/>
        <v>1757523000</v>
      </c>
      <c r="M469" s="61">
        <f t="shared" si="23"/>
        <v>714446000</v>
      </c>
    </row>
    <row r="470" spans="1:13" x14ac:dyDescent="0.25">
      <c r="A470" t="s">
        <v>207</v>
      </c>
      <c r="B470" t="s">
        <v>6</v>
      </c>
      <c r="C470">
        <v>41639</v>
      </c>
      <c r="D470" s="61">
        <v>5997000000</v>
      </c>
      <c r="E470" s="61">
        <v>2499000000</v>
      </c>
      <c r="F470" s="61">
        <v>2337000000</v>
      </c>
      <c r="G470" s="61">
        <v>0</v>
      </c>
      <c r="H470" s="61">
        <v>115000000</v>
      </c>
      <c r="I470" t="s">
        <v>30</v>
      </c>
      <c r="J470" t="s">
        <v>208</v>
      </c>
      <c r="K470" s="61">
        <f t="shared" si="21"/>
        <v>3498000000</v>
      </c>
      <c r="L470" s="61">
        <f t="shared" si="22"/>
        <v>2452000000</v>
      </c>
      <c r="M470" s="61">
        <f t="shared" si="23"/>
        <v>1046000000</v>
      </c>
    </row>
    <row r="471" spans="1:13" x14ac:dyDescent="0.25">
      <c r="A471" t="s">
        <v>207</v>
      </c>
      <c r="B471" t="s">
        <v>9</v>
      </c>
      <c r="C471">
        <v>42004</v>
      </c>
      <c r="D471" s="61">
        <v>6121000000</v>
      </c>
      <c r="E471" s="61">
        <v>2491000000</v>
      </c>
      <c r="F471" s="61">
        <v>2335000000</v>
      </c>
      <c r="G471" s="61">
        <v>0</v>
      </c>
      <c r="H471" s="61">
        <v>115000000</v>
      </c>
      <c r="I471" t="s">
        <v>30</v>
      </c>
      <c r="J471" t="s">
        <v>208</v>
      </c>
      <c r="K471" s="61">
        <f t="shared" si="21"/>
        <v>3630000000</v>
      </c>
      <c r="L471" s="61">
        <f t="shared" si="22"/>
        <v>2450000000</v>
      </c>
      <c r="M471" s="61">
        <f t="shared" si="23"/>
        <v>1180000000</v>
      </c>
    </row>
    <row r="472" spans="1:13" x14ac:dyDescent="0.25">
      <c r="A472" t="s">
        <v>207</v>
      </c>
      <c r="B472" t="s">
        <v>10</v>
      </c>
      <c r="C472">
        <v>42369</v>
      </c>
      <c r="D472" s="61">
        <v>6282000000</v>
      </c>
      <c r="E472" s="61">
        <v>2559000000</v>
      </c>
      <c r="F472" s="61">
        <v>2320000000</v>
      </c>
      <c r="G472" s="61">
        <v>0</v>
      </c>
      <c r="H472" s="61">
        <v>105000000</v>
      </c>
      <c r="I472" t="s">
        <v>30</v>
      </c>
      <c r="J472" t="s">
        <v>208</v>
      </c>
      <c r="K472" s="61">
        <f t="shared" si="21"/>
        <v>3723000000</v>
      </c>
      <c r="L472" s="61">
        <f t="shared" si="22"/>
        <v>2425000000</v>
      </c>
      <c r="M472" s="61">
        <f t="shared" si="23"/>
        <v>1298000000</v>
      </c>
    </row>
    <row r="473" spans="1:13" x14ac:dyDescent="0.25">
      <c r="A473" t="s">
        <v>207</v>
      </c>
      <c r="B473" t="s">
        <v>11</v>
      </c>
      <c r="C473">
        <v>42735</v>
      </c>
      <c r="D473" s="61">
        <v>6440000000</v>
      </c>
      <c r="E473" s="61">
        <v>2582000000</v>
      </c>
      <c r="F473" s="61">
        <v>2326000000</v>
      </c>
      <c r="G473" s="61">
        <v>0</v>
      </c>
      <c r="H473" s="61">
        <v>99000000</v>
      </c>
      <c r="I473" t="s">
        <v>30</v>
      </c>
      <c r="J473" t="s">
        <v>208</v>
      </c>
      <c r="K473" s="61">
        <f t="shared" si="21"/>
        <v>3858000000</v>
      </c>
      <c r="L473" s="61">
        <f t="shared" si="22"/>
        <v>2425000000</v>
      </c>
      <c r="M473" s="61">
        <f t="shared" si="23"/>
        <v>1433000000</v>
      </c>
    </row>
    <row r="474" spans="1:13" x14ac:dyDescent="0.25">
      <c r="A474" t="s">
        <v>209</v>
      </c>
      <c r="B474" t="s">
        <v>6</v>
      </c>
      <c r="C474">
        <v>41420</v>
      </c>
      <c r="D474" s="61">
        <v>5921000000</v>
      </c>
      <c r="E474" s="61">
        <v>4616600000</v>
      </c>
      <c r="F474" s="61">
        <v>625200000</v>
      </c>
      <c r="G474" s="61">
        <v>0</v>
      </c>
      <c r="H474" s="61">
        <v>278300000</v>
      </c>
      <c r="I474" t="s">
        <v>13</v>
      </c>
      <c r="J474" t="s">
        <v>149</v>
      </c>
      <c r="K474" s="61">
        <f t="shared" si="21"/>
        <v>1304400000</v>
      </c>
      <c r="L474" s="61">
        <f t="shared" si="22"/>
        <v>903500000</v>
      </c>
      <c r="M474" s="61">
        <f t="shared" si="23"/>
        <v>400900000</v>
      </c>
    </row>
    <row r="475" spans="1:13" x14ac:dyDescent="0.25">
      <c r="A475" t="s">
        <v>209</v>
      </c>
      <c r="B475" t="s">
        <v>9</v>
      </c>
      <c r="C475">
        <v>41784</v>
      </c>
      <c r="D475" s="61">
        <v>6285600000</v>
      </c>
      <c r="E475" s="61">
        <v>4990500000</v>
      </c>
      <c r="F475" s="61">
        <v>665400000</v>
      </c>
      <c r="G475" s="61">
        <v>0</v>
      </c>
      <c r="H475" s="61">
        <v>304400000</v>
      </c>
      <c r="I475" t="s">
        <v>13</v>
      </c>
      <c r="J475" t="s">
        <v>149</v>
      </c>
      <c r="K475" s="61">
        <f t="shared" si="21"/>
        <v>1295100000</v>
      </c>
      <c r="L475" s="61">
        <f t="shared" si="22"/>
        <v>969800000</v>
      </c>
      <c r="M475" s="61">
        <f t="shared" si="23"/>
        <v>325300000</v>
      </c>
    </row>
    <row r="476" spans="1:13" x14ac:dyDescent="0.25">
      <c r="A476" t="s">
        <v>209</v>
      </c>
      <c r="B476" t="s">
        <v>10</v>
      </c>
      <c r="C476">
        <v>42155</v>
      </c>
      <c r="D476" s="61">
        <v>6764000000</v>
      </c>
      <c r="E476" s="61">
        <v>5341500000</v>
      </c>
      <c r="F476" s="61">
        <v>673500000</v>
      </c>
      <c r="G476" s="61">
        <v>0</v>
      </c>
      <c r="H476" s="61">
        <v>319300000</v>
      </c>
      <c r="I476" t="s">
        <v>13</v>
      </c>
      <c r="J476" t="s">
        <v>149</v>
      </c>
      <c r="K476" s="61">
        <f t="shared" si="21"/>
        <v>1422500000</v>
      </c>
      <c r="L476" s="61">
        <f t="shared" si="22"/>
        <v>992800000</v>
      </c>
      <c r="M476" s="61">
        <f t="shared" si="23"/>
        <v>429700000</v>
      </c>
    </row>
    <row r="477" spans="1:13" x14ac:dyDescent="0.25">
      <c r="A477" t="s">
        <v>209</v>
      </c>
      <c r="B477" t="s">
        <v>11</v>
      </c>
      <c r="C477">
        <v>42519</v>
      </c>
      <c r="D477" s="61">
        <v>6933500000</v>
      </c>
      <c r="E477" s="61">
        <v>5392400000</v>
      </c>
      <c r="F477" s="61">
        <v>622900000</v>
      </c>
      <c r="G477" s="61">
        <v>0</v>
      </c>
      <c r="H477" s="61">
        <v>290200000</v>
      </c>
      <c r="I477" t="s">
        <v>13</v>
      </c>
      <c r="J477" t="s">
        <v>149</v>
      </c>
      <c r="K477" s="61">
        <f t="shared" si="21"/>
        <v>1541100000</v>
      </c>
      <c r="L477" s="61">
        <f t="shared" si="22"/>
        <v>913100000</v>
      </c>
      <c r="M477" s="61">
        <f t="shared" si="23"/>
        <v>628000000</v>
      </c>
    </row>
    <row r="478" spans="1:13" x14ac:dyDescent="0.25">
      <c r="A478" t="s">
        <v>210</v>
      </c>
      <c r="B478" t="s">
        <v>6</v>
      </c>
      <c r="C478">
        <v>41274</v>
      </c>
      <c r="D478" s="61">
        <v>17912000000</v>
      </c>
      <c r="E478" s="61">
        <v>11235000000</v>
      </c>
      <c r="F478" s="61">
        <v>965000000</v>
      </c>
      <c r="G478" s="61">
        <v>0</v>
      </c>
      <c r="H478" s="61">
        <v>2145000000</v>
      </c>
      <c r="I478" t="s">
        <v>36</v>
      </c>
      <c r="J478" t="s">
        <v>39</v>
      </c>
      <c r="K478" s="61">
        <f t="shared" si="21"/>
        <v>6677000000</v>
      </c>
      <c r="L478" s="61">
        <f t="shared" si="22"/>
        <v>3110000000</v>
      </c>
      <c r="M478" s="61">
        <f t="shared" si="23"/>
        <v>3567000000</v>
      </c>
    </row>
    <row r="479" spans="1:13" x14ac:dyDescent="0.25">
      <c r="A479" t="s">
        <v>210</v>
      </c>
      <c r="B479" t="s">
        <v>9</v>
      </c>
      <c r="C479">
        <v>41639</v>
      </c>
      <c r="D479" s="61">
        <v>22756000000</v>
      </c>
      <c r="E479" s="61">
        <v>13545000000</v>
      </c>
      <c r="F479" s="61">
        <v>1274000000</v>
      </c>
      <c r="G479" s="61">
        <v>0</v>
      </c>
      <c r="H479" s="61">
        <v>2668000000</v>
      </c>
      <c r="I479" t="s">
        <v>36</v>
      </c>
      <c r="J479" t="s">
        <v>39</v>
      </c>
      <c r="K479" s="61">
        <f t="shared" si="21"/>
        <v>9211000000</v>
      </c>
      <c r="L479" s="61">
        <f t="shared" si="22"/>
        <v>3942000000</v>
      </c>
      <c r="M479" s="61">
        <f t="shared" si="23"/>
        <v>5269000000</v>
      </c>
    </row>
    <row r="480" spans="1:13" x14ac:dyDescent="0.25">
      <c r="A480" t="s">
        <v>210</v>
      </c>
      <c r="B480" t="s">
        <v>10</v>
      </c>
      <c r="C480">
        <v>42004</v>
      </c>
      <c r="D480" s="61">
        <v>23925000000</v>
      </c>
      <c r="E480" s="61">
        <v>14323000000</v>
      </c>
      <c r="F480" s="61">
        <v>1213000000</v>
      </c>
      <c r="G480" s="61">
        <v>0</v>
      </c>
      <c r="H480" s="61">
        <v>3066000000</v>
      </c>
      <c r="I480" t="s">
        <v>36</v>
      </c>
      <c r="J480" t="s">
        <v>39</v>
      </c>
      <c r="K480" s="61">
        <f t="shared" si="21"/>
        <v>9602000000</v>
      </c>
      <c r="L480" s="61">
        <f t="shared" si="22"/>
        <v>4279000000</v>
      </c>
      <c r="M480" s="61">
        <f t="shared" si="23"/>
        <v>5323000000</v>
      </c>
    </row>
    <row r="481" spans="1:13" x14ac:dyDescent="0.25">
      <c r="A481" t="s">
        <v>210</v>
      </c>
      <c r="B481" t="s">
        <v>11</v>
      </c>
      <c r="C481">
        <v>42369</v>
      </c>
      <c r="D481" s="61">
        <v>23459000000</v>
      </c>
      <c r="E481" s="61">
        <v>13728000000</v>
      </c>
      <c r="F481" s="61">
        <v>1135000000</v>
      </c>
      <c r="G481" s="61">
        <v>0</v>
      </c>
      <c r="H481" s="61">
        <v>3144000000</v>
      </c>
      <c r="I481" t="s">
        <v>36</v>
      </c>
      <c r="J481" t="s">
        <v>39</v>
      </c>
      <c r="K481" s="61">
        <f t="shared" si="21"/>
        <v>9731000000</v>
      </c>
      <c r="L481" s="61">
        <f t="shared" si="22"/>
        <v>4279000000</v>
      </c>
      <c r="M481" s="61">
        <f t="shared" si="23"/>
        <v>5452000000</v>
      </c>
    </row>
    <row r="482" spans="1:13" x14ac:dyDescent="0.25">
      <c r="A482" t="s">
        <v>211</v>
      </c>
      <c r="B482" t="s">
        <v>6</v>
      </c>
      <c r="C482">
        <v>41274</v>
      </c>
      <c r="D482" s="61">
        <v>8186280000</v>
      </c>
      <c r="E482" s="61">
        <v>5583549000</v>
      </c>
      <c r="F482" s="61">
        <v>889879000</v>
      </c>
      <c r="G482" s="61">
        <v>0</v>
      </c>
      <c r="H482" s="61">
        <v>341969000</v>
      </c>
      <c r="I482" t="s">
        <v>19</v>
      </c>
      <c r="J482" t="s">
        <v>193</v>
      </c>
      <c r="K482" s="61">
        <f t="shared" si="21"/>
        <v>2602731000</v>
      </c>
      <c r="L482" s="61">
        <f t="shared" si="22"/>
        <v>1231848000</v>
      </c>
      <c r="M482" s="61">
        <f t="shared" si="23"/>
        <v>1370883000</v>
      </c>
    </row>
    <row r="483" spans="1:13" x14ac:dyDescent="0.25">
      <c r="A483" t="s">
        <v>211</v>
      </c>
      <c r="B483" t="s">
        <v>9</v>
      </c>
      <c r="C483">
        <v>41639</v>
      </c>
      <c r="D483" s="61">
        <v>11764050000</v>
      </c>
      <c r="E483" s="61">
        <v>8198377000</v>
      </c>
      <c r="F483" s="61">
        <v>1516508000</v>
      </c>
      <c r="G483" s="61">
        <v>0</v>
      </c>
      <c r="H483" s="61">
        <v>528737000</v>
      </c>
      <c r="I483" t="s">
        <v>19</v>
      </c>
      <c r="J483" t="s">
        <v>193</v>
      </c>
      <c r="K483" s="61">
        <f t="shared" si="21"/>
        <v>3565673000</v>
      </c>
      <c r="L483" s="61">
        <f t="shared" si="22"/>
        <v>2045245000</v>
      </c>
      <c r="M483" s="61">
        <f t="shared" si="23"/>
        <v>1520428000</v>
      </c>
    </row>
    <row r="484" spans="1:13" x14ac:dyDescent="0.25">
      <c r="A484" t="s">
        <v>211</v>
      </c>
      <c r="B484" t="s">
        <v>10</v>
      </c>
      <c r="C484">
        <v>42004</v>
      </c>
      <c r="D484" s="61">
        <v>12795106000</v>
      </c>
      <c r="E484" s="61">
        <v>9119305000</v>
      </c>
      <c r="F484" s="61">
        <v>1278506000</v>
      </c>
      <c r="G484" s="61">
        <v>0</v>
      </c>
      <c r="H484" s="61">
        <v>590935000</v>
      </c>
      <c r="I484" t="s">
        <v>19</v>
      </c>
      <c r="J484" t="s">
        <v>193</v>
      </c>
      <c r="K484" s="61">
        <f t="shared" si="21"/>
        <v>3675801000</v>
      </c>
      <c r="L484" s="61">
        <f t="shared" si="22"/>
        <v>1869441000</v>
      </c>
      <c r="M484" s="61">
        <f t="shared" si="23"/>
        <v>1806360000</v>
      </c>
    </row>
    <row r="485" spans="1:13" x14ac:dyDescent="0.25">
      <c r="A485" t="s">
        <v>211</v>
      </c>
      <c r="B485" t="s">
        <v>11</v>
      </c>
      <c r="C485">
        <v>42369</v>
      </c>
      <c r="D485" s="61">
        <v>13781837000</v>
      </c>
      <c r="E485" s="61">
        <v>9824834000</v>
      </c>
      <c r="F485" s="61">
        <v>1947135000</v>
      </c>
      <c r="G485" s="61">
        <v>0</v>
      </c>
      <c r="H485" s="61">
        <v>638024000</v>
      </c>
      <c r="I485" t="s">
        <v>19</v>
      </c>
      <c r="J485" t="s">
        <v>193</v>
      </c>
      <c r="K485" s="61">
        <f t="shared" si="21"/>
        <v>3957003000</v>
      </c>
      <c r="L485" s="61">
        <f t="shared" si="22"/>
        <v>2585159000</v>
      </c>
      <c r="M485" s="61">
        <f t="shared" si="23"/>
        <v>1371844000</v>
      </c>
    </row>
    <row r="486" spans="1:13" x14ac:dyDescent="0.25">
      <c r="A486" t="s">
        <v>212</v>
      </c>
      <c r="B486" t="s">
        <v>6</v>
      </c>
      <c r="C486">
        <v>41639</v>
      </c>
      <c r="D486" s="61">
        <v>10397000000</v>
      </c>
      <c r="E486" s="61">
        <v>2268000000</v>
      </c>
      <c r="F486" s="61">
        <v>2743000000</v>
      </c>
      <c r="G486" s="61">
        <v>0</v>
      </c>
      <c r="H486" s="61">
        <v>2780000000</v>
      </c>
      <c r="I486" t="s">
        <v>77</v>
      </c>
      <c r="J486" t="s">
        <v>78</v>
      </c>
      <c r="K486" s="61">
        <f t="shared" si="21"/>
        <v>8129000000</v>
      </c>
      <c r="L486" s="61">
        <f t="shared" si="22"/>
        <v>5523000000</v>
      </c>
      <c r="M486" s="61">
        <f t="shared" si="23"/>
        <v>2606000000</v>
      </c>
    </row>
    <row r="487" spans="1:13" x14ac:dyDescent="0.25">
      <c r="A487" t="s">
        <v>212</v>
      </c>
      <c r="B487" t="s">
        <v>9</v>
      </c>
      <c r="C487">
        <v>42004</v>
      </c>
      <c r="D487" s="61">
        <v>20638000000</v>
      </c>
      <c r="E487" s="61">
        <v>2332000000</v>
      </c>
      <c r="F487" s="61">
        <v>8290000000</v>
      </c>
      <c r="G487" s="61">
        <v>0</v>
      </c>
      <c r="H487" s="61">
        <v>3319000000</v>
      </c>
      <c r="I487" t="s">
        <v>77</v>
      </c>
      <c r="J487" t="s">
        <v>78</v>
      </c>
      <c r="K487" s="61">
        <f t="shared" si="21"/>
        <v>18306000000</v>
      </c>
      <c r="L487" s="61">
        <f t="shared" si="22"/>
        <v>11609000000</v>
      </c>
      <c r="M487" s="61">
        <f t="shared" si="23"/>
        <v>6697000000</v>
      </c>
    </row>
    <row r="488" spans="1:13" x14ac:dyDescent="0.25">
      <c r="A488" t="s">
        <v>212</v>
      </c>
      <c r="B488" t="s">
        <v>10</v>
      </c>
      <c r="C488">
        <v>42369</v>
      </c>
      <c r="D488" s="61">
        <v>13145000000</v>
      </c>
      <c r="E488" s="61">
        <v>2104000000</v>
      </c>
      <c r="F488" s="61">
        <v>7741000000</v>
      </c>
      <c r="G488" s="61">
        <v>0</v>
      </c>
      <c r="H488" s="61">
        <v>3129000000</v>
      </c>
      <c r="I488" t="s">
        <v>77</v>
      </c>
      <c r="J488" t="s">
        <v>78</v>
      </c>
      <c r="K488" s="61">
        <f t="shared" si="21"/>
        <v>11041000000</v>
      </c>
      <c r="L488" s="61">
        <f t="shared" si="22"/>
        <v>10870000000</v>
      </c>
      <c r="M488" s="61">
        <f t="shared" si="23"/>
        <v>171000000</v>
      </c>
    </row>
    <row r="489" spans="1:13" x14ac:dyDescent="0.25">
      <c r="A489" t="s">
        <v>212</v>
      </c>
      <c r="B489" t="s">
        <v>11</v>
      </c>
      <c r="C489">
        <v>42735</v>
      </c>
      <c r="D489" s="61">
        <v>12197000000</v>
      </c>
      <c r="E489" s="61">
        <v>1582000000</v>
      </c>
      <c r="F489" s="61">
        <v>6476000000</v>
      </c>
      <c r="G489" s="61">
        <v>0</v>
      </c>
      <c r="H489" s="61">
        <v>1792000000</v>
      </c>
      <c r="I489" t="s">
        <v>77</v>
      </c>
      <c r="J489" t="s">
        <v>78</v>
      </c>
      <c r="K489" s="61">
        <f t="shared" si="21"/>
        <v>10615000000</v>
      </c>
      <c r="L489" s="61">
        <f t="shared" si="22"/>
        <v>8268000000</v>
      </c>
      <c r="M489" s="61">
        <f t="shared" si="23"/>
        <v>2347000000</v>
      </c>
    </row>
    <row r="490" spans="1:13" x14ac:dyDescent="0.25">
      <c r="A490" t="s">
        <v>213</v>
      </c>
      <c r="B490" t="s">
        <v>6</v>
      </c>
      <c r="C490">
        <v>41364</v>
      </c>
      <c r="D490" s="61">
        <v>3797000000</v>
      </c>
      <c r="E490" s="61">
        <v>1388000000</v>
      </c>
      <c r="F490" s="61">
        <v>1078000000</v>
      </c>
      <c r="G490" s="61">
        <v>1153000000</v>
      </c>
      <c r="H490" s="61">
        <v>30000000</v>
      </c>
      <c r="I490" t="s">
        <v>16</v>
      </c>
      <c r="J490" t="s">
        <v>87</v>
      </c>
      <c r="K490" s="61">
        <f t="shared" si="21"/>
        <v>2409000000</v>
      </c>
      <c r="L490" s="61">
        <f t="shared" si="22"/>
        <v>2261000000</v>
      </c>
      <c r="M490" s="61">
        <f t="shared" si="23"/>
        <v>148000000</v>
      </c>
    </row>
    <row r="491" spans="1:13" x14ac:dyDescent="0.25">
      <c r="A491" t="s">
        <v>213</v>
      </c>
      <c r="B491" t="s">
        <v>9</v>
      </c>
      <c r="C491">
        <v>41729</v>
      </c>
      <c r="D491" s="61">
        <v>3575000000</v>
      </c>
      <c r="E491" s="61">
        <v>1347000000</v>
      </c>
      <c r="F491" s="61">
        <v>1055000000</v>
      </c>
      <c r="G491" s="61">
        <v>1125000000</v>
      </c>
      <c r="H491" s="61">
        <v>16000000</v>
      </c>
      <c r="I491" t="s">
        <v>16</v>
      </c>
      <c r="J491" t="s">
        <v>87</v>
      </c>
      <c r="K491" s="61">
        <f t="shared" si="21"/>
        <v>2228000000</v>
      </c>
      <c r="L491" s="61">
        <f t="shared" si="22"/>
        <v>2196000000</v>
      </c>
      <c r="M491" s="61">
        <f t="shared" si="23"/>
        <v>32000000</v>
      </c>
    </row>
    <row r="492" spans="1:13" x14ac:dyDescent="0.25">
      <c r="A492" t="s">
        <v>213</v>
      </c>
      <c r="B492" t="s">
        <v>10</v>
      </c>
      <c r="C492">
        <v>42094</v>
      </c>
      <c r="D492" s="61">
        <v>4515000000</v>
      </c>
      <c r="E492" s="61">
        <v>1429000000</v>
      </c>
      <c r="F492" s="61">
        <v>1030000000</v>
      </c>
      <c r="G492" s="61">
        <v>1094000000</v>
      </c>
      <c r="H492" s="61">
        <v>14000000</v>
      </c>
      <c r="I492" t="s">
        <v>16</v>
      </c>
      <c r="J492" t="s">
        <v>87</v>
      </c>
      <c r="K492" s="61">
        <f t="shared" si="21"/>
        <v>3086000000</v>
      </c>
      <c r="L492" s="61">
        <f t="shared" si="22"/>
        <v>2138000000</v>
      </c>
      <c r="M492" s="61">
        <f t="shared" si="23"/>
        <v>948000000</v>
      </c>
    </row>
    <row r="493" spans="1:13" x14ac:dyDescent="0.25">
      <c r="A493" t="s">
        <v>213</v>
      </c>
      <c r="B493" t="s">
        <v>11</v>
      </c>
      <c r="C493">
        <v>42460</v>
      </c>
      <c r="D493" s="61">
        <v>4396000000</v>
      </c>
      <c r="E493" s="61">
        <v>1354000000</v>
      </c>
      <c r="F493" s="61">
        <v>1028000000</v>
      </c>
      <c r="G493" s="61">
        <v>1109000000</v>
      </c>
      <c r="H493" s="61">
        <v>7000000</v>
      </c>
      <c r="I493" t="s">
        <v>16</v>
      </c>
      <c r="J493" t="s">
        <v>87</v>
      </c>
      <c r="K493" s="61">
        <f t="shared" si="21"/>
        <v>3042000000</v>
      </c>
      <c r="L493" s="61">
        <f t="shared" si="22"/>
        <v>2144000000</v>
      </c>
      <c r="M493" s="61">
        <f t="shared" si="23"/>
        <v>898000000</v>
      </c>
    </row>
    <row r="494" spans="1:13" x14ac:dyDescent="0.25">
      <c r="A494" t="s">
        <v>214</v>
      </c>
      <c r="B494" t="s">
        <v>6</v>
      </c>
      <c r="C494">
        <v>41639</v>
      </c>
      <c r="D494" s="61">
        <v>8257000000</v>
      </c>
      <c r="E494" s="61">
        <v>1492000000</v>
      </c>
      <c r="F494" s="61">
        <v>3260000000</v>
      </c>
      <c r="G494" s="61">
        <v>915000000</v>
      </c>
      <c r="H494" s="61">
        <v>136000000</v>
      </c>
      <c r="I494" t="s">
        <v>16</v>
      </c>
      <c r="J494" t="s">
        <v>51</v>
      </c>
      <c r="K494" s="61">
        <f t="shared" si="21"/>
        <v>6765000000</v>
      </c>
      <c r="L494" s="61">
        <f t="shared" si="22"/>
        <v>4311000000</v>
      </c>
      <c r="M494" s="61">
        <f t="shared" si="23"/>
        <v>2454000000</v>
      </c>
    </row>
    <row r="495" spans="1:13" x14ac:dyDescent="0.25">
      <c r="A495" t="s">
        <v>214</v>
      </c>
      <c r="B495" t="s">
        <v>9</v>
      </c>
      <c r="C495">
        <v>42004</v>
      </c>
      <c r="D495" s="61">
        <v>8790000000</v>
      </c>
      <c r="E495" s="61">
        <v>1663000000</v>
      </c>
      <c r="F495" s="61">
        <v>3593000000</v>
      </c>
      <c r="G495" s="61">
        <v>983000000</v>
      </c>
      <c r="H495" s="61">
        <v>75000000</v>
      </c>
      <c r="I495" t="s">
        <v>16</v>
      </c>
      <c r="J495" t="s">
        <v>51</v>
      </c>
      <c r="K495" s="61">
        <f t="shared" si="21"/>
        <v>7127000000</v>
      </c>
      <c r="L495" s="61">
        <f t="shared" si="22"/>
        <v>4651000000</v>
      </c>
      <c r="M495" s="61">
        <f t="shared" si="23"/>
        <v>2476000000</v>
      </c>
    </row>
    <row r="496" spans="1:13" x14ac:dyDescent="0.25">
      <c r="A496" t="s">
        <v>214</v>
      </c>
      <c r="B496" t="s">
        <v>10</v>
      </c>
      <c r="C496">
        <v>42369</v>
      </c>
      <c r="D496" s="61">
        <v>8592000000</v>
      </c>
      <c r="E496" s="61">
        <v>1771000000</v>
      </c>
      <c r="F496" s="61">
        <v>3660000000</v>
      </c>
      <c r="G496" s="61">
        <v>923000000</v>
      </c>
      <c r="H496" s="61">
        <v>41000000</v>
      </c>
      <c r="I496" t="s">
        <v>16</v>
      </c>
      <c r="J496" t="s">
        <v>51</v>
      </c>
      <c r="K496" s="61">
        <f t="shared" si="21"/>
        <v>6821000000</v>
      </c>
      <c r="L496" s="61">
        <f t="shared" si="22"/>
        <v>4624000000</v>
      </c>
      <c r="M496" s="61">
        <f t="shared" si="23"/>
        <v>2197000000</v>
      </c>
    </row>
    <row r="497" spans="1:13" x14ac:dyDescent="0.25">
      <c r="A497" t="s">
        <v>214</v>
      </c>
      <c r="B497" t="s">
        <v>11</v>
      </c>
      <c r="C497">
        <v>42735</v>
      </c>
      <c r="D497" s="61">
        <v>8979000000</v>
      </c>
      <c r="E497" s="61">
        <v>2007000000</v>
      </c>
      <c r="F497" s="61">
        <v>3499000000</v>
      </c>
      <c r="G497" s="61">
        <v>1114000000</v>
      </c>
      <c r="H497" s="61">
        <v>34000000</v>
      </c>
      <c r="I497" t="s">
        <v>16</v>
      </c>
      <c r="J497" t="s">
        <v>51</v>
      </c>
      <c r="K497" s="61">
        <f t="shared" si="21"/>
        <v>6972000000</v>
      </c>
      <c r="L497" s="61">
        <f t="shared" si="22"/>
        <v>4647000000</v>
      </c>
      <c r="M497" s="61">
        <f t="shared" si="23"/>
        <v>2325000000</v>
      </c>
    </row>
    <row r="498" spans="1:13" x14ac:dyDescent="0.25">
      <c r="A498" t="s">
        <v>215</v>
      </c>
      <c r="B498" t="s">
        <v>6</v>
      </c>
      <c r="C498">
        <v>41274</v>
      </c>
      <c r="D498" s="61">
        <v>11838700000</v>
      </c>
      <c r="E498" s="61">
        <v>6385400000</v>
      </c>
      <c r="F498" s="61">
        <v>4018300000</v>
      </c>
      <c r="G498" s="61">
        <v>0</v>
      </c>
      <c r="H498" s="61">
        <v>0</v>
      </c>
      <c r="I498" t="s">
        <v>53</v>
      </c>
      <c r="J498" t="s">
        <v>54</v>
      </c>
      <c r="K498" s="61">
        <f t="shared" si="21"/>
        <v>5453300000</v>
      </c>
      <c r="L498" s="61">
        <f t="shared" si="22"/>
        <v>4018300000</v>
      </c>
      <c r="M498" s="61">
        <f t="shared" si="23"/>
        <v>1435000000</v>
      </c>
    </row>
    <row r="499" spans="1:13" x14ac:dyDescent="0.25">
      <c r="A499" t="s">
        <v>215</v>
      </c>
      <c r="B499" t="s">
        <v>9</v>
      </c>
      <c r="C499">
        <v>41639</v>
      </c>
      <c r="D499" s="61">
        <v>13253400000</v>
      </c>
      <c r="E499" s="61">
        <v>7161200000</v>
      </c>
      <c r="F499" s="61">
        <v>4360300000</v>
      </c>
      <c r="G499" s="61">
        <v>0</v>
      </c>
      <c r="H499" s="61">
        <v>0</v>
      </c>
      <c r="I499" t="s">
        <v>53</v>
      </c>
      <c r="J499" t="s">
        <v>54</v>
      </c>
      <c r="K499" s="61">
        <f t="shared" si="21"/>
        <v>6092200000</v>
      </c>
      <c r="L499" s="61">
        <f t="shared" si="22"/>
        <v>4360300000</v>
      </c>
      <c r="M499" s="61">
        <f t="shared" si="23"/>
        <v>1731900000</v>
      </c>
    </row>
    <row r="500" spans="1:13" x14ac:dyDescent="0.25">
      <c r="A500" t="s">
        <v>215</v>
      </c>
      <c r="B500" t="s">
        <v>10</v>
      </c>
      <c r="C500">
        <v>42004</v>
      </c>
      <c r="D500" s="61">
        <v>14280500000</v>
      </c>
      <c r="E500" s="61">
        <v>7679100000</v>
      </c>
      <c r="F500" s="61">
        <v>4577600000</v>
      </c>
      <c r="G500" s="61">
        <v>0</v>
      </c>
      <c r="H500" s="61">
        <v>0</v>
      </c>
      <c r="I500" t="s">
        <v>53</v>
      </c>
      <c r="J500" t="s">
        <v>54</v>
      </c>
      <c r="K500" s="61">
        <f t="shared" si="21"/>
        <v>6601400000</v>
      </c>
      <c r="L500" s="61">
        <f t="shared" si="22"/>
        <v>4577600000</v>
      </c>
      <c r="M500" s="61">
        <f t="shared" si="23"/>
        <v>2023800000</v>
      </c>
    </row>
    <row r="501" spans="1:13" x14ac:dyDescent="0.25">
      <c r="A501" t="s">
        <v>215</v>
      </c>
      <c r="B501" t="s">
        <v>11</v>
      </c>
      <c r="C501">
        <v>42369</v>
      </c>
      <c r="D501" s="61">
        <v>13545100000</v>
      </c>
      <c r="E501" s="61">
        <v>7223500000</v>
      </c>
      <c r="F501" s="61">
        <v>4345500000</v>
      </c>
      <c r="G501" s="61">
        <v>0</v>
      </c>
      <c r="H501" s="61">
        <v>0</v>
      </c>
      <c r="I501" t="s">
        <v>53</v>
      </c>
      <c r="J501" t="s">
        <v>54</v>
      </c>
      <c r="K501" s="61">
        <f t="shared" si="21"/>
        <v>6321600000</v>
      </c>
      <c r="L501" s="61">
        <f t="shared" si="22"/>
        <v>4345500000</v>
      </c>
      <c r="M501" s="61">
        <f t="shared" si="23"/>
        <v>1976100000</v>
      </c>
    </row>
    <row r="502" spans="1:13" x14ac:dyDescent="0.25">
      <c r="A502" t="s">
        <v>216</v>
      </c>
      <c r="B502" t="s">
        <v>6</v>
      </c>
      <c r="C502">
        <v>41639</v>
      </c>
      <c r="D502" s="61">
        <v>12354000000</v>
      </c>
      <c r="E502" s="61">
        <v>7191000000</v>
      </c>
      <c r="F502" s="61">
        <v>1895000000</v>
      </c>
      <c r="G502" s="61">
        <v>0</v>
      </c>
      <c r="H502" s="61">
        <v>1024000000</v>
      </c>
      <c r="I502" t="s">
        <v>36</v>
      </c>
      <c r="J502" t="s">
        <v>39</v>
      </c>
      <c r="K502" s="61">
        <f t="shared" si="21"/>
        <v>5163000000</v>
      </c>
      <c r="L502" s="61">
        <f t="shared" si="22"/>
        <v>2919000000</v>
      </c>
      <c r="M502" s="61">
        <f t="shared" si="23"/>
        <v>2244000000</v>
      </c>
    </row>
    <row r="503" spans="1:13" x14ac:dyDescent="0.25">
      <c r="A503" t="s">
        <v>216</v>
      </c>
      <c r="B503" t="s">
        <v>9</v>
      </c>
      <c r="C503">
        <v>42004</v>
      </c>
      <c r="D503" s="61">
        <v>12919000000</v>
      </c>
      <c r="E503" s="61">
        <v>7807000000</v>
      </c>
      <c r="F503" s="61">
        <v>1877000000</v>
      </c>
      <c r="G503" s="61">
        <v>0</v>
      </c>
      <c r="H503" s="61">
        <v>1071000000</v>
      </c>
      <c r="I503" t="s">
        <v>36</v>
      </c>
      <c r="J503" t="s">
        <v>39</v>
      </c>
      <c r="K503" s="61">
        <f t="shared" si="21"/>
        <v>5112000000</v>
      </c>
      <c r="L503" s="61">
        <f t="shared" si="22"/>
        <v>2948000000</v>
      </c>
      <c r="M503" s="61">
        <f t="shared" si="23"/>
        <v>2164000000</v>
      </c>
    </row>
    <row r="504" spans="1:13" x14ac:dyDescent="0.25">
      <c r="A504" t="s">
        <v>216</v>
      </c>
      <c r="B504" t="s">
        <v>10</v>
      </c>
      <c r="C504">
        <v>42369</v>
      </c>
      <c r="D504" s="61">
        <v>12554000000</v>
      </c>
      <c r="E504" s="61">
        <v>7060000000</v>
      </c>
      <c r="F504" s="61">
        <v>1937000000</v>
      </c>
      <c r="G504" s="61">
        <v>0</v>
      </c>
      <c r="H504" s="61">
        <v>1130000000</v>
      </c>
      <c r="I504" t="s">
        <v>36</v>
      </c>
      <c r="J504" t="s">
        <v>39</v>
      </c>
      <c r="K504" s="61">
        <f t="shared" si="21"/>
        <v>5494000000</v>
      </c>
      <c r="L504" s="61">
        <f t="shared" si="22"/>
        <v>3067000000</v>
      </c>
      <c r="M504" s="61">
        <f t="shared" si="23"/>
        <v>2427000000</v>
      </c>
    </row>
    <row r="505" spans="1:13" x14ac:dyDescent="0.25">
      <c r="A505" t="s">
        <v>216</v>
      </c>
      <c r="B505" t="s">
        <v>11</v>
      </c>
      <c r="C505">
        <v>42735</v>
      </c>
      <c r="D505" s="61">
        <v>12075000000</v>
      </c>
      <c r="E505" s="61">
        <v>6357000000</v>
      </c>
      <c r="F505" s="61">
        <v>2031000000</v>
      </c>
      <c r="G505" s="61">
        <v>0</v>
      </c>
      <c r="H505" s="61">
        <v>1216000000</v>
      </c>
      <c r="I505" t="s">
        <v>36</v>
      </c>
      <c r="J505" t="s">
        <v>39</v>
      </c>
      <c r="K505" s="61">
        <f t="shared" si="21"/>
        <v>5718000000</v>
      </c>
      <c r="L505" s="61">
        <f t="shared" si="22"/>
        <v>3247000000</v>
      </c>
      <c r="M505" s="61">
        <f t="shared" si="23"/>
        <v>2471000000</v>
      </c>
    </row>
    <row r="506" spans="1:13" x14ac:dyDescent="0.25">
      <c r="A506" t="s">
        <v>217</v>
      </c>
      <c r="B506" t="s">
        <v>6</v>
      </c>
      <c r="C506">
        <v>41274</v>
      </c>
      <c r="D506" s="61">
        <v>2073000000</v>
      </c>
      <c r="E506" s="61">
        <v>759500000</v>
      </c>
      <c r="F506" s="61">
        <v>673500000</v>
      </c>
      <c r="G506" s="61">
        <v>0</v>
      </c>
      <c r="H506" s="61">
        <v>160000000</v>
      </c>
      <c r="I506" t="s">
        <v>7</v>
      </c>
      <c r="J506" t="s">
        <v>205</v>
      </c>
      <c r="K506" s="61">
        <f t="shared" si="21"/>
        <v>1313500000</v>
      </c>
      <c r="L506" s="61">
        <f t="shared" si="22"/>
        <v>833500000</v>
      </c>
      <c r="M506" s="61">
        <f t="shared" si="23"/>
        <v>480000000</v>
      </c>
    </row>
    <row r="507" spans="1:13" x14ac:dyDescent="0.25">
      <c r="A507" t="s">
        <v>217</v>
      </c>
      <c r="B507" t="s">
        <v>9</v>
      </c>
      <c r="C507">
        <v>41639</v>
      </c>
      <c r="D507" s="61">
        <v>2303900000</v>
      </c>
      <c r="E507" s="61">
        <v>787300000</v>
      </c>
      <c r="F507" s="61">
        <v>715800000</v>
      </c>
      <c r="G507" s="61">
        <v>0</v>
      </c>
      <c r="H507" s="61">
        <v>189600000</v>
      </c>
      <c r="I507" t="s">
        <v>7</v>
      </c>
      <c r="J507" t="s">
        <v>205</v>
      </c>
      <c r="K507" s="61">
        <f t="shared" si="21"/>
        <v>1516600000</v>
      </c>
      <c r="L507" s="61">
        <f t="shared" si="22"/>
        <v>905400000</v>
      </c>
      <c r="M507" s="61">
        <f t="shared" si="23"/>
        <v>611200000</v>
      </c>
    </row>
    <row r="508" spans="1:13" x14ac:dyDescent="0.25">
      <c r="A508" t="s">
        <v>217</v>
      </c>
      <c r="B508" t="s">
        <v>10</v>
      </c>
      <c r="C508">
        <v>42004</v>
      </c>
      <c r="D508" s="61">
        <v>2436400000</v>
      </c>
      <c r="E508" s="61">
        <v>844700000</v>
      </c>
      <c r="F508" s="61">
        <v>751700000</v>
      </c>
      <c r="G508" s="61">
        <v>0</v>
      </c>
      <c r="H508" s="61">
        <v>201800000</v>
      </c>
      <c r="I508" t="s">
        <v>7</v>
      </c>
      <c r="J508" t="s">
        <v>205</v>
      </c>
      <c r="K508" s="61">
        <f t="shared" si="21"/>
        <v>1591700000</v>
      </c>
      <c r="L508" s="61">
        <f t="shared" si="22"/>
        <v>953500000</v>
      </c>
      <c r="M508" s="61">
        <f t="shared" si="23"/>
        <v>638200000</v>
      </c>
    </row>
    <row r="509" spans="1:13" x14ac:dyDescent="0.25">
      <c r="A509" t="s">
        <v>217</v>
      </c>
      <c r="B509" t="s">
        <v>11</v>
      </c>
      <c r="C509">
        <v>42369</v>
      </c>
      <c r="D509" s="61">
        <v>2663600000</v>
      </c>
      <c r="E509" s="61">
        <v>887400000</v>
      </c>
      <c r="F509" s="61">
        <v>884300000</v>
      </c>
      <c r="G509" s="61">
        <v>0</v>
      </c>
      <c r="H509" s="61">
        <v>198000000</v>
      </c>
      <c r="I509" t="s">
        <v>7</v>
      </c>
      <c r="J509" t="s">
        <v>205</v>
      </c>
      <c r="K509" s="61">
        <f t="shared" si="21"/>
        <v>1776200000</v>
      </c>
      <c r="L509" s="61">
        <f t="shared" si="22"/>
        <v>1082300000</v>
      </c>
      <c r="M509" s="61">
        <f t="shared" si="23"/>
        <v>693900000</v>
      </c>
    </row>
    <row r="510" spans="1:13" x14ac:dyDescent="0.25">
      <c r="A510" t="s">
        <v>218</v>
      </c>
      <c r="B510" t="s">
        <v>6</v>
      </c>
      <c r="C510">
        <v>41274</v>
      </c>
      <c r="D510" s="61">
        <v>11862000000</v>
      </c>
      <c r="E510" s="61">
        <v>7747000000</v>
      </c>
      <c r="F510" s="61">
        <v>296000000</v>
      </c>
      <c r="G510" s="61">
        <v>0</v>
      </c>
      <c r="H510" s="61">
        <v>1562000000</v>
      </c>
      <c r="I510" t="s">
        <v>36</v>
      </c>
      <c r="J510" t="s">
        <v>39</v>
      </c>
      <c r="K510" s="61">
        <f t="shared" si="21"/>
        <v>4115000000</v>
      </c>
      <c r="L510" s="61">
        <f t="shared" si="22"/>
        <v>1858000000</v>
      </c>
      <c r="M510" s="61">
        <f t="shared" si="23"/>
        <v>2257000000</v>
      </c>
    </row>
    <row r="511" spans="1:13" x14ac:dyDescent="0.25">
      <c r="A511" t="s">
        <v>218</v>
      </c>
      <c r="B511" t="s">
        <v>9</v>
      </c>
      <c r="C511">
        <v>41639</v>
      </c>
      <c r="D511" s="61">
        <v>12581000000</v>
      </c>
      <c r="E511" s="61">
        <v>8364000000</v>
      </c>
      <c r="F511" s="61">
        <v>309000000</v>
      </c>
      <c r="G511" s="61">
        <v>0</v>
      </c>
      <c r="H511" s="61">
        <v>1622000000</v>
      </c>
      <c r="I511" t="s">
        <v>36</v>
      </c>
      <c r="J511" t="s">
        <v>39</v>
      </c>
      <c r="K511" s="61">
        <f t="shared" si="21"/>
        <v>4217000000</v>
      </c>
      <c r="L511" s="61">
        <f t="shared" si="22"/>
        <v>1931000000</v>
      </c>
      <c r="M511" s="61">
        <f t="shared" si="23"/>
        <v>2286000000</v>
      </c>
    </row>
    <row r="512" spans="1:13" x14ac:dyDescent="0.25">
      <c r="A512" t="s">
        <v>218</v>
      </c>
      <c r="B512" t="s">
        <v>10</v>
      </c>
      <c r="C512">
        <v>42004</v>
      </c>
      <c r="D512" s="61">
        <v>13413000000</v>
      </c>
      <c r="E512" s="61">
        <v>8742000000</v>
      </c>
      <c r="F512" s="61">
        <v>322000000</v>
      </c>
      <c r="G512" s="61">
        <v>0</v>
      </c>
      <c r="H512" s="61">
        <v>1720000000</v>
      </c>
      <c r="I512" t="s">
        <v>36</v>
      </c>
      <c r="J512" t="s">
        <v>39</v>
      </c>
      <c r="K512" s="61">
        <f t="shared" si="21"/>
        <v>4671000000</v>
      </c>
      <c r="L512" s="61">
        <f t="shared" si="22"/>
        <v>2042000000</v>
      </c>
      <c r="M512" s="61">
        <f t="shared" si="23"/>
        <v>2629000000</v>
      </c>
    </row>
    <row r="513" spans="1:13" x14ac:dyDescent="0.25">
      <c r="A513" t="s">
        <v>218</v>
      </c>
      <c r="B513" t="s">
        <v>11</v>
      </c>
      <c r="C513">
        <v>42369</v>
      </c>
      <c r="D513" s="61">
        <v>11524000000</v>
      </c>
      <c r="E513" s="61">
        <v>7256000000</v>
      </c>
      <c r="F513" s="61">
        <v>336000000</v>
      </c>
      <c r="G513" s="61">
        <v>0</v>
      </c>
      <c r="H513" s="61">
        <v>1919000000</v>
      </c>
      <c r="I513" t="s">
        <v>36</v>
      </c>
      <c r="J513" t="s">
        <v>39</v>
      </c>
      <c r="K513" s="61">
        <f t="shared" si="21"/>
        <v>4268000000</v>
      </c>
      <c r="L513" s="61">
        <f t="shared" si="22"/>
        <v>2255000000</v>
      </c>
      <c r="M513" s="61">
        <f t="shared" si="23"/>
        <v>2013000000</v>
      </c>
    </row>
    <row r="514" spans="1:13" x14ac:dyDescent="0.25">
      <c r="A514" t="s">
        <v>219</v>
      </c>
      <c r="B514" t="s">
        <v>6</v>
      </c>
      <c r="C514">
        <v>41455</v>
      </c>
      <c r="D514" s="61">
        <v>10181700000</v>
      </c>
      <c r="E514" s="61">
        <v>2025900000</v>
      </c>
      <c r="F514" s="61">
        <v>6597000000</v>
      </c>
      <c r="G514" s="61">
        <v>0</v>
      </c>
      <c r="H514" s="61">
        <v>0</v>
      </c>
      <c r="I514" t="s">
        <v>30</v>
      </c>
      <c r="J514" t="s">
        <v>164</v>
      </c>
      <c r="K514" s="61">
        <f t="shared" ref="K514:K577" si="24">D514-E514</f>
        <v>8155800000</v>
      </c>
      <c r="L514" s="61">
        <f t="shared" ref="L514:L577" si="25">F514+G514+H514</f>
        <v>6597000000</v>
      </c>
      <c r="M514" s="61">
        <f t="shared" si="23"/>
        <v>1558800000</v>
      </c>
    </row>
    <row r="515" spans="1:13" x14ac:dyDescent="0.25">
      <c r="A515" t="s">
        <v>219</v>
      </c>
      <c r="B515" t="s">
        <v>9</v>
      </c>
      <c r="C515">
        <v>41820</v>
      </c>
      <c r="D515" s="61">
        <v>10968800000</v>
      </c>
      <c r="E515" s="61">
        <v>2158200000</v>
      </c>
      <c r="F515" s="61">
        <v>6985900000</v>
      </c>
      <c r="G515" s="61">
        <v>0</v>
      </c>
      <c r="H515" s="61">
        <v>0</v>
      </c>
      <c r="I515" t="s">
        <v>30</v>
      </c>
      <c r="J515" t="s">
        <v>164</v>
      </c>
      <c r="K515" s="61">
        <f t="shared" si="24"/>
        <v>8810600000</v>
      </c>
      <c r="L515" s="61">
        <f t="shared" si="25"/>
        <v>6985900000</v>
      </c>
      <c r="M515" s="61">
        <f t="shared" ref="M515:M578" si="26">K515-L515</f>
        <v>1824700000</v>
      </c>
    </row>
    <row r="516" spans="1:13" x14ac:dyDescent="0.25">
      <c r="A516" t="s">
        <v>219</v>
      </c>
      <c r="B516" t="s">
        <v>10</v>
      </c>
      <c r="C516">
        <v>42185</v>
      </c>
      <c r="D516" s="61">
        <v>10780400000</v>
      </c>
      <c r="E516" s="61">
        <v>2100600000</v>
      </c>
      <c r="F516" s="61">
        <v>7073500000</v>
      </c>
      <c r="G516" s="61">
        <v>0</v>
      </c>
      <c r="H516" s="61">
        <v>0</v>
      </c>
      <c r="I516" t="s">
        <v>30</v>
      </c>
      <c r="J516" t="s">
        <v>164</v>
      </c>
      <c r="K516" s="61">
        <f t="shared" si="24"/>
        <v>8679800000</v>
      </c>
      <c r="L516" s="61">
        <f t="shared" si="25"/>
        <v>7073500000</v>
      </c>
      <c r="M516" s="61">
        <f t="shared" si="26"/>
        <v>1606300000</v>
      </c>
    </row>
    <row r="517" spans="1:13" x14ac:dyDescent="0.25">
      <c r="A517" t="s">
        <v>219</v>
      </c>
      <c r="B517" t="s">
        <v>11</v>
      </c>
      <c r="C517">
        <v>42551</v>
      </c>
      <c r="D517" s="61">
        <v>11262300000</v>
      </c>
      <c r="E517" s="61">
        <v>2181100000</v>
      </c>
      <c r="F517" s="61">
        <v>7337800000</v>
      </c>
      <c r="G517" s="61">
        <v>0</v>
      </c>
      <c r="H517" s="61">
        <v>0</v>
      </c>
      <c r="I517" t="s">
        <v>30</v>
      </c>
      <c r="J517" t="s">
        <v>164</v>
      </c>
      <c r="K517" s="61">
        <f t="shared" si="24"/>
        <v>9081200000</v>
      </c>
      <c r="L517" s="61">
        <f t="shared" si="25"/>
        <v>7337800000</v>
      </c>
      <c r="M517" s="61">
        <f t="shared" si="26"/>
        <v>1743400000</v>
      </c>
    </row>
    <row r="518" spans="1:13" x14ac:dyDescent="0.25">
      <c r="A518" t="s">
        <v>220</v>
      </c>
      <c r="B518" t="s">
        <v>6</v>
      </c>
      <c r="C518">
        <v>41274</v>
      </c>
      <c r="D518" s="61">
        <v>8102000000</v>
      </c>
      <c r="E518" s="61">
        <v>6340000000</v>
      </c>
      <c r="F518" s="61">
        <v>644000000</v>
      </c>
      <c r="G518" s="61">
        <v>198000000</v>
      </c>
      <c r="H518" s="61">
        <v>0</v>
      </c>
      <c r="I518" t="s">
        <v>53</v>
      </c>
      <c r="J518" t="s">
        <v>187</v>
      </c>
      <c r="K518" s="61">
        <f t="shared" si="24"/>
        <v>1762000000</v>
      </c>
      <c r="L518" s="61">
        <f t="shared" si="25"/>
        <v>842000000</v>
      </c>
      <c r="M518" s="61">
        <f t="shared" si="26"/>
        <v>920000000</v>
      </c>
    </row>
    <row r="519" spans="1:13" x14ac:dyDescent="0.25">
      <c r="A519" t="s">
        <v>220</v>
      </c>
      <c r="B519" t="s">
        <v>9</v>
      </c>
      <c r="C519">
        <v>41639</v>
      </c>
      <c r="D519" s="61">
        <v>9350000000</v>
      </c>
      <c r="E519" s="61">
        <v>6574000000</v>
      </c>
      <c r="F519" s="61">
        <v>645000000</v>
      </c>
      <c r="G519" s="61">
        <v>193000000</v>
      </c>
      <c r="H519" s="61">
        <v>0</v>
      </c>
      <c r="I519" t="s">
        <v>53</v>
      </c>
      <c r="J519" t="s">
        <v>187</v>
      </c>
      <c r="K519" s="61">
        <f t="shared" si="24"/>
        <v>2776000000</v>
      </c>
      <c r="L519" s="61">
        <f t="shared" si="25"/>
        <v>838000000</v>
      </c>
      <c r="M519" s="61">
        <f t="shared" si="26"/>
        <v>1938000000</v>
      </c>
    </row>
    <row r="520" spans="1:13" x14ac:dyDescent="0.25">
      <c r="A520" t="s">
        <v>220</v>
      </c>
      <c r="B520" t="s">
        <v>10</v>
      </c>
      <c r="C520">
        <v>42004</v>
      </c>
      <c r="D520" s="61">
        <v>9527000000</v>
      </c>
      <c r="E520" s="61">
        <v>7306000000</v>
      </c>
      <c r="F520" s="61">
        <v>755000000</v>
      </c>
      <c r="G520" s="61">
        <v>227000000</v>
      </c>
      <c r="H520" s="61">
        <v>0</v>
      </c>
      <c r="I520" t="s">
        <v>53</v>
      </c>
      <c r="J520" t="s">
        <v>187</v>
      </c>
      <c r="K520" s="61">
        <f t="shared" si="24"/>
        <v>2221000000</v>
      </c>
      <c r="L520" s="61">
        <f t="shared" si="25"/>
        <v>982000000</v>
      </c>
      <c r="M520" s="61">
        <f t="shared" si="26"/>
        <v>1239000000</v>
      </c>
    </row>
    <row r="521" spans="1:13" x14ac:dyDescent="0.25">
      <c r="A521" t="s">
        <v>220</v>
      </c>
      <c r="B521" t="s">
        <v>11</v>
      </c>
      <c r="C521">
        <v>42369</v>
      </c>
      <c r="D521" s="61">
        <v>9648000000</v>
      </c>
      <c r="E521" s="61">
        <v>7068000000</v>
      </c>
      <c r="F521" s="61">
        <v>762000000</v>
      </c>
      <c r="G521" s="61">
        <v>251000000</v>
      </c>
      <c r="H521" s="61">
        <v>0</v>
      </c>
      <c r="I521" t="s">
        <v>53</v>
      </c>
      <c r="J521" t="s">
        <v>187</v>
      </c>
      <c r="K521" s="61">
        <f t="shared" si="24"/>
        <v>2580000000</v>
      </c>
      <c r="L521" s="61">
        <f t="shared" si="25"/>
        <v>1013000000</v>
      </c>
      <c r="M521" s="61">
        <f t="shared" si="26"/>
        <v>1567000000</v>
      </c>
    </row>
    <row r="522" spans="1:13" x14ac:dyDescent="0.25">
      <c r="A522" t="s">
        <v>221</v>
      </c>
      <c r="B522" t="s">
        <v>6</v>
      </c>
      <c r="C522">
        <v>41547</v>
      </c>
      <c r="D522" s="61">
        <v>24669000000</v>
      </c>
      <c r="E522" s="61">
        <v>14717000000</v>
      </c>
      <c r="F522" s="61">
        <v>6010000000</v>
      </c>
      <c r="G522" s="61">
        <v>0</v>
      </c>
      <c r="H522" s="61">
        <v>0</v>
      </c>
      <c r="I522" t="s">
        <v>7</v>
      </c>
      <c r="J522" t="s">
        <v>158</v>
      </c>
      <c r="K522" s="61">
        <f t="shared" si="24"/>
        <v>9952000000</v>
      </c>
      <c r="L522" s="61">
        <f t="shared" si="25"/>
        <v>6010000000</v>
      </c>
      <c r="M522" s="61">
        <f t="shared" si="26"/>
        <v>3942000000</v>
      </c>
    </row>
    <row r="523" spans="1:13" x14ac:dyDescent="0.25">
      <c r="A523" t="s">
        <v>221</v>
      </c>
      <c r="B523" t="s">
        <v>9</v>
      </c>
      <c r="C523">
        <v>41912</v>
      </c>
      <c r="D523" s="61">
        <v>17733000000</v>
      </c>
      <c r="E523" s="61">
        <v>9971000000</v>
      </c>
      <c r="F523" s="61">
        <v>4375000000</v>
      </c>
      <c r="G523" s="61">
        <v>0</v>
      </c>
      <c r="H523" s="61">
        <v>0</v>
      </c>
      <c r="I523" t="s">
        <v>7</v>
      </c>
      <c r="J523" t="s">
        <v>158</v>
      </c>
      <c r="K523" s="61">
        <f t="shared" si="24"/>
        <v>7762000000</v>
      </c>
      <c r="L523" s="61">
        <f t="shared" si="25"/>
        <v>4375000000</v>
      </c>
      <c r="M523" s="61">
        <f t="shared" si="26"/>
        <v>3387000000</v>
      </c>
    </row>
    <row r="524" spans="1:13" x14ac:dyDescent="0.25">
      <c r="A524" t="s">
        <v>221</v>
      </c>
      <c r="B524" t="s">
        <v>10</v>
      </c>
      <c r="C524">
        <v>42277</v>
      </c>
      <c r="D524" s="61">
        <v>16249000000</v>
      </c>
      <c r="E524" s="61">
        <v>9241000000</v>
      </c>
      <c r="F524" s="61">
        <v>4065000000</v>
      </c>
      <c r="G524" s="61">
        <v>0</v>
      </c>
      <c r="H524" s="61">
        <v>0</v>
      </c>
      <c r="I524" t="s">
        <v>7</v>
      </c>
      <c r="J524" t="s">
        <v>158</v>
      </c>
      <c r="K524" s="61">
        <f t="shared" si="24"/>
        <v>7008000000</v>
      </c>
      <c r="L524" s="61">
        <f t="shared" si="25"/>
        <v>4065000000</v>
      </c>
      <c r="M524" s="61">
        <f t="shared" si="26"/>
        <v>2943000000</v>
      </c>
    </row>
    <row r="525" spans="1:13" x14ac:dyDescent="0.25">
      <c r="A525" t="s">
        <v>221</v>
      </c>
      <c r="B525" t="s">
        <v>11</v>
      </c>
      <c r="C525">
        <v>42643</v>
      </c>
      <c r="D525" s="61">
        <v>14522000000</v>
      </c>
      <c r="E525" s="61">
        <v>8260000000</v>
      </c>
      <c r="F525" s="61">
        <v>3758000000</v>
      </c>
      <c r="G525" s="61">
        <v>0</v>
      </c>
      <c r="H525" s="61">
        <v>0</v>
      </c>
      <c r="I525" t="s">
        <v>7</v>
      </c>
      <c r="J525" t="s">
        <v>158</v>
      </c>
      <c r="K525" s="61">
        <f t="shared" si="24"/>
        <v>6262000000</v>
      </c>
      <c r="L525" s="61">
        <f t="shared" si="25"/>
        <v>3758000000</v>
      </c>
      <c r="M525" s="61">
        <f t="shared" si="26"/>
        <v>2504000000</v>
      </c>
    </row>
    <row r="526" spans="1:13" x14ac:dyDescent="0.25">
      <c r="A526" t="s">
        <v>222</v>
      </c>
      <c r="B526" t="s">
        <v>6</v>
      </c>
      <c r="C526">
        <v>41274</v>
      </c>
      <c r="D526" s="61">
        <v>11682636000</v>
      </c>
      <c r="E526" s="61">
        <v>1699428000</v>
      </c>
      <c r="F526" s="61">
        <v>3862434000</v>
      </c>
      <c r="G526" s="61">
        <v>0</v>
      </c>
      <c r="H526" s="61">
        <v>3169703000</v>
      </c>
      <c r="I526" t="s">
        <v>77</v>
      </c>
      <c r="J526" t="s">
        <v>78</v>
      </c>
      <c r="K526" s="61">
        <f t="shared" si="24"/>
        <v>9983208000</v>
      </c>
      <c r="L526" s="61">
        <f t="shared" si="25"/>
        <v>7032137000</v>
      </c>
      <c r="M526" s="61">
        <f t="shared" si="26"/>
        <v>2951071000</v>
      </c>
    </row>
    <row r="527" spans="1:13" x14ac:dyDescent="0.25">
      <c r="A527" t="s">
        <v>222</v>
      </c>
      <c r="B527" t="s">
        <v>9</v>
      </c>
      <c r="C527">
        <v>41639</v>
      </c>
      <c r="D527" s="61">
        <v>14487118000</v>
      </c>
      <c r="E527" s="61">
        <v>2066893000</v>
      </c>
      <c r="F527" s="61">
        <v>4621096000</v>
      </c>
      <c r="G527" s="61">
        <v>0</v>
      </c>
      <c r="H527" s="61">
        <v>3600976000</v>
      </c>
      <c r="I527" t="s">
        <v>77</v>
      </c>
      <c r="J527" t="s">
        <v>78</v>
      </c>
      <c r="K527" s="61">
        <f t="shared" si="24"/>
        <v>12420225000</v>
      </c>
      <c r="L527" s="61">
        <f t="shared" si="25"/>
        <v>8222072000</v>
      </c>
      <c r="M527" s="61">
        <f t="shared" si="26"/>
        <v>4198153000</v>
      </c>
    </row>
    <row r="528" spans="1:13" x14ac:dyDescent="0.25">
      <c r="A528" t="s">
        <v>222</v>
      </c>
      <c r="B528" t="s">
        <v>10</v>
      </c>
      <c r="C528">
        <v>42004</v>
      </c>
      <c r="D528" s="61">
        <v>18035340000</v>
      </c>
      <c r="E528" s="61">
        <v>2534389000</v>
      </c>
      <c r="F528" s="61">
        <v>5285634000</v>
      </c>
      <c r="G528" s="61">
        <v>0</v>
      </c>
      <c r="H528" s="61">
        <v>3997041000</v>
      </c>
      <c r="I528" t="s">
        <v>77</v>
      </c>
      <c r="J528" t="s">
        <v>78</v>
      </c>
      <c r="K528" s="61">
        <f t="shared" si="24"/>
        <v>15500951000</v>
      </c>
      <c r="L528" s="61">
        <f t="shared" si="25"/>
        <v>9282675000</v>
      </c>
      <c r="M528" s="61">
        <f t="shared" si="26"/>
        <v>6218276000</v>
      </c>
    </row>
    <row r="529" spans="1:13" x14ac:dyDescent="0.25">
      <c r="A529" t="s">
        <v>222</v>
      </c>
      <c r="B529" t="s">
        <v>11</v>
      </c>
      <c r="C529">
        <v>42369</v>
      </c>
      <c r="D529" s="61">
        <v>8757428000</v>
      </c>
      <c r="E529" s="61">
        <v>2177757000</v>
      </c>
      <c r="F529" s="61">
        <v>3174320000</v>
      </c>
      <c r="G529" s="61">
        <v>0</v>
      </c>
      <c r="H529" s="61">
        <v>3313644000</v>
      </c>
      <c r="I529" t="s">
        <v>77</v>
      </c>
      <c r="J529" t="s">
        <v>78</v>
      </c>
      <c r="K529" s="61">
        <f t="shared" si="24"/>
        <v>6579671000</v>
      </c>
      <c r="L529" s="61">
        <f t="shared" si="25"/>
        <v>6487964000</v>
      </c>
      <c r="M529" s="61">
        <f t="shared" si="26"/>
        <v>91707000</v>
      </c>
    </row>
    <row r="530" spans="1:13" x14ac:dyDescent="0.25">
      <c r="A530" t="s">
        <v>223</v>
      </c>
      <c r="B530" t="s">
        <v>6</v>
      </c>
      <c r="C530">
        <v>41274</v>
      </c>
      <c r="D530" s="61">
        <v>1887376000</v>
      </c>
      <c r="E530" s="61">
        <v>944617000</v>
      </c>
      <c r="F530" s="61">
        <v>531180000</v>
      </c>
      <c r="G530" s="61">
        <v>0</v>
      </c>
      <c r="H530" s="61">
        <v>0</v>
      </c>
      <c r="I530" t="s">
        <v>46</v>
      </c>
      <c r="J530" t="s">
        <v>47</v>
      </c>
      <c r="K530" s="61">
        <f t="shared" si="24"/>
        <v>942759000</v>
      </c>
      <c r="L530" s="61">
        <f t="shared" si="25"/>
        <v>531180000</v>
      </c>
      <c r="M530" s="61">
        <f t="shared" si="26"/>
        <v>411579000</v>
      </c>
    </row>
    <row r="531" spans="1:13" x14ac:dyDescent="0.25">
      <c r="A531" t="s">
        <v>223</v>
      </c>
      <c r="B531" t="s">
        <v>9</v>
      </c>
      <c r="C531">
        <v>41639</v>
      </c>
      <c r="D531" s="61">
        <v>2152766000</v>
      </c>
      <c r="E531" s="61">
        <v>1064403000</v>
      </c>
      <c r="F531" s="61">
        <v>621413000</v>
      </c>
      <c r="G531" s="61">
        <v>0</v>
      </c>
      <c r="H531" s="61">
        <v>0</v>
      </c>
      <c r="I531" t="s">
        <v>46</v>
      </c>
      <c r="J531" t="s">
        <v>47</v>
      </c>
      <c r="K531" s="61">
        <f t="shared" si="24"/>
        <v>1088363000</v>
      </c>
      <c r="L531" s="61">
        <f t="shared" si="25"/>
        <v>621413000</v>
      </c>
      <c r="M531" s="61">
        <f t="shared" si="26"/>
        <v>466950000</v>
      </c>
    </row>
    <row r="532" spans="1:13" x14ac:dyDescent="0.25">
      <c r="A532" t="s">
        <v>223</v>
      </c>
      <c r="B532" t="s">
        <v>10</v>
      </c>
      <c r="C532">
        <v>42004</v>
      </c>
      <c r="D532" s="61">
        <v>2443776000</v>
      </c>
      <c r="E532" s="61">
        <v>1197885000</v>
      </c>
      <c r="F532" s="61">
        <v>734119000</v>
      </c>
      <c r="G532" s="61">
        <v>0</v>
      </c>
      <c r="H532" s="61">
        <v>0</v>
      </c>
      <c r="I532" t="s">
        <v>46</v>
      </c>
      <c r="J532" t="s">
        <v>47</v>
      </c>
      <c r="K532" s="61">
        <f t="shared" si="24"/>
        <v>1245891000</v>
      </c>
      <c r="L532" s="61">
        <f t="shared" si="25"/>
        <v>734119000</v>
      </c>
      <c r="M532" s="61">
        <f t="shared" si="26"/>
        <v>511772000</v>
      </c>
    </row>
    <row r="533" spans="1:13" x14ac:dyDescent="0.25">
      <c r="A533" t="s">
        <v>223</v>
      </c>
      <c r="B533" t="s">
        <v>11</v>
      </c>
      <c r="C533">
        <v>42369</v>
      </c>
      <c r="D533" s="61">
        <v>2725867000</v>
      </c>
      <c r="E533" s="61">
        <v>1291506000</v>
      </c>
      <c r="F533" s="61">
        <v>825296000</v>
      </c>
      <c r="G533" s="61">
        <v>0</v>
      </c>
      <c r="H533" s="61">
        <v>0</v>
      </c>
      <c r="I533" t="s">
        <v>46</v>
      </c>
      <c r="J533" t="s">
        <v>47</v>
      </c>
      <c r="K533" s="61">
        <f t="shared" si="24"/>
        <v>1434361000</v>
      </c>
      <c r="L533" s="61">
        <f t="shared" si="25"/>
        <v>825296000</v>
      </c>
      <c r="M533" s="61">
        <f t="shared" si="26"/>
        <v>609065000</v>
      </c>
    </row>
    <row r="534" spans="1:13" x14ac:dyDescent="0.25">
      <c r="A534" t="s">
        <v>224</v>
      </c>
      <c r="B534" t="s">
        <v>6</v>
      </c>
      <c r="C534">
        <v>41274</v>
      </c>
      <c r="D534" s="61">
        <v>1747502000</v>
      </c>
      <c r="E534" s="61">
        <v>625507000</v>
      </c>
      <c r="F534" s="61">
        <v>47233000</v>
      </c>
      <c r="G534" s="61">
        <v>0</v>
      </c>
      <c r="H534" s="61">
        <v>560669000</v>
      </c>
      <c r="I534" t="s">
        <v>46</v>
      </c>
      <c r="J534" t="s">
        <v>47</v>
      </c>
      <c r="K534" s="61">
        <f t="shared" si="24"/>
        <v>1121995000</v>
      </c>
      <c r="L534" s="61">
        <f t="shared" si="25"/>
        <v>607902000</v>
      </c>
      <c r="M534" s="61">
        <f t="shared" si="26"/>
        <v>514093000</v>
      </c>
    </row>
    <row r="535" spans="1:13" x14ac:dyDescent="0.25">
      <c r="A535" t="s">
        <v>224</v>
      </c>
      <c r="B535" t="s">
        <v>9</v>
      </c>
      <c r="C535">
        <v>41639</v>
      </c>
      <c r="D535" s="61">
        <v>2387702000</v>
      </c>
      <c r="E535" s="61">
        <v>834228000</v>
      </c>
      <c r="F535" s="61">
        <v>62179000</v>
      </c>
      <c r="G535" s="61">
        <v>0</v>
      </c>
      <c r="H535" s="61">
        <v>978973000</v>
      </c>
      <c r="I535" t="s">
        <v>46</v>
      </c>
      <c r="J535" t="s">
        <v>47</v>
      </c>
      <c r="K535" s="61">
        <f t="shared" si="24"/>
        <v>1553474000</v>
      </c>
      <c r="L535" s="61">
        <f t="shared" si="25"/>
        <v>1041152000</v>
      </c>
      <c r="M535" s="61">
        <f t="shared" si="26"/>
        <v>512322000</v>
      </c>
    </row>
    <row r="536" spans="1:13" x14ac:dyDescent="0.25">
      <c r="A536" t="s">
        <v>224</v>
      </c>
      <c r="B536" t="s">
        <v>10</v>
      </c>
      <c r="C536">
        <v>42004</v>
      </c>
      <c r="D536" s="61">
        <v>2614748000</v>
      </c>
      <c r="E536" s="61">
        <v>883564000</v>
      </c>
      <c r="F536" s="61">
        <v>50948000</v>
      </c>
      <c r="G536" s="61">
        <v>0</v>
      </c>
      <c r="H536" s="61">
        <v>758861000</v>
      </c>
      <c r="I536" t="s">
        <v>46</v>
      </c>
      <c r="J536" t="s">
        <v>47</v>
      </c>
      <c r="K536" s="61">
        <f t="shared" si="24"/>
        <v>1731184000</v>
      </c>
      <c r="L536" s="61">
        <f t="shared" si="25"/>
        <v>809809000</v>
      </c>
      <c r="M536" s="61">
        <f t="shared" si="26"/>
        <v>921375000</v>
      </c>
    </row>
    <row r="537" spans="1:13" x14ac:dyDescent="0.25">
      <c r="A537" t="s">
        <v>224</v>
      </c>
      <c r="B537" t="s">
        <v>11</v>
      </c>
      <c r="C537">
        <v>42369</v>
      </c>
      <c r="D537" s="61">
        <v>2744965000</v>
      </c>
      <c r="E537" s="61">
        <v>905168000</v>
      </c>
      <c r="F537" s="61">
        <v>65082000</v>
      </c>
      <c r="G537" s="61">
        <v>0</v>
      </c>
      <c r="H537" s="61">
        <v>765895000</v>
      </c>
      <c r="I537" t="s">
        <v>46</v>
      </c>
      <c r="J537" t="s">
        <v>47</v>
      </c>
      <c r="K537" s="61">
        <f t="shared" si="24"/>
        <v>1839797000</v>
      </c>
      <c r="L537" s="61">
        <f t="shared" si="25"/>
        <v>830977000</v>
      </c>
      <c r="M537" s="61">
        <f t="shared" si="26"/>
        <v>1008820000</v>
      </c>
    </row>
    <row r="538" spans="1:13" x14ac:dyDescent="0.25">
      <c r="A538" t="s">
        <v>225</v>
      </c>
      <c r="B538" t="s">
        <v>6</v>
      </c>
      <c r="C538">
        <v>41639</v>
      </c>
      <c r="D538" s="61">
        <v>1859177000</v>
      </c>
      <c r="E538" s="61">
        <v>354561000</v>
      </c>
      <c r="F538" s="61">
        <v>200849000</v>
      </c>
      <c r="G538" s="61">
        <v>0</v>
      </c>
      <c r="H538" s="61">
        <v>653132000</v>
      </c>
      <c r="I538" t="s">
        <v>77</v>
      </c>
      <c r="J538" t="s">
        <v>78</v>
      </c>
      <c r="K538" s="61">
        <f t="shared" si="24"/>
        <v>1504616000</v>
      </c>
      <c r="L538" s="61">
        <f t="shared" si="25"/>
        <v>853981000</v>
      </c>
      <c r="M538" s="61">
        <f t="shared" si="26"/>
        <v>650635000</v>
      </c>
    </row>
    <row r="539" spans="1:13" x14ac:dyDescent="0.25">
      <c r="A539" t="s">
        <v>225</v>
      </c>
      <c r="B539" t="s">
        <v>9</v>
      </c>
      <c r="C539">
        <v>42004</v>
      </c>
      <c r="D539" s="61">
        <v>2388768000</v>
      </c>
      <c r="E539" s="61">
        <v>443974000</v>
      </c>
      <c r="F539" s="61">
        <v>238134000</v>
      </c>
      <c r="G539" s="61">
        <v>0</v>
      </c>
      <c r="H539" s="61">
        <v>679298000</v>
      </c>
      <c r="I539" t="s">
        <v>77</v>
      </c>
      <c r="J539" t="s">
        <v>78</v>
      </c>
      <c r="K539" s="61">
        <f t="shared" si="24"/>
        <v>1944794000</v>
      </c>
      <c r="L539" s="61">
        <f t="shared" si="25"/>
        <v>917432000</v>
      </c>
      <c r="M539" s="61">
        <f t="shared" si="26"/>
        <v>1027362000</v>
      </c>
    </row>
    <row r="540" spans="1:13" x14ac:dyDescent="0.25">
      <c r="A540" t="s">
        <v>225</v>
      </c>
      <c r="B540" t="s">
        <v>10</v>
      </c>
      <c r="C540">
        <v>42369</v>
      </c>
      <c r="D540" s="61">
        <v>1954000000</v>
      </c>
      <c r="E540" s="61">
        <v>523043000</v>
      </c>
      <c r="F540" s="61">
        <v>249925000</v>
      </c>
      <c r="G540" s="61">
        <v>0</v>
      </c>
      <c r="H540" s="61">
        <v>819216000</v>
      </c>
      <c r="I540" t="s">
        <v>77</v>
      </c>
      <c r="J540" t="s">
        <v>78</v>
      </c>
      <c r="K540" s="61">
        <f t="shared" si="24"/>
        <v>1430957000</v>
      </c>
      <c r="L540" s="61">
        <f t="shared" si="25"/>
        <v>1069141000</v>
      </c>
      <c r="M540" s="61">
        <f t="shared" si="26"/>
        <v>361816000</v>
      </c>
    </row>
    <row r="541" spans="1:13" x14ac:dyDescent="0.25">
      <c r="A541" t="s">
        <v>225</v>
      </c>
      <c r="B541" t="s">
        <v>11</v>
      </c>
      <c r="C541">
        <v>42735</v>
      </c>
      <c r="D541" s="61">
        <v>1857339000</v>
      </c>
      <c r="E541" s="61">
        <v>613909000</v>
      </c>
      <c r="F541" s="61">
        <v>272747000</v>
      </c>
      <c r="G541" s="61">
        <v>0</v>
      </c>
      <c r="H541" s="61">
        <v>927920000</v>
      </c>
      <c r="I541" t="s">
        <v>77</v>
      </c>
      <c r="J541" t="s">
        <v>78</v>
      </c>
      <c r="K541" s="61">
        <f t="shared" si="24"/>
        <v>1243430000</v>
      </c>
      <c r="L541" s="61">
        <f t="shared" si="25"/>
        <v>1200667000</v>
      </c>
      <c r="M541" s="61">
        <f t="shared" si="26"/>
        <v>42763000</v>
      </c>
    </row>
    <row r="542" spans="1:13" x14ac:dyDescent="0.25">
      <c r="A542" t="s">
        <v>226</v>
      </c>
      <c r="B542" t="s">
        <v>6</v>
      </c>
      <c r="C542">
        <v>41274</v>
      </c>
      <c r="D542" s="61">
        <v>6273787000</v>
      </c>
      <c r="E542" s="61">
        <v>3667434000</v>
      </c>
      <c r="F542" s="61">
        <v>747356000</v>
      </c>
      <c r="G542" s="61">
        <v>0</v>
      </c>
      <c r="H542" s="61">
        <v>740791000</v>
      </c>
      <c r="I542" t="s">
        <v>36</v>
      </c>
      <c r="J542" t="s">
        <v>37</v>
      </c>
      <c r="K542" s="61">
        <f t="shared" si="24"/>
        <v>2606353000</v>
      </c>
      <c r="L542" s="61">
        <f t="shared" si="25"/>
        <v>1488147000</v>
      </c>
      <c r="M542" s="61">
        <f t="shared" si="26"/>
        <v>1118206000</v>
      </c>
    </row>
    <row r="543" spans="1:13" x14ac:dyDescent="0.25">
      <c r="A543" t="s">
        <v>226</v>
      </c>
      <c r="B543" t="s">
        <v>9</v>
      </c>
      <c r="C543">
        <v>41639</v>
      </c>
      <c r="D543" s="61">
        <v>7301204000</v>
      </c>
      <c r="E543" s="61">
        <v>3997940000</v>
      </c>
      <c r="F543" s="61">
        <v>914149000</v>
      </c>
      <c r="G543" s="61">
        <v>0</v>
      </c>
      <c r="H543" s="61">
        <v>859680000</v>
      </c>
      <c r="I543" t="s">
        <v>36</v>
      </c>
      <c r="J543" t="s">
        <v>37</v>
      </c>
      <c r="K543" s="61">
        <f t="shared" si="24"/>
        <v>3303264000</v>
      </c>
      <c r="L543" s="61">
        <f t="shared" si="25"/>
        <v>1773829000</v>
      </c>
      <c r="M543" s="61">
        <f t="shared" si="26"/>
        <v>1529435000</v>
      </c>
    </row>
    <row r="544" spans="1:13" x14ac:dyDescent="0.25">
      <c r="A544" t="s">
        <v>226</v>
      </c>
      <c r="B544" t="s">
        <v>10</v>
      </c>
      <c r="C544">
        <v>42004</v>
      </c>
      <c r="D544" s="61">
        <v>7741856000</v>
      </c>
      <c r="E544" s="61">
        <v>4449139000</v>
      </c>
      <c r="F544" s="61">
        <v>1034507000</v>
      </c>
      <c r="G544" s="61">
        <v>0</v>
      </c>
      <c r="H544" s="61">
        <v>625361000</v>
      </c>
      <c r="I544" t="s">
        <v>36</v>
      </c>
      <c r="J544" t="s">
        <v>37</v>
      </c>
      <c r="K544" s="61">
        <f t="shared" si="24"/>
        <v>3292717000</v>
      </c>
      <c r="L544" s="61">
        <f t="shared" si="25"/>
        <v>1659868000</v>
      </c>
      <c r="M544" s="61">
        <f t="shared" si="26"/>
        <v>1632849000</v>
      </c>
    </row>
    <row r="545" spans="1:13" x14ac:dyDescent="0.25">
      <c r="A545" t="s">
        <v>226</v>
      </c>
      <c r="B545" t="s">
        <v>11</v>
      </c>
      <c r="C545">
        <v>42369</v>
      </c>
      <c r="D545" s="61">
        <v>7954827000</v>
      </c>
      <c r="E545" s="61">
        <v>4416194000</v>
      </c>
      <c r="F545" s="61">
        <v>1086274000</v>
      </c>
      <c r="G545" s="61">
        <v>0</v>
      </c>
      <c r="H545" s="61">
        <v>688195000</v>
      </c>
      <c r="I545" t="s">
        <v>36</v>
      </c>
      <c r="J545" t="s">
        <v>37</v>
      </c>
      <c r="K545" s="61">
        <f t="shared" si="24"/>
        <v>3538633000</v>
      </c>
      <c r="L545" s="61">
        <f t="shared" si="25"/>
        <v>1774469000</v>
      </c>
      <c r="M545" s="61">
        <f t="shared" si="26"/>
        <v>1764164000</v>
      </c>
    </row>
    <row r="546" spans="1:13" x14ac:dyDescent="0.25">
      <c r="A546" t="s">
        <v>227</v>
      </c>
      <c r="B546" t="s">
        <v>6</v>
      </c>
      <c r="C546">
        <v>41274</v>
      </c>
      <c r="D546" s="61">
        <v>535153000</v>
      </c>
      <c r="E546" s="61">
        <v>172167000</v>
      </c>
      <c r="F546" s="61">
        <v>24573000</v>
      </c>
      <c r="G546" s="61">
        <v>0</v>
      </c>
      <c r="H546" s="61">
        <v>169173000</v>
      </c>
      <c r="I546" t="s">
        <v>46</v>
      </c>
      <c r="J546" t="s">
        <v>228</v>
      </c>
      <c r="K546" s="61">
        <f t="shared" si="24"/>
        <v>362986000</v>
      </c>
      <c r="L546" s="61">
        <f t="shared" si="25"/>
        <v>193746000</v>
      </c>
      <c r="M546" s="61">
        <f t="shared" si="26"/>
        <v>169240000</v>
      </c>
    </row>
    <row r="547" spans="1:13" x14ac:dyDescent="0.25">
      <c r="A547" t="s">
        <v>227</v>
      </c>
      <c r="B547" t="s">
        <v>9</v>
      </c>
      <c r="C547">
        <v>41639</v>
      </c>
      <c r="D547" s="61">
        <v>610590000</v>
      </c>
      <c r="E547" s="61">
        <v>197336000</v>
      </c>
      <c r="F547" s="61">
        <v>26684000</v>
      </c>
      <c r="G547" s="61">
        <v>0</v>
      </c>
      <c r="H547" s="61">
        <v>192420000</v>
      </c>
      <c r="I547" t="s">
        <v>46</v>
      </c>
      <c r="J547" t="s">
        <v>228</v>
      </c>
      <c r="K547" s="61">
        <f t="shared" si="24"/>
        <v>413254000</v>
      </c>
      <c r="L547" s="61">
        <f t="shared" si="25"/>
        <v>219104000</v>
      </c>
      <c r="M547" s="61">
        <f t="shared" si="26"/>
        <v>194150000</v>
      </c>
    </row>
    <row r="548" spans="1:13" x14ac:dyDescent="0.25">
      <c r="A548" t="s">
        <v>227</v>
      </c>
      <c r="B548" t="s">
        <v>10</v>
      </c>
      <c r="C548">
        <v>42004</v>
      </c>
      <c r="D548" s="61">
        <v>970938000</v>
      </c>
      <c r="E548" s="61">
        <v>312546000</v>
      </c>
      <c r="F548" s="61">
        <v>40878000</v>
      </c>
      <c r="G548" s="61">
        <v>0</v>
      </c>
      <c r="H548" s="61">
        <v>360592000</v>
      </c>
      <c r="I548" t="s">
        <v>46</v>
      </c>
      <c r="J548" t="s">
        <v>228</v>
      </c>
      <c r="K548" s="61">
        <f t="shared" si="24"/>
        <v>658392000</v>
      </c>
      <c r="L548" s="61">
        <f t="shared" si="25"/>
        <v>401470000</v>
      </c>
      <c r="M548" s="61">
        <f t="shared" si="26"/>
        <v>256922000</v>
      </c>
    </row>
    <row r="549" spans="1:13" x14ac:dyDescent="0.25">
      <c r="A549" t="s">
        <v>227</v>
      </c>
      <c r="B549" t="s">
        <v>11</v>
      </c>
      <c r="C549">
        <v>42369</v>
      </c>
      <c r="D549" s="61">
        <v>1194407000</v>
      </c>
      <c r="E549" s="61">
        <v>363508000</v>
      </c>
      <c r="F549" s="61">
        <v>40090000</v>
      </c>
      <c r="G549" s="61">
        <v>0</v>
      </c>
      <c r="H549" s="61">
        <v>453423000</v>
      </c>
      <c r="I549" t="s">
        <v>46</v>
      </c>
      <c r="J549" t="s">
        <v>228</v>
      </c>
      <c r="K549" s="61">
        <f t="shared" si="24"/>
        <v>830899000</v>
      </c>
      <c r="L549" s="61">
        <f t="shared" si="25"/>
        <v>493513000</v>
      </c>
      <c r="M549" s="61">
        <f t="shared" si="26"/>
        <v>337386000</v>
      </c>
    </row>
    <row r="550" spans="1:13" x14ac:dyDescent="0.25">
      <c r="A550" t="s">
        <v>229</v>
      </c>
      <c r="B550" t="s">
        <v>6</v>
      </c>
      <c r="C550">
        <v>41274</v>
      </c>
      <c r="D550" s="61">
        <v>1365000000</v>
      </c>
      <c r="E550" s="61">
        <v>0</v>
      </c>
      <c r="F550" s="61">
        <v>921000000</v>
      </c>
      <c r="G550" s="61">
        <v>0</v>
      </c>
      <c r="H550" s="61">
        <v>471000000</v>
      </c>
      <c r="I550" t="s">
        <v>41</v>
      </c>
      <c r="J550" t="s">
        <v>230</v>
      </c>
      <c r="K550" s="61">
        <f t="shared" si="24"/>
        <v>1365000000</v>
      </c>
      <c r="L550" s="61">
        <f t="shared" si="25"/>
        <v>1392000000</v>
      </c>
      <c r="M550" s="61">
        <f t="shared" si="26"/>
        <v>-27000000</v>
      </c>
    </row>
    <row r="551" spans="1:13" x14ac:dyDescent="0.25">
      <c r="A551" t="s">
        <v>229</v>
      </c>
      <c r="B551" t="s">
        <v>9</v>
      </c>
      <c r="C551">
        <v>41639</v>
      </c>
      <c r="D551" s="61">
        <v>1466000000</v>
      </c>
      <c r="E551" s="61">
        <v>0</v>
      </c>
      <c r="F551" s="61">
        <v>888000000</v>
      </c>
      <c r="G551" s="61">
        <v>0</v>
      </c>
      <c r="H551" s="61">
        <v>256000000</v>
      </c>
      <c r="I551" t="s">
        <v>41</v>
      </c>
      <c r="J551" t="s">
        <v>230</v>
      </c>
      <c r="K551" s="61">
        <f t="shared" si="24"/>
        <v>1466000000</v>
      </c>
      <c r="L551" s="61">
        <f t="shared" si="25"/>
        <v>1144000000</v>
      </c>
      <c r="M551" s="61">
        <f t="shared" si="26"/>
        <v>322000000</v>
      </c>
    </row>
    <row r="552" spans="1:13" x14ac:dyDescent="0.25">
      <c r="A552" t="s">
        <v>229</v>
      </c>
      <c r="B552" t="s">
        <v>10</v>
      </c>
      <c r="C552">
        <v>42004</v>
      </c>
      <c r="D552" s="61">
        <v>1665000000</v>
      </c>
      <c r="E552" s="61">
        <v>0</v>
      </c>
      <c r="F552" s="61">
        <v>958000000</v>
      </c>
      <c r="G552" s="61">
        <v>0</v>
      </c>
      <c r="H552" s="61">
        <v>136000000</v>
      </c>
      <c r="I552" t="s">
        <v>41</v>
      </c>
      <c r="J552" t="s">
        <v>230</v>
      </c>
      <c r="K552" s="61">
        <f t="shared" si="24"/>
        <v>1665000000</v>
      </c>
      <c r="L552" s="61">
        <f t="shared" si="25"/>
        <v>1094000000</v>
      </c>
      <c r="M552" s="61">
        <f t="shared" si="26"/>
        <v>571000000</v>
      </c>
    </row>
    <row r="553" spans="1:13" x14ac:dyDescent="0.25">
      <c r="A553" t="s">
        <v>229</v>
      </c>
      <c r="B553" t="s">
        <v>11</v>
      </c>
      <c r="C553">
        <v>42369</v>
      </c>
      <c r="D553" s="61">
        <v>1403000000</v>
      </c>
      <c r="E553" s="61">
        <v>0</v>
      </c>
      <c r="F553" s="61">
        <v>1048000000</v>
      </c>
      <c r="G553" s="61">
        <v>0</v>
      </c>
      <c r="H553" s="61">
        <v>61000000</v>
      </c>
      <c r="I553" t="s">
        <v>41</v>
      </c>
      <c r="J553" t="s">
        <v>230</v>
      </c>
      <c r="K553" s="61">
        <f t="shared" si="24"/>
        <v>1403000000</v>
      </c>
      <c r="L553" s="61">
        <f t="shared" si="25"/>
        <v>1109000000</v>
      </c>
      <c r="M553" s="61">
        <f t="shared" si="26"/>
        <v>294000000</v>
      </c>
    </row>
    <row r="554" spans="1:13" x14ac:dyDescent="0.25">
      <c r="A554" t="s">
        <v>231</v>
      </c>
      <c r="B554" t="s">
        <v>6</v>
      </c>
      <c r="C554">
        <v>41274</v>
      </c>
      <c r="D554" s="61">
        <v>16311000000</v>
      </c>
      <c r="E554" s="61">
        <v>11448000000</v>
      </c>
      <c r="F554" s="61">
        <v>2894000000</v>
      </c>
      <c r="G554" s="61">
        <v>439000000</v>
      </c>
      <c r="H554" s="61">
        <v>0</v>
      </c>
      <c r="I554" t="s">
        <v>7</v>
      </c>
      <c r="J554" t="s">
        <v>158</v>
      </c>
      <c r="K554" s="61">
        <f t="shared" si="24"/>
        <v>4863000000</v>
      </c>
      <c r="L554" s="61">
        <f t="shared" si="25"/>
        <v>3333000000</v>
      </c>
      <c r="M554" s="61">
        <f t="shared" si="26"/>
        <v>1530000000</v>
      </c>
    </row>
    <row r="555" spans="1:13" x14ac:dyDescent="0.25">
      <c r="A555" t="s">
        <v>231</v>
      </c>
      <c r="B555" t="s">
        <v>9</v>
      </c>
      <c r="C555">
        <v>41639</v>
      </c>
      <c r="D555" s="61">
        <v>22046000000</v>
      </c>
      <c r="E555" s="61">
        <v>15369000000</v>
      </c>
      <c r="F555" s="61">
        <v>3886000000</v>
      </c>
      <c r="G555" s="61">
        <v>644000000</v>
      </c>
      <c r="H555" s="61">
        <v>0</v>
      </c>
      <c r="I555" t="s">
        <v>7</v>
      </c>
      <c r="J555" t="s">
        <v>158</v>
      </c>
      <c r="K555" s="61">
        <f t="shared" si="24"/>
        <v>6677000000</v>
      </c>
      <c r="L555" s="61">
        <f t="shared" si="25"/>
        <v>4530000000</v>
      </c>
      <c r="M555" s="61">
        <f t="shared" si="26"/>
        <v>2147000000</v>
      </c>
    </row>
    <row r="556" spans="1:13" x14ac:dyDescent="0.25">
      <c r="A556" t="s">
        <v>231</v>
      </c>
      <c r="B556" t="s">
        <v>10</v>
      </c>
      <c r="C556">
        <v>42004</v>
      </c>
      <c r="D556" s="61">
        <v>22552000000</v>
      </c>
      <c r="E556" s="61">
        <v>15646000000</v>
      </c>
      <c r="F556" s="61">
        <v>3810000000</v>
      </c>
      <c r="G556" s="61">
        <v>647000000</v>
      </c>
      <c r="H556" s="61">
        <v>0</v>
      </c>
      <c r="I556" t="s">
        <v>7</v>
      </c>
      <c r="J556" t="s">
        <v>158</v>
      </c>
      <c r="K556" s="61">
        <f t="shared" si="24"/>
        <v>6906000000</v>
      </c>
      <c r="L556" s="61">
        <f t="shared" si="25"/>
        <v>4457000000</v>
      </c>
      <c r="M556" s="61">
        <f t="shared" si="26"/>
        <v>2449000000</v>
      </c>
    </row>
    <row r="557" spans="1:13" x14ac:dyDescent="0.25">
      <c r="A557" t="s">
        <v>231</v>
      </c>
      <c r="B557" t="s">
        <v>11</v>
      </c>
      <c r="C557">
        <v>42369</v>
      </c>
      <c r="D557" s="61">
        <v>20855000000</v>
      </c>
      <c r="E557" s="61">
        <v>14292000000</v>
      </c>
      <c r="F557" s="61">
        <v>3596000000</v>
      </c>
      <c r="G557" s="61">
        <v>625000000</v>
      </c>
      <c r="H557" s="61">
        <v>0</v>
      </c>
      <c r="I557" t="s">
        <v>7</v>
      </c>
      <c r="J557" t="s">
        <v>158</v>
      </c>
      <c r="K557" s="61">
        <f t="shared" si="24"/>
        <v>6563000000</v>
      </c>
      <c r="L557" s="61">
        <f t="shared" si="25"/>
        <v>4221000000</v>
      </c>
      <c r="M557" s="61">
        <f t="shared" si="26"/>
        <v>2342000000</v>
      </c>
    </row>
    <row r="558" spans="1:13" x14ac:dyDescent="0.25">
      <c r="A558" t="s">
        <v>232</v>
      </c>
      <c r="B558" t="s">
        <v>6</v>
      </c>
      <c r="C558">
        <v>41274</v>
      </c>
      <c r="D558" s="61">
        <v>10302079000</v>
      </c>
      <c r="E558" s="61">
        <v>6583627000</v>
      </c>
      <c r="F558" s="61">
        <v>917162000</v>
      </c>
      <c r="G558" s="61">
        <v>0</v>
      </c>
      <c r="H558" s="61">
        <v>1144585000</v>
      </c>
      <c r="I558" t="s">
        <v>36</v>
      </c>
      <c r="J558" t="s">
        <v>39</v>
      </c>
      <c r="K558" s="61">
        <f t="shared" si="24"/>
        <v>3718452000</v>
      </c>
      <c r="L558" s="61">
        <f t="shared" si="25"/>
        <v>2061747000</v>
      </c>
      <c r="M558" s="61">
        <f t="shared" si="26"/>
        <v>1656705000</v>
      </c>
    </row>
    <row r="559" spans="1:13" x14ac:dyDescent="0.25">
      <c r="A559" t="s">
        <v>232</v>
      </c>
      <c r="B559" t="s">
        <v>9</v>
      </c>
      <c r="C559">
        <v>41639</v>
      </c>
      <c r="D559" s="61">
        <v>11390947000</v>
      </c>
      <c r="E559" s="61">
        <v>7588885000</v>
      </c>
      <c r="F559" s="61">
        <v>888051000</v>
      </c>
      <c r="G559" s="61">
        <v>0</v>
      </c>
      <c r="H559" s="61">
        <v>1261044000</v>
      </c>
      <c r="I559" t="s">
        <v>36</v>
      </c>
      <c r="J559" t="s">
        <v>39</v>
      </c>
      <c r="K559" s="61">
        <f t="shared" si="24"/>
        <v>3802062000</v>
      </c>
      <c r="L559" s="61">
        <f t="shared" si="25"/>
        <v>2149095000</v>
      </c>
      <c r="M559" s="61">
        <f t="shared" si="26"/>
        <v>1652967000</v>
      </c>
    </row>
    <row r="560" spans="1:13" x14ac:dyDescent="0.25">
      <c r="A560" t="s">
        <v>232</v>
      </c>
      <c r="B560" t="s">
        <v>10</v>
      </c>
      <c r="C560">
        <v>42004</v>
      </c>
      <c r="D560" s="61">
        <v>12494921000</v>
      </c>
      <c r="E560" s="61">
        <v>8126187000</v>
      </c>
      <c r="F560" s="61">
        <v>863455000</v>
      </c>
      <c r="G560" s="61">
        <v>0</v>
      </c>
      <c r="H560" s="61">
        <v>1318638000</v>
      </c>
      <c r="I560" t="s">
        <v>36</v>
      </c>
      <c r="J560" t="s">
        <v>39</v>
      </c>
      <c r="K560" s="61">
        <f t="shared" si="24"/>
        <v>4368734000</v>
      </c>
      <c r="L560" s="61">
        <f t="shared" si="25"/>
        <v>2182093000</v>
      </c>
      <c r="M560" s="61">
        <f t="shared" si="26"/>
        <v>2186641000</v>
      </c>
    </row>
    <row r="561" spans="1:13" x14ac:dyDescent="0.25">
      <c r="A561" t="s">
        <v>232</v>
      </c>
      <c r="B561" t="s">
        <v>11</v>
      </c>
      <c r="C561">
        <v>42369</v>
      </c>
      <c r="D561" s="61">
        <v>11513251000</v>
      </c>
      <c r="E561" s="61">
        <v>7449273000</v>
      </c>
      <c r="F561" s="61">
        <v>1074998000</v>
      </c>
      <c r="G561" s="61">
        <v>0</v>
      </c>
      <c r="H561" s="61">
        <v>1337276000</v>
      </c>
      <c r="I561" t="s">
        <v>36</v>
      </c>
      <c r="J561" t="s">
        <v>39</v>
      </c>
      <c r="K561" s="61">
        <f t="shared" si="24"/>
        <v>4063978000</v>
      </c>
      <c r="L561" s="61">
        <f t="shared" si="25"/>
        <v>2412274000</v>
      </c>
      <c r="M561" s="61">
        <f t="shared" si="26"/>
        <v>1651704000</v>
      </c>
    </row>
    <row r="562" spans="1:13" x14ac:dyDescent="0.25">
      <c r="A562" t="s">
        <v>233</v>
      </c>
      <c r="B562" t="s">
        <v>6</v>
      </c>
      <c r="C562">
        <v>41274</v>
      </c>
      <c r="D562" s="61">
        <v>1899600000</v>
      </c>
      <c r="E562" s="61">
        <v>491000000</v>
      </c>
      <c r="F562" s="61">
        <v>697400000</v>
      </c>
      <c r="G562" s="61">
        <v>291300000</v>
      </c>
      <c r="H562" s="61">
        <v>0</v>
      </c>
      <c r="I562" t="s">
        <v>19</v>
      </c>
      <c r="J562" t="s">
        <v>24</v>
      </c>
      <c r="K562" s="61">
        <f t="shared" si="24"/>
        <v>1408600000</v>
      </c>
      <c r="L562" s="61">
        <f t="shared" si="25"/>
        <v>988700000</v>
      </c>
      <c r="M562" s="61">
        <f t="shared" si="26"/>
        <v>419900000</v>
      </c>
    </row>
    <row r="563" spans="1:13" x14ac:dyDescent="0.25">
      <c r="A563" t="s">
        <v>233</v>
      </c>
      <c r="B563" t="s">
        <v>9</v>
      </c>
      <c r="C563">
        <v>41639</v>
      </c>
      <c r="D563" s="61">
        <v>2045500000</v>
      </c>
      <c r="E563" s="61">
        <v>516600000</v>
      </c>
      <c r="F563" s="61">
        <v>749700000</v>
      </c>
      <c r="G563" s="61">
        <v>323000000</v>
      </c>
      <c r="H563" s="61">
        <v>0</v>
      </c>
      <c r="I563" t="s">
        <v>19</v>
      </c>
      <c r="J563" t="s">
        <v>24</v>
      </c>
      <c r="K563" s="61">
        <f t="shared" si="24"/>
        <v>1528900000</v>
      </c>
      <c r="L563" s="61">
        <f t="shared" si="25"/>
        <v>1072700000</v>
      </c>
      <c r="M563" s="61">
        <f t="shared" si="26"/>
        <v>456200000</v>
      </c>
    </row>
    <row r="564" spans="1:13" x14ac:dyDescent="0.25">
      <c r="A564" t="s">
        <v>233</v>
      </c>
      <c r="B564" t="s">
        <v>10</v>
      </c>
      <c r="C564">
        <v>42004</v>
      </c>
      <c r="D564" s="61">
        <v>2322900000</v>
      </c>
      <c r="E564" s="61">
        <v>625600000</v>
      </c>
      <c r="F564" s="61">
        <v>928700000</v>
      </c>
      <c r="G564" s="61">
        <v>346500000</v>
      </c>
      <c r="H564" s="61">
        <v>0</v>
      </c>
      <c r="I564" t="s">
        <v>19</v>
      </c>
      <c r="J564" t="s">
        <v>24</v>
      </c>
      <c r="K564" s="61">
        <f t="shared" si="24"/>
        <v>1697300000</v>
      </c>
      <c r="L564" s="61">
        <f t="shared" si="25"/>
        <v>1275200000</v>
      </c>
      <c r="M564" s="61">
        <f t="shared" si="26"/>
        <v>422100000</v>
      </c>
    </row>
    <row r="565" spans="1:13" x14ac:dyDescent="0.25">
      <c r="A565" t="s">
        <v>233</v>
      </c>
      <c r="B565" t="s">
        <v>11</v>
      </c>
      <c r="C565">
        <v>42369</v>
      </c>
      <c r="D565" s="61">
        <v>2493700000</v>
      </c>
      <c r="E565" s="61">
        <v>617200000</v>
      </c>
      <c r="F565" s="61">
        <v>850700000</v>
      </c>
      <c r="G565" s="61">
        <v>383100000</v>
      </c>
      <c r="H565" s="61">
        <v>0</v>
      </c>
      <c r="I565" t="s">
        <v>19</v>
      </c>
      <c r="J565" t="s">
        <v>24</v>
      </c>
      <c r="K565" s="61">
        <f t="shared" si="24"/>
        <v>1876500000</v>
      </c>
      <c r="L565" s="61">
        <f t="shared" si="25"/>
        <v>1233800000</v>
      </c>
      <c r="M565" s="61">
        <f t="shared" si="26"/>
        <v>642700000</v>
      </c>
    </row>
    <row r="566" spans="1:13" x14ac:dyDescent="0.25">
      <c r="A566" t="s">
        <v>234</v>
      </c>
      <c r="B566" t="s">
        <v>6</v>
      </c>
      <c r="C566">
        <v>41639</v>
      </c>
      <c r="D566" s="61">
        <v>24888000000</v>
      </c>
      <c r="E566" s="61">
        <v>17994000000</v>
      </c>
      <c r="F566" s="61">
        <v>1095000000</v>
      </c>
      <c r="G566" s="61">
        <v>0</v>
      </c>
      <c r="H566" s="61">
        <v>2153000000</v>
      </c>
      <c r="I566" t="s">
        <v>36</v>
      </c>
      <c r="J566" t="s">
        <v>37</v>
      </c>
      <c r="K566" s="61">
        <f t="shared" si="24"/>
        <v>6894000000</v>
      </c>
      <c r="L566" s="61">
        <f t="shared" si="25"/>
        <v>3248000000</v>
      </c>
      <c r="M566" s="61">
        <f t="shared" si="26"/>
        <v>3646000000</v>
      </c>
    </row>
    <row r="567" spans="1:13" x14ac:dyDescent="0.25">
      <c r="A567" t="s">
        <v>234</v>
      </c>
      <c r="B567" t="s">
        <v>9</v>
      </c>
      <c r="C567">
        <v>42004</v>
      </c>
      <c r="D567" s="61">
        <v>27429000000</v>
      </c>
      <c r="E567" s="61">
        <v>21571000000</v>
      </c>
      <c r="F567" s="61">
        <v>1154000000</v>
      </c>
      <c r="G567" s="61">
        <v>0</v>
      </c>
      <c r="H567" s="61">
        <v>2314000000</v>
      </c>
      <c r="I567" t="s">
        <v>36</v>
      </c>
      <c r="J567" t="s">
        <v>37</v>
      </c>
      <c r="K567" s="61">
        <f t="shared" si="24"/>
        <v>5858000000</v>
      </c>
      <c r="L567" s="61">
        <f t="shared" si="25"/>
        <v>3468000000</v>
      </c>
      <c r="M567" s="61">
        <f t="shared" si="26"/>
        <v>2390000000</v>
      </c>
    </row>
    <row r="568" spans="1:13" x14ac:dyDescent="0.25">
      <c r="A568" t="s">
        <v>234</v>
      </c>
      <c r="B568" t="s">
        <v>10</v>
      </c>
      <c r="C568">
        <v>42369</v>
      </c>
      <c r="D568" s="61">
        <v>29447000000</v>
      </c>
      <c r="E568" s="61">
        <v>21406000000</v>
      </c>
      <c r="F568" s="61">
        <v>1200000000</v>
      </c>
      <c r="G568" s="61">
        <v>0</v>
      </c>
      <c r="H568" s="61">
        <v>2450000000</v>
      </c>
      <c r="I568" t="s">
        <v>36</v>
      </c>
      <c r="J568" t="s">
        <v>37</v>
      </c>
      <c r="K568" s="61">
        <f t="shared" si="24"/>
        <v>8041000000</v>
      </c>
      <c r="L568" s="61">
        <f t="shared" si="25"/>
        <v>3650000000</v>
      </c>
      <c r="M568" s="61">
        <f t="shared" si="26"/>
        <v>4391000000</v>
      </c>
    </row>
    <row r="569" spans="1:13" x14ac:dyDescent="0.25">
      <c r="A569" t="s">
        <v>234</v>
      </c>
      <c r="B569" t="s">
        <v>11</v>
      </c>
      <c r="C569">
        <v>42735</v>
      </c>
      <c r="D569" s="61">
        <v>31360000000</v>
      </c>
      <c r="E569" s="61">
        <v>22688000000</v>
      </c>
      <c r="F569" s="61">
        <v>1576000000</v>
      </c>
      <c r="G569" s="61">
        <v>0</v>
      </c>
      <c r="H569" s="61">
        <v>3936000000</v>
      </c>
      <c r="I569" t="s">
        <v>36</v>
      </c>
      <c r="J569" t="s">
        <v>37</v>
      </c>
      <c r="K569" s="61">
        <f t="shared" si="24"/>
        <v>8672000000</v>
      </c>
      <c r="L569" s="61">
        <f t="shared" si="25"/>
        <v>5512000000</v>
      </c>
      <c r="M569" s="61">
        <f t="shared" si="26"/>
        <v>3160000000</v>
      </c>
    </row>
    <row r="570" spans="1:13" x14ac:dyDescent="0.25">
      <c r="A570" t="s">
        <v>235</v>
      </c>
      <c r="B570" t="s">
        <v>6</v>
      </c>
      <c r="C570">
        <v>41274</v>
      </c>
      <c r="D570" s="61">
        <v>5992215000</v>
      </c>
      <c r="E570" s="61">
        <v>4156845000</v>
      </c>
      <c r="F570" s="61">
        <v>1264632000</v>
      </c>
      <c r="G570" s="61">
        <v>0</v>
      </c>
      <c r="H570" s="61">
        <v>39940000</v>
      </c>
      <c r="I570" t="s">
        <v>7</v>
      </c>
      <c r="J570" t="s">
        <v>140</v>
      </c>
      <c r="K570" s="61">
        <f t="shared" si="24"/>
        <v>1835370000</v>
      </c>
      <c r="L570" s="61">
        <f t="shared" si="25"/>
        <v>1304572000</v>
      </c>
      <c r="M570" s="61">
        <f t="shared" si="26"/>
        <v>530798000</v>
      </c>
    </row>
    <row r="571" spans="1:13" x14ac:dyDescent="0.25">
      <c r="A571" t="s">
        <v>235</v>
      </c>
      <c r="B571" t="s">
        <v>9</v>
      </c>
      <c r="C571">
        <v>41639</v>
      </c>
      <c r="D571" s="61">
        <v>6080257000</v>
      </c>
      <c r="E571" s="61">
        <v>4197404000</v>
      </c>
      <c r="F571" s="61">
        <v>1282709000</v>
      </c>
      <c r="G571" s="61">
        <v>0</v>
      </c>
      <c r="H571" s="61">
        <v>48071000</v>
      </c>
      <c r="I571" t="s">
        <v>7</v>
      </c>
      <c r="J571" t="s">
        <v>140</v>
      </c>
      <c r="K571" s="61">
        <f t="shared" si="24"/>
        <v>1882853000</v>
      </c>
      <c r="L571" s="61">
        <f t="shared" si="25"/>
        <v>1330780000</v>
      </c>
      <c r="M571" s="61">
        <f t="shared" si="26"/>
        <v>552073000</v>
      </c>
    </row>
    <row r="572" spans="1:13" x14ac:dyDescent="0.25">
      <c r="A572" t="s">
        <v>235</v>
      </c>
      <c r="B572" t="s">
        <v>10</v>
      </c>
      <c r="C572">
        <v>42004</v>
      </c>
      <c r="D572" s="61">
        <v>6564721000</v>
      </c>
      <c r="E572" s="61">
        <v>4583294000</v>
      </c>
      <c r="F572" s="61">
        <v>1337487000</v>
      </c>
      <c r="G572" s="61">
        <v>0</v>
      </c>
      <c r="H572" s="61">
        <v>49292000</v>
      </c>
      <c r="I572" t="s">
        <v>7</v>
      </c>
      <c r="J572" t="s">
        <v>140</v>
      </c>
      <c r="K572" s="61">
        <f t="shared" si="24"/>
        <v>1981427000</v>
      </c>
      <c r="L572" s="61">
        <f t="shared" si="25"/>
        <v>1386779000</v>
      </c>
      <c r="M572" s="61">
        <f t="shared" si="26"/>
        <v>594648000</v>
      </c>
    </row>
    <row r="573" spans="1:13" x14ac:dyDescent="0.25">
      <c r="A573" t="s">
        <v>235</v>
      </c>
      <c r="B573" t="s">
        <v>11</v>
      </c>
      <c r="C573">
        <v>42369</v>
      </c>
      <c r="D573" s="61">
        <v>6616632000</v>
      </c>
      <c r="E573" s="61">
        <v>4428855000</v>
      </c>
      <c r="F573" s="61">
        <v>1420281000</v>
      </c>
      <c r="G573" s="61">
        <v>0</v>
      </c>
      <c r="H573" s="61">
        <v>46012000</v>
      </c>
      <c r="I573" t="s">
        <v>7</v>
      </c>
      <c r="J573" t="s">
        <v>140</v>
      </c>
      <c r="K573" s="61">
        <f t="shared" si="24"/>
        <v>2187777000</v>
      </c>
      <c r="L573" s="61">
        <f t="shared" si="25"/>
        <v>1466293000</v>
      </c>
      <c r="M573" s="61">
        <f t="shared" si="26"/>
        <v>721484000</v>
      </c>
    </row>
    <row r="574" spans="1:13" x14ac:dyDescent="0.25">
      <c r="A574" t="s">
        <v>236</v>
      </c>
      <c r="B574" t="s">
        <v>6</v>
      </c>
      <c r="C574">
        <v>41639</v>
      </c>
      <c r="D574" s="61">
        <v>4771259000</v>
      </c>
      <c r="E574" s="61">
        <v>1038034000</v>
      </c>
      <c r="F574" s="61">
        <v>3151043000</v>
      </c>
      <c r="G574" s="61">
        <v>0</v>
      </c>
      <c r="H574" s="61">
        <v>71731000</v>
      </c>
      <c r="I574" t="s">
        <v>13</v>
      </c>
      <c r="J574" t="s">
        <v>71</v>
      </c>
      <c r="K574" s="61">
        <f t="shared" si="24"/>
        <v>3733225000</v>
      </c>
      <c r="L574" s="61">
        <f t="shared" si="25"/>
        <v>3222774000</v>
      </c>
      <c r="M574" s="61">
        <f t="shared" si="26"/>
        <v>510451000</v>
      </c>
    </row>
    <row r="575" spans="1:13" x14ac:dyDescent="0.25">
      <c r="A575" t="s">
        <v>236</v>
      </c>
      <c r="B575" t="s">
        <v>9</v>
      </c>
      <c r="C575">
        <v>42004</v>
      </c>
      <c r="D575" s="61">
        <v>5763485000</v>
      </c>
      <c r="E575" s="61">
        <v>1179081000</v>
      </c>
      <c r="F575" s="61">
        <v>3919856000</v>
      </c>
      <c r="G575" s="61">
        <v>0</v>
      </c>
      <c r="H575" s="61">
        <v>76773000</v>
      </c>
      <c r="I575" t="s">
        <v>13</v>
      </c>
      <c r="J575" t="s">
        <v>71</v>
      </c>
      <c r="K575" s="61">
        <f t="shared" si="24"/>
        <v>4584404000</v>
      </c>
      <c r="L575" s="61">
        <f t="shared" si="25"/>
        <v>3996629000</v>
      </c>
      <c r="M575" s="61">
        <f t="shared" si="26"/>
        <v>587775000</v>
      </c>
    </row>
    <row r="576" spans="1:13" x14ac:dyDescent="0.25">
      <c r="A576" t="s">
        <v>236</v>
      </c>
      <c r="B576" t="s">
        <v>10</v>
      </c>
      <c r="C576">
        <v>42369</v>
      </c>
      <c r="D576" s="61">
        <v>6672317000</v>
      </c>
      <c r="E576" s="61">
        <v>1309559000</v>
      </c>
      <c r="F576" s="61">
        <v>4785243000</v>
      </c>
      <c r="G576" s="61">
        <v>0</v>
      </c>
      <c r="H576" s="61">
        <v>156458000</v>
      </c>
      <c r="I576" t="s">
        <v>13</v>
      </c>
      <c r="J576" t="s">
        <v>71</v>
      </c>
      <c r="K576" s="61">
        <f t="shared" si="24"/>
        <v>5362758000</v>
      </c>
      <c r="L576" s="61">
        <f t="shared" si="25"/>
        <v>4941701000</v>
      </c>
      <c r="M576" s="61">
        <f t="shared" si="26"/>
        <v>421057000</v>
      </c>
    </row>
    <row r="577" spans="1:13" x14ac:dyDescent="0.25">
      <c r="A577" t="s">
        <v>236</v>
      </c>
      <c r="B577" t="s">
        <v>11</v>
      </c>
      <c r="C577">
        <v>42735</v>
      </c>
      <c r="D577" s="61">
        <v>8773564000</v>
      </c>
      <c r="E577" s="61">
        <v>1596698000</v>
      </c>
      <c r="F577" s="61">
        <v>6280728000</v>
      </c>
      <c r="G577" s="61">
        <v>0</v>
      </c>
      <c r="H577" s="61">
        <v>317141000</v>
      </c>
      <c r="I577" t="s">
        <v>13</v>
      </c>
      <c r="J577" t="s">
        <v>71</v>
      </c>
      <c r="K577" s="61">
        <f t="shared" si="24"/>
        <v>7176866000</v>
      </c>
      <c r="L577" s="61">
        <f t="shared" si="25"/>
        <v>6597869000</v>
      </c>
      <c r="M577" s="61">
        <f t="shared" si="26"/>
        <v>578997000</v>
      </c>
    </row>
    <row r="578" spans="1:13" x14ac:dyDescent="0.25">
      <c r="A578" t="s">
        <v>237</v>
      </c>
      <c r="B578" t="s">
        <v>6</v>
      </c>
      <c r="C578">
        <v>41274</v>
      </c>
      <c r="D578" s="61">
        <v>409396000</v>
      </c>
      <c r="E578" s="61">
        <v>114028000</v>
      </c>
      <c r="F578" s="61">
        <v>58323000</v>
      </c>
      <c r="G578" s="61">
        <v>0</v>
      </c>
      <c r="H578" s="61">
        <v>74453000</v>
      </c>
      <c r="I578" t="s">
        <v>46</v>
      </c>
      <c r="J578" t="s">
        <v>69</v>
      </c>
      <c r="K578" s="61">
        <f t="shared" ref="K578:K641" si="27">D578-E578</f>
        <v>295368000</v>
      </c>
      <c r="L578" s="61">
        <f t="shared" ref="L578:L641" si="28">F578+G578+H578</f>
        <v>132776000</v>
      </c>
      <c r="M578" s="61">
        <f t="shared" si="26"/>
        <v>162592000</v>
      </c>
    </row>
    <row r="579" spans="1:13" x14ac:dyDescent="0.25">
      <c r="A579" t="s">
        <v>237</v>
      </c>
      <c r="B579" t="s">
        <v>9</v>
      </c>
      <c r="C579">
        <v>41639</v>
      </c>
      <c r="D579" s="61">
        <v>520613000</v>
      </c>
      <c r="E579" s="61">
        <v>140012000</v>
      </c>
      <c r="F579" s="61">
        <v>63268000</v>
      </c>
      <c r="G579" s="61">
        <v>0</v>
      </c>
      <c r="H579" s="61">
        <v>95232000</v>
      </c>
      <c r="I579" t="s">
        <v>46</v>
      </c>
      <c r="J579" t="s">
        <v>69</v>
      </c>
      <c r="K579" s="61">
        <f t="shared" si="27"/>
        <v>380601000</v>
      </c>
      <c r="L579" s="61">
        <f t="shared" si="28"/>
        <v>158500000</v>
      </c>
      <c r="M579" s="61">
        <f t="shared" ref="M579:M642" si="29">K579-L579</f>
        <v>222101000</v>
      </c>
    </row>
    <row r="580" spans="1:13" x14ac:dyDescent="0.25">
      <c r="A580" t="s">
        <v>237</v>
      </c>
      <c r="B580" t="s">
        <v>10</v>
      </c>
      <c r="C580">
        <v>42004</v>
      </c>
      <c r="D580" s="61">
        <v>647155000</v>
      </c>
      <c r="E580" s="61">
        <v>172416000</v>
      </c>
      <c r="F580" s="61">
        <v>71369000</v>
      </c>
      <c r="G580" s="61">
        <v>0</v>
      </c>
      <c r="H580" s="61">
        <v>115076000</v>
      </c>
      <c r="I580" t="s">
        <v>46</v>
      </c>
      <c r="J580" t="s">
        <v>69</v>
      </c>
      <c r="K580" s="61">
        <f t="shared" si="27"/>
        <v>474739000</v>
      </c>
      <c r="L580" s="61">
        <f t="shared" si="28"/>
        <v>186445000</v>
      </c>
      <c r="M580" s="61">
        <f t="shared" si="29"/>
        <v>288294000</v>
      </c>
    </row>
    <row r="581" spans="1:13" x14ac:dyDescent="0.25">
      <c r="A581" t="s">
        <v>237</v>
      </c>
      <c r="B581" t="s">
        <v>11</v>
      </c>
      <c r="C581">
        <v>42369</v>
      </c>
      <c r="D581" s="61">
        <v>782270000</v>
      </c>
      <c r="E581" s="61">
        <v>203965000</v>
      </c>
      <c r="F581" s="61">
        <v>80791000</v>
      </c>
      <c r="G581" s="61">
        <v>0</v>
      </c>
      <c r="H581" s="61">
        <v>133457000</v>
      </c>
      <c r="I581" t="s">
        <v>46</v>
      </c>
      <c r="J581" t="s">
        <v>69</v>
      </c>
      <c r="K581" s="61">
        <f t="shared" si="27"/>
        <v>578305000</v>
      </c>
      <c r="L581" s="61">
        <f t="shared" si="28"/>
        <v>214248000</v>
      </c>
      <c r="M581" s="61">
        <f t="shared" si="29"/>
        <v>364057000</v>
      </c>
    </row>
    <row r="582" spans="1:13" x14ac:dyDescent="0.25">
      <c r="A582" t="s">
        <v>238</v>
      </c>
      <c r="B582" t="s">
        <v>6</v>
      </c>
      <c r="C582">
        <v>41639</v>
      </c>
      <c r="D582" s="61">
        <v>146917000000</v>
      </c>
      <c r="E582" s="61">
        <v>123050000000</v>
      </c>
      <c r="F582" s="61">
        <v>10850000000</v>
      </c>
      <c r="G582" s="61">
        <v>0</v>
      </c>
      <c r="H582" s="61">
        <v>0</v>
      </c>
      <c r="I582" t="s">
        <v>13</v>
      </c>
      <c r="J582" t="s">
        <v>239</v>
      </c>
      <c r="K582" s="61">
        <f t="shared" si="27"/>
        <v>23867000000</v>
      </c>
      <c r="L582" s="61">
        <f t="shared" si="28"/>
        <v>10850000000</v>
      </c>
      <c r="M582" s="61">
        <f t="shared" si="29"/>
        <v>13017000000</v>
      </c>
    </row>
    <row r="583" spans="1:13" x14ac:dyDescent="0.25">
      <c r="A583" t="s">
        <v>238</v>
      </c>
      <c r="B583" t="s">
        <v>9</v>
      </c>
      <c r="C583">
        <v>42004</v>
      </c>
      <c r="D583" s="61">
        <v>144077000000</v>
      </c>
      <c r="E583" s="61">
        <v>131903000000</v>
      </c>
      <c r="F583" s="61">
        <v>11842000000</v>
      </c>
      <c r="G583" s="61">
        <v>0</v>
      </c>
      <c r="H583" s="61">
        <v>0</v>
      </c>
      <c r="I583" t="s">
        <v>13</v>
      </c>
      <c r="J583" t="s">
        <v>239</v>
      </c>
      <c r="K583" s="61">
        <f t="shared" si="27"/>
        <v>12174000000</v>
      </c>
      <c r="L583" s="61">
        <f t="shared" si="28"/>
        <v>11842000000</v>
      </c>
      <c r="M583" s="61">
        <f t="shared" si="29"/>
        <v>332000000</v>
      </c>
    </row>
    <row r="584" spans="1:13" x14ac:dyDescent="0.25">
      <c r="A584" t="s">
        <v>238</v>
      </c>
      <c r="B584" t="s">
        <v>10</v>
      </c>
      <c r="C584">
        <v>42369</v>
      </c>
      <c r="D584" s="61">
        <v>149558000000</v>
      </c>
      <c r="E584" s="61">
        <v>131409000000</v>
      </c>
      <c r="F584" s="61">
        <v>10502000000</v>
      </c>
      <c r="G584" s="61">
        <v>0</v>
      </c>
      <c r="H584" s="61">
        <v>0</v>
      </c>
      <c r="I584" t="s">
        <v>13</v>
      </c>
      <c r="J584" t="s">
        <v>239</v>
      </c>
      <c r="K584" s="61">
        <f t="shared" si="27"/>
        <v>18149000000</v>
      </c>
      <c r="L584" s="61">
        <f t="shared" si="28"/>
        <v>10502000000</v>
      </c>
      <c r="M584" s="61">
        <f t="shared" si="29"/>
        <v>7647000000</v>
      </c>
    </row>
    <row r="585" spans="1:13" x14ac:dyDescent="0.25">
      <c r="A585" t="s">
        <v>238</v>
      </c>
      <c r="B585" t="s">
        <v>11</v>
      </c>
      <c r="C585">
        <v>42735</v>
      </c>
      <c r="D585" s="61">
        <v>151800000000</v>
      </c>
      <c r="E585" s="61">
        <v>135488000000</v>
      </c>
      <c r="F585" s="61">
        <v>12196000000</v>
      </c>
      <c r="G585" s="61">
        <v>0</v>
      </c>
      <c r="H585" s="61">
        <v>0</v>
      </c>
      <c r="I585" t="s">
        <v>13</v>
      </c>
      <c r="J585" t="s">
        <v>239</v>
      </c>
      <c r="K585" s="61">
        <f t="shared" si="27"/>
        <v>16312000000</v>
      </c>
      <c r="L585" s="61">
        <f t="shared" si="28"/>
        <v>12196000000</v>
      </c>
      <c r="M585" s="61">
        <f t="shared" si="29"/>
        <v>4116000000</v>
      </c>
    </row>
    <row r="586" spans="1:13" x14ac:dyDescent="0.25">
      <c r="A586" t="s">
        <v>240</v>
      </c>
      <c r="B586" t="s">
        <v>6</v>
      </c>
      <c r="C586">
        <v>41639</v>
      </c>
      <c r="D586" s="61">
        <v>3326106000</v>
      </c>
      <c r="E586" s="61">
        <v>1606661000</v>
      </c>
      <c r="F586" s="61">
        <v>1007431000</v>
      </c>
      <c r="G586" s="61">
        <v>0</v>
      </c>
      <c r="H586" s="61">
        <v>0</v>
      </c>
      <c r="I586" t="s">
        <v>7</v>
      </c>
      <c r="J586" t="s">
        <v>58</v>
      </c>
      <c r="K586" s="61">
        <f t="shared" si="27"/>
        <v>1719445000</v>
      </c>
      <c r="L586" s="61">
        <f t="shared" si="28"/>
        <v>1007431000</v>
      </c>
      <c r="M586" s="61">
        <f t="shared" si="29"/>
        <v>712014000</v>
      </c>
    </row>
    <row r="587" spans="1:13" x14ac:dyDescent="0.25">
      <c r="A587" t="s">
        <v>240</v>
      </c>
      <c r="B587" t="s">
        <v>9</v>
      </c>
      <c r="C587">
        <v>42004</v>
      </c>
      <c r="D587" s="61">
        <v>3733507000</v>
      </c>
      <c r="E587" s="61">
        <v>1836105000</v>
      </c>
      <c r="F587" s="61">
        <v>1110776000</v>
      </c>
      <c r="G587" s="61">
        <v>0</v>
      </c>
      <c r="H587" s="61">
        <v>0</v>
      </c>
      <c r="I587" t="s">
        <v>7</v>
      </c>
      <c r="J587" t="s">
        <v>58</v>
      </c>
      <c r="K587" s="61">
        <f t="shared" si="27"/>
        <v>1897402000</v>
      </c>
      <c r="L587" s="61">
        <f t="shared" si="28"/>
        <v>1110776000</v>
      </c>
      <c r="M587" s="61">
        <f t="shared" si="29"/>
        <v>786626000</v>
      </c>
    </row>
    <row r="588" spans="1:13" x14ac:dyDescent="0.25">
      <c r="A588" t="s">
        <v>240</v>
      </c>
      <c r="B588" t="s">
        <v>10</v>
      </c>
      <c r="C588">
        <v>42369</v>
      </c>
      <c r="D588" s="61">
        <v>3869187000</v>
      </c>
      <c r="E588" s="61">
        <v>1920253000</v>
      </c>
      <c r="F588" s="61">
        <v>1121590000</v>
      </c>
      <c r="G588" s="61">
        <v>0</v>
      </c>
      <c r="H588" s="61">
        <v>0</v>
      </c>
      <c r="I588" t="s">
        <v>7</v>
      </c>
      <c r="J588" t="s">
        <v>58</v>
      </c>
      <c r="K588" s="61">
        <f t="shared" si="27"/>
        <v>1948934000</v>
      </c>
      <c r="L588" s="61">
        <f t="shared" si="28"/>
        <v>1121590000</v>
      </c>
      <c r="M588" s="61">
        <f t="shared" si="29"/>
        <v>827344000</v>
      </c>
    </row>
    <row r="589" spans="1:13" x14ac:dyDescent="0.25">
      <c r="A589" t="s">
        <v>240</v>
      </c>
      <c r="B589" t="s">
        <v>11</v>
      </c>
      <c r="C589">
        <v>42735</v>
      </c>
      <c r="D589" s="61">
        <v>3962036000</v>
      </c>
      <c r="E589" s="61">
        <v>1997259000</v>
      </c>
      <c r="F589" s="61">
        <v>1169470000</v>
      </c>
      <c r="G589" s="61">
        <v>0</v>
      </c>
      <c r="H589" s="61">
        <v>0</v>
      </c>
      <c r="I589" t="s">
        <v>7</v>
      </c>
      <c r="J589" t="s">
        <v>58</v>
      </c>
      <c r="K589" s="61">
        <f t="shared" si="27"/>
        <v>1964777000</v>
      </c>
      <c r="L589" s="61">
        <f t="shared" si="28"/>
        <v>1169470000</v>
      </c>
      <c r="M589" s="61">
        <f t="shared" si="29"/>
        <v>795307000</v>
      </c>
    </row>
    <row r="590" spans="1:13" x14ac:dyDescent="0.25">
      <c r="A590" t="s">
        <v>241</v>
      </c>
      <c r="B590" t="s">
        <v>6</v>
      </c>
      <c r="C590">
        <v>41639</v>
      </c>
      <c r="D590" s="61">
        <v>7872000000</v>
      </c>
      <c r="E590" s="61">
        <v>1875000000</v>
      </c>
      <c r="F590" s="61">
        <v>1778000000</v>
      </c>
      <c r="G590" s="61">
        <v>1415000000</v>
      </c>
      <c r="H590" s="61">
        <v>0</v>
      </c>
      <c r="I590" t="s">
        <v>16</v>
      </c>
      <c r="J590" t="s">
        <v>51</v>
      </c>
      <c r="K590" s="61">
        <f t="shared" si="27"/>
        <v>5997000000</v>
      </c>
      <c r="L590" s="61">
        <f t="shared" si="28"/>
        <v>3193000000</v>
      </c>
      <c r="M590" s="61">
        <f t="shared" si="29"/>
        <v>2804000000</v>
      </c>
    </row>
    <row r="591" spans="1:13" x14ac:dyDescent="0.25">
      <c r="A591" t="s">
        <v>241</v>
      </c>
      <c r="B591" t="s">
        <v>9</v>
      </c>
      <c r="C591">
        <v>42004</v>
      </c>
      <c r="D591" s="61">
        <v>12466000000</v>
      </c>
      <c r="E591" s="61">
        <v>2153000000</v>
      </c>
      <c r="F591" s="61">
        <v>2653000000</v>
      </c>
      <c r="G591" s="61">
        <v>2666000000</v>
      </c>
      <c r="H591" s="61">
        <v>0</v>
      </c>
      <c r="I591" t="s">
        <v>16</v>
      </c>
      <c r="J591" t="s">
        <v>51</v>
      </c>
      <c r="K591" s="61">
        <f t="shared" si="27"/>
        <v>10313000000</v>
      </c>
      <c r="L591" s="61">
        <f t="shared" si="28"/>
        <v>5319000000</v>
      </c>
      <c r="M591" s="61">
        <f t="shared" si="29"/>
        <v>4994000000</v>
      </c>
    </row>
    <row r="592" spans="1:13" x14ac:dyDescent="0.25">
      <c r="A592" t="s">
        <v>241</v>
      </c>
      <c r="B592" t="s">
        <v>10</v>
      </c>
      <c r="C592">
        <v>42369</v>
      </c>
      <c r="D592" s="61">
        <v>17928000000</v>
      </c>
      <c r="E592" s="61">
        <v>2867000000</v>
      </c>
      <c r="F592" s="61">
        <v>4020000000</v>
      </c>
      <c r="G592" s="61">
        <v>4816000000</v>
      </c>
      <c r="H592" s="61">
        <v>0</v>
      </c>
      <c r="I592" t="s">
        <v>16</v>
      </c>
      <c r="J592" t="s">
        <v>51</v>
      </c>
      <c r="K592" s="61">
        <f t="shared" si="27"/>
        <v>15061000000</v>
      </c>
      <c r="L592" s="61">
        <f t="shared" si="28"/>
        <v>8836000000</v>
      </c>
      <c r="M592" s="61">
        <f t="shared" si="29"/>
        <v>6225000000</v>
      </c>
    </row>
    <row r="593" spans="1:13" x14ac:dyDescent="0.25">
      <c r="A593" t="s">
        <v>241</v>
      </c>
      <c r="B593" t="s">
        <v>11</v>
      </c>
      <c r="C593">
        <v>42735</v>
      </c>
      <c r="D593" s="61">
        <v>27638000000</v>
      </c>
      <c r="E593" s="61">
        <v>3789000000</v>
      </c>
      <c r="F593" s="61">
        <v>5503000000</v>
      </c>
      <c r="G593" s="61">
        <v>5919000000</v>
      </c>
      <c r="H593" s="61">
        <v>0</v>
      </c>
      <c r="I593" t="s">
        <v>16</v>
      </c>
      <c r="J593" t="s">
        <v>51</v>
      </c>
      <c r="K593" s="61">
        <f t="shared" si="27"/>
        <v>23849000000</v>
      </c>
      <c r="L593" s="61">
        <f t="shared" si="28"/>
        <v>11422000000</v>
      </c>
      <c r="M593" s="61">
        <f t="shared" si="29"/>
        <v>12427000000</v>
      </c>
    </row>
    <row r="594" spans="1:13" x14ac:dyDescent="0.25">
      <c r="A594" t="s">
        <v>242</v>
      </c>
      <c r="B594" t="s">
        <v>6</v>
      </c>
      <c r="C594">
        <v>41274</v>
      </c>
      <c r="D594" s="61">
        <v>3134800000</v>
      </c>
      <c r="E594" s="61">
        <v>2093200000</v>
      </c>
      <c r="F594" s="61">
        <v>873100000</v>
      </c>
      <c r="G594" s="61">
        <v>0</v>
      </c>
      <c r="H594" s="61">
        <v>7400000</v>
      </c>
      <c r="I594" t="s">
        <v>7</v>
      </c>
      <c r="J594" t="s">
        <v>58</v>
      </c>
      <c r="K594" s="61">
        <f t="shared" si="27"/>
        <v>1041600000</v>
      </c>
      <c r="L594" s="61">
        <f t="shared" si="28"/>
        <v>880500000</v>
      </c>
      <c r="M594" s="61">
        <f t="shared" si="29"/>
        <v>161100000</v>
      </c>
    </row>
    <row r="595" spans="1:13" x14ac:dyDescent="0.25">
      <c r="A595" t="s">
        <v>242</v>
      </c>
      <c r="B595" t="s">
        <v>9</v>
      </c>
      <c r="C595">
        <v>41639</v>
      </c>
      <c r="D595" s="61">
        <v>3703600000</v>
      </c>
      <c r="E595" s="61">
        <v>2408500000</v>
      </c>
      <c r="F595" s="61">
        <v>938700000</v>
      </c>
      <c r="G595" s="61">
        <v>0</v>
      </c>
      <c r="H595" s="61">
        <v>9400000</v>
      </c>
      <c r="I595" t="s">
        <v>7</v>
      </c>
      <c r="J595" t="s">
        <v>58</v>
      </c>
      <c r="K595" s="61">
        <f t="shared" si="27"/>
        <v>1295100000</v>
      </c>
      <c r="L595" s="61">
        <f t="shared" si="28"/>
        <v>948100000</v>
      </c>
      <c r="M595" s="61">
        <f t="shared" si="29"/>
        <v>347000000</v>
      </c>
    </row>
    <row r="596" spans="1:13" x14ac:dyDescent="0.25">
      <c r="A596" t="s">
        <v>242</v>
      </c>
      <c r="B596" t="s">
        <v>10</v>
      </c>
      <c r="C596">
        <v>42004</v>
      </c>
      <c r="D596" s="61">
        <v>4013600000</v>
      </c>
      <c r="E596" s="61">
        <v>2646700000</v>
      </c>
      <c r="F596" s="61">
        <v>943300000</v>
      </c>
      <c r="G596" s="61">
        <v>0</v>
      </c>
      <c r="H596" s="61">
        <v>13100000</v>
      </c>
      <c r="I596" t="s">
        <v>7</v>
      </c>
      <c r="J596" t="s">
        <v>58</v>
      </c>
      <c r="K596" s="61">
        <f t="shared" si="27"/>
        <v>1366900000</v>
      </c>
      <c r="L596" s="61">
        <f t="shared" si="28"/>
        <v>956400000</v>
      </c>
      <c r="M596" s="61">
        <f t="shared" si="29"/>
        <v>410500000</v>
      </c>
    </row>
    <row r="597" spans="1:13" x14ac:dyDescent="0.25">
      <c r="A597" t="s">
        <v>242</v>
      </c>
      <c r="B597" t="s">
        <v>11</v>
      </c>
      <c r="C597">
        <v>42369</v>
      </c>
      <c r="D597" s="61">
        <v>4579400000</v>
      </c>
      <c r="E597" s="61">
        <v>2997500000</v>
      </c>
      <c r="F597" s="61">
        <v>1047600000</v>
      </c>
      <c r="G597" s="61">
        <v>0</v>
      </c>
      <c r="H597" s="61">
        <v>21600000</v>
      </c>
      <c r="I597" t="s">
        <v>7</v>
      </c>
      <c r="J597" t="s">
        <v>58</v>
      </c>
      <c r="K597" s="61">
        <f t="shared" si="27"/>
        <v>1581900000</v>
      </c>
      <c r="L597" s="61">
        <f t="shared" si="28"/>
        <v>1069200000</v>
      </c>
      <c r="M597" s="61">
        <f t="shared" si="29"/>
        <v>512700000</v>
      </c>
    </row>
    <row r="598" spans="1:13" x14ac:dyDescent="0.25">
      <c r="A598" t="s">
        <v>243</v>
      </c>
      <c r="B598" t="s">
        <v>6</v>
      </c>
      <c r="C598">
        <v>41274</v>
      </c>
      <c r="D598" s="61">
        <v>18010000000</v>
      </c>
      <c r="E598" s="61">
        <v>11561000000</v>
      </c>
      <c r="F598" s="61">
        <v>431000000</v>
      </c>
      <c r="G598" s="61">
        <v>285000000</v>
      </c>
      <c r="H598" s="61">
        <v>0</v>
      </c>
      <c r="I598" t="s">
        <v>53</v>
      </c>
      <c r="J598" t="s">
        <v>244</v>
      </c>
      <c r="K598" s="61">
        <f t="shared" si="27"/>
        <v>6449000000</v>
      </c>
      <c r="L598" s="61">
        <f t="shared" si="28"/>
        <v>716000000</v>
      </c>
      <c r="M598" s="61">
        <f t="shared" si="29"/>
        <v>5733000000</v>
      </c>
    </row>
    <row r="599" spans="1:13" x14ac:dyDescent="0.25">
      <c r="A599" t="s">
        <v>243</v>
      </c>
      <c r="B599" t="s">
        <v>9</v>
      </c>
      <c r="C599">
        <v>41639</v>
      </c>
      <c r="D599" s="61">
        <v>20921000000</v>
      </c>
      <c r="E599" s="61">
        <v>14637000000</v>
      </c>
      <c r="F599" s="61">
        <v>657000000</v>
      </c>
      <c r="G599" s="61">
        <v>210000000</v>
      </c>
      <c r="H599" s="61">
        <v>0</v>
      </c>
      <c r="I599" t="s">
        <v>53</v>
      </c>
      <c r="J599" t="s">
        <v>244</v>
      </c>
      <c r="K599" s="61">
        <f t="shared" si="27"/>
        <v>6284000000</v>
      </c>
      <c r="L599" s="61">
        <f t="shared" si="28"/>
        <v>867000000</v>
      </c>
      <c r="M599" s="61">
        <f t="shared" si="29"/>
        <v>5417000000</v>
      </c>
    </row>
    <row r="600" spans="1:13" x14ac:dyDescent="0.25">
      <c r="A600" t="s">
        <v>243</v>
      </c>
      <c r="B600" t="s">
        <v>10</v>
      </c>
      <c r="C600">
        <v>42004</v>
      </c>
      <c r="D600" s="61">
        <v>21438000000</v>
      </c>
      <c r="E600" s="61">
        <v>19504000000</v>
      </c>
      <c r="F600" s="61">
        <v>592000000</v>
      </c>
      <c r="G600" s="61">
        <v>126000000</v>
      </c>
      <c r="H600" s="61">
        <v>0</v>
      </c>
      <c r="I600" t="s">
        <v>53</v>
      </c>
      <c r="J600" t="s">
        <v>244</v>
      </c>
      <c r="K600" s="61">
        <f t="shared" si="27"/>
        <v>1934000000</v>
      </c>
      <c r="L600" s="61">
        <f t="shared" si="28"/>
        <v>718000000</v>
      </c>
      <c r="M600" s="61">
        <f t="shared" si="29"/>
        <v>1216000000</v>
      </c>
    </row>
    <row r="601" spans="1:13" x14ac:dyDescent="0.25">
      <c r="A601" t="s">
        <v>243</v>
      </c>
      <c r="B601" t="s">
        <v>11</v>
      </c>
      <c r="C601">
        <v>42369</v>
      </c>
      <c r="D601" s="61">
        <v>15877000000</v>
      </c>
      <c r="E601" s="61">
        <v>28524000000</v>
      </c>
      <c r="F601" s="61">
        <v>569000000</v>
      </c>
      <c r="G601" s="61">
        <v>127000000</v>
      </c>
      <c r="H601" s="61">
        <v>0</v>
      </c>
      <c r="I601" t="s">
        <v>53</v>
      </c>
      <c r="J601" t="s">
        <v>244</v>
      </c>
      <c r="K601" s="61">
        <f t="shared" si="27"/>
        <v>-12647000000</v>
      </c>
      <c r="L601" s="61">
        <f t="shared" si="28"/>
        <v>696000000</v>
      </c>
      <c r="M601" s="61">
        <f t="shared" si="29"/>
        <v>-13343000000</v>
      </c>
    </row>
    <row r="602" spans="1:13" x14ac:dyDescent="0.25">
      <c r="A602" t="s">
        <v>245</v>
      </c>
      <c r="B602" t="s">
        <v>6</v>
      </c>
      <c r="C602">
        <v>41425</v>
      </c>
      <c r="D602" s="61">
        <v>44287000000</v>
      </c>
      <c r="E602" s="61">
        <v>16448000000</v>
      </c>
      <c r="F602" s="61">
        <v>20359000000</v>
      </c>
      <c r="G602" s="61">
        <v>0</v>
      </c>
      <c r="H602" s="61">
        <v>2386000000</v>
      </c>
      <c r="I602" t="s">
        <v>7</v>
      </c>
      <c r="J602" t="s">
        <v>140</v>
      </c>
      <c r="K602" s="61">
        <f t="shared" si="27"/>
        <v>27839000000</v>
      </c>
      <c r="L602" s="61">
        <f t="shared" si="28"/>
        <v>22745000000</v>
      </c>
      <c r="M602" s="61">
        <f t="shared" si="29"/>
        <v>5094000000</v>
      </c>
    </row>
    <row r="603" spans="1:13" x14ac:dyDescent="0.25">
      <c r="A603" t="s">
        <v>245</v>
      </c>
      <c r="B603" t="s">
        <v>9</v>
      </c>
      <c r="C603">
        <v>41790</v>
      </c>
      <c r="D603" s="61">
        <v>45567000000</v>
      </c>
      <c r="E603" s="61">
        <v>17052000000</v>
      </c>
      <c r="F603" s="61">
        <v>22113000000</v>
      </c>
      <c r="G603" s="61">
        <v>0</v>
      </c>
      <c r="H603" s="61">
        <v>2587000000</v>
      </c>
      <c r="I603" t="s">
        <v>7</v>
      </c>
      <c r="J603" t="s">
        <v>140</v>
      </c>
      <c r="K603" s="61">
        <f t="shared" si="27"/>
        <v>28515000000</v>
      </c>
      <c r="L603" s="61">
        <f t="shared" si="28"/>
        <v>24700000000</v>
      </c>
      <c r="M603" s="61">
        <f t="shared" si="29"/>
        <v>3815000000</v>
      </c>
    </row>
    <row r="604" spans="1:13" x14ac:dyDescent="0.25">
      <c r="A604" t="s">
        <v>245</v>
      </c>
      <c r="B604" t="s">
        <v>10</v>
      </c>
      <c r="C604">
        <v>42155</v>
      </c>
      <c r="D604" s="61">
        <v>47453000000</v>
      </c>
      <c r="E604" s="61">
        <v>16984000000</v>
      </c>
      <c r="F604" s="61">
        <v>25715000000</v>
      </c>
      <c r="G604" s="61">
        <v>0</v>
      </c>
      <c r="H604" s="61">
        <v>2611000000</v>
      </c>
      <c r="I604" t="s">
        <v>7</v>
      </c>
      <c r="J604" t="s">
        <v>140</v>
      </c>
      <c r="K604" s="61">
        <f t="shared" si="27"/>
        <v>30469000000</v>
      </c>
      <c r="L604" s="61">
        <f t="shared" si="28"/>
        <v>28326000000</v>
      </c>
      <c r="M604" s="61">
        <f t="shared" si="29"/>
        <v>2143000000</v>
      </c>
    </row>
    <row r="605" spans="1:13" x14ac:dyDescent="0.25">
      <c r="A605" t="s">
        <v>245</v>
      </c>
      <c r="B605" t="s">
        <v>11</v>
      </c>
      <c r="C605">
        <v>42521</v>
      </c>
      <c r="D605" s="61">
        <v>50365000000</v>
      </c>
      <c r="E605" s="61">
        <v>17327000000</v>
      </c>
      <c r="F605" s="61">
        <v>27330000000</v>
      </c>
      <c r="G605" s="61">
        <v>0</v>
      </c>
      <c r="H605" s="61">
        <v>2631000000</v>
      </c>
      <c r="I605" t="s">
        <v>7</v>
      </c>
      <c r="J605" t="s">
        <v>140</v>
      </c>
      <c r="K605" s="61">
        <f t="shared" si="27"/>
        <v>33038000000</v>
      </c>
      <c r="L605" s="61">
        <f t="shared" si="28"/>
        <v>29961000000</v>
      </c>
      <c r="M605" s="61">
        <f t="shared" si="29"/>
        <v>3077000000</v>
      </c>
    </row>
    <row r="606" spans="1:13" x14ac:dyDescent="0.25">
      <c r="A606" t="s">
        <v>246</v>
      </c>
      <c r="B606" t="s">
        <v>6</v>
      </c>
      <c r="C606">
        <v>41274</v>
      </c>
      <c r="D606" s="61">
        <v>15255000000</v>
      </c>
      <c r="E606" s="61">
        <v>6717000000</v>
      </c>
      <c r="F606" s="61">
        <v>5353000000</v>
      </c>
      <c r="G606" s="61">
        <v>0</v>
      </c>
      <c r="H606" s="61">
        <v>1051000000</v>
      </c>
      <c r="I606" t="s">
        <v>36</v>
      </c>
      <c r="J606" t="s">
        <v>39</v>
      </c>
      <c r="K606" s="61">
        <f t="shared" si="27"/>
        <v>8538000000</v>
      </c>
      <c r="L606" s="61">
        <f t="shared" si="28"/>
        <v>6404000000</v>
      </c>
      <c r="M606" s="61">
        <f t="shared" si="29"/>
        <v>2134000000</v>
      </c>
    </row>
    <row r="607" spans="1:13" x14ac:dyDescent="0.25">
      <c r="A607" t="s">
        <v>246</v>
      </c>
      <c r="B607" t="s">
        <v>9</v>
      </c>
      <c r="C607">
        <v>41639</v>
      </c>
      <c r="D607" s="61">
        <v>14892000000</v>
      </c>
      <c r="E607" s="61">
        <v>6459000000</v>
      </c>
      <c r="F607" s="61">
        <v>4315000000</v>
      </c>
      <c r="G607" s="61">
        <v>0</v>
      </c>
      <c r="H607" s="61">
        <v>1741000000</v>
      </c>
      <c r="I607" t="s">
        <v>36</v>
      </c>
      <c r="J607" t="s">
        <v>39</v>
      </c>
      <c r="K607" s="61">
        <f t="shared" si="27"/>
        <v>8433000000</v>
      </c>
      <c r="L607" s="61">
        <f t="shared" si="28"/>
        <v>6056000000</v>
      </c>
      <c r="M607" s="61">
        <f t="shared" si="29"/>
        <v>2377000000</v>
      </c>
    </row>
    <row r="608" spans="1:13" x14ac:dyDescent="0.25">
      <c r="A608" t="s">
        <v>246</v>
      </c>
      <c r="B608" t="s">
        <v>10</v>
      </c>
      <c r="C608">
        <v>42004</v>
      </c>
      <c r="D608" s="61">
        <v>15049000000</v>
      </c>
      <c r="E608" s="61">
        <v>6996000000</v>
      </c>
      <c r="F608" s="61">
        <v>5759000000</v>
      </c>
      <c r="G608" s="61">
        <v>0</v>
      </c>
      <c r="H608" s="61">
        <v>1232000000</v>
      </c>
      <c r="I608" t="s">
        <v>36</v>
      </c>
      <c r="J608" t="s">
        <v>39</v>
      </c>
      <c r="K608" s="61">
        <f t="shared" si="27"/>
        <v>8053000000</v>
      </c>
      <c r="L608" s="61">
        <f t="shared" si="28"/>
        <v>6991000000</v>
      </c>
      <c r="M608" s="61">
        <f t="shared" si="29"/>
        <v>1062000000</v>
      </c>
    </row>
    <row r="609" spans="1:13" x14ac:dyDescent="0.25">
      <c r="A609" t="s">
        <v>246</v>
      </c>
      <c r="B609" t="s">
        <v>11</v>
      </c>
      <c r="C609">
        <v>42369</v>
      </c>
      <c r="D609" s="61">
        <v>15026000000</v>
      </c>
      <c r="E609" s="61">
        <v>6173000000</v>
      </c>
      <c r="F609" s="61">
        <v>4969000000</v>
      </c>
      <c r="G609" s="61">
        <v>0</v>
      </c>
      <c r="H609" s="61">
        <v>1550000000</v>
      </c>
      <c r="I609" t="s">
        <v>36</v>
      </c>
      <c r="J609" t="s">
        <v>39</v>
      </c>
      <c r="K609" s="61">
        <f t="shared" si="27"/>
        <v>8853000000</v>
      </c>
      <c r="L609" s="61">
        <f t="shared" si="28"/>
        <v>6519000000</v>
      </c>
      <c r="M609" s="61">
        <f t="shared" si="29"/>
        <v>2334000000</v>
      </c>
    </row>
    <row r="610" spans="1:13" x14ac:dyDescent="0.25">
      <c r="A610" t="s">
        <v>247</v>
      </c>
      <c r="B610" t="s">
        <v>6</v>
      </c>
      <c r="C610">
        <v>41547</v>
      </c>
      <c r="D610" s="61">
        <v>1481314000</v>
      </c>
      <c r="E610" s="61">
        <v>253047000</v>
      </c>
      <c r="F610" s="61">
        <v>587835000</v>
      </c>
      <c r="G610" s="61">
        <v>209614000</v>
      </c>
      <c r="H610" s="61">
        <v>0</v>
      </c>
      <c r="I610" t="s">
        <v>16</v>
      </c>
      <c r="J610" t="s">
        <v>168</v>
      </c>
      <c r="K610" s="61">
        <f t="shared" si="27"/>
        <v>1228267000</v>
      </c>
      <c r="L610" s="61">
        <f t="shared" si="28"/>
        <v>797449000</v>
      </c>
      <c r="M610" s="61">
        <f t="shared" si="29"/>
        <v>430818000</v>
      </c>
    </row>
    <row r="611" spans="1:13" x14ac:dyDescent="0.25">
      <c r="A611" t="s">
        <v>247</v>
      </c>
      <c r="B611" t="s">
        <v>9</v>
      </c>
      <c r="C611">
        <v>41912</v>
      </c>
      <c r="D611" s="61">
        <v>1732046000</v>
      </c>
      <c r="E611" s="61">
        <v>309959000</v>
      </c>
      <c r="F611" s="61">
        <v>664738000</v>
      </c>
      <c r="G611" s="61">
        <v>263792000</v>
      </c>
      <c r="H611" s="61">
        <v>0</v>
      </c>
      <c r="I611" t="s">
        <v>16</v>
      </c>
      <c r="J611" t="s">
        <v>168</v>
      </c>
      <c r="K611" s="61">
        <f t="shared" si="27"/>
        <v>1422087000</v>
      </c>
      <c r="L611" s="61">
        <f t="shared" si="28"/>
        <v>928530000</v>
      </c>
      <c r="M611" s="61">
        <f t="shared" si="29"/>
        <v>493557000</v>
      </c>
    </row>
    <row r="612" spans="1:13" x14ac:dyDescent="0.25">
      <c r="A612" t="s">
        <v>247</v>
      </c>
      <c r="B612" t="s">
        <v>10</v>
      </c>
      <c r="C612">
        <v>42277</v>
      </c>
      <c r="D612" s="61">
        <v>1919823000</v>
      </c>
      <c r="E612" s="61">
        <v>332261000</v>
      </c>
      <c r="F612" s="61">
        <v>738080000</v>
      </c>
      <c r="G612" s="61">
        <v>296583000</v>
      </c>
      <c r="H612" s="61">
        <v>0</v>
      </c>
      <c r="I612" t="s">
        <v>16</v>
      </c>
      <c r="J612" t="s">
        <v>168</v>
      </c>
      <c r="K612" s="61">
        <f t="shared" si="27"/>
        <v>1587562000</v>
      </c>
      <c r="L612" s="61">
        <f t="shared" si="28"/>
        <v>1034663000</v>
      </c>
      <c r="M612" s="61">
        <f t="shared" si="29"/>
        <v>552899000</v>
      </c>
    </row>
    <row r="613" spans="1:13" x14ac:dyDescent="0.25">
      <c r="A613" t="s">
        <v>247</v>
      </c>
      <c r="B613" t="s">
        <v>11</v>
      </c>
      <c r="C613">
        <v>42643</v>
      </c>
      <c r="D613" s="61">
        <v>1995034000</v>
      </c>
      <c r="E613" s="61">
        <v>337205000</v>
      </c>
      <c r="F613" s="61">
        <v>767174000</v>
      </c>
      <c r="G613" s="61">
        <v>334227000</v>
      </c>
      <c r="H613" s="61">
        <v>0</v>
      </c>
      <c r="I613" t="s">
        <v>16</v>
      </c>
      <c r="J613" t="s">
        <v>168</v>
      </c>
      <c r="K613" s="61">
        <f t="shared" si="27"/>
        <v>1657829000</v>
      </c>
      <c r="L613" s="61">
        <f t="shared" si="28"/>
        <v>1101401000</v>
      </c>
      <c r="M613" s="61">
        <f t="shared" si="29"/>
        <v>556428000</v>
      </c>
    </row>
    <row r="614" spans="1:13" x14ac:dyDescent="0.25">
      <c r="A614" t="s">
        <v>248</v>
      </c>
      <c r="B614" t="s">
        <v>6</v>
      </c>
      <c r="C614">
        <v>41274</v>
      </c>
      <c r="D614" s="61">
        <v>5795800000</v>
      </c>
      <c r="E614" s="61">
        <v>3956200000</v>
      </c>
      <c r="F614" s="61">
        <v>763300000</v>
      </c>
      <c r="G614" s="61">
        <v>0</v>
      </c>
      <c r="H614" s="61">
        <v>0</v>
      </c>
      <c r="I614" t="s">
        <v>16</v>
      </c>
      <c r="J614" t="s">
        <v>51</v>
      </c>
      <c r="K614" s="61">
        <f t="shared" si="27"/>
        <v>1839600000</v>
      </c>
      <c r="L614" s="61">
        <f t="shared" si="28"/>
        <v>763300000</v>
      </c>
      <c r="M614" s="61">
        <f t="shared" si="29"/>
        <v>1076300000</v>
      </c>
    </row>
    <row r="615" spans="1:13" x14ac:dyDescent="0.25">
      <c r="A615" t="s">
        <v>248</v>
      </c>
      <c r="B615" t="s">
        <v>9</v>
      </c>
      <c r="C615">
        <v>41639</v>
      </c>
      <c r="D615" s="61">
        <v>6063400000</v>
      </c>
      <c r="E615" s="61">
        <v>4092700000</v>
      </c>
      <c r="F615" s="61">
        <v>907800000</v>
      </c>
      <c r="G615" s="61">
        <v>0</v>
      </c>
      <c r="H615" s="61">
        <v>0</v>
      </c>
      <c r="I615" t="s">
        <v>16</v>
      </c>
      <c r="J615" t="s">
        <v>51</v>
      </c>
      <c r="K615" s="61">
        <f t="shared" si="27"/>
        <v>1970700000</v>
      </c>
      <c r="L615" s="61">
        <f t="shared" si="28"/>
        <v>907800000</v>
      </c>
      <c r="M615" s="61">
        <f t="shared" si="29"/>
        <v>1062900000</v>
      </c>
    </row>
    <row r="616" spans="1:13" x14ac:dyDescent="0.25">
      <c r="A616" t="s">
        <v>248</v>
      </c>
      <c r="B616" t="s">
        <v>10</v>
      </c>
      <c r="C616">
        <v>42004</v>
      </c>
      <c r="D616" s="61">
        <v>6413800000</v>
      </c>
      <c r="E616" s="61">
        <v>4328300000</v>
      </c>
      <c r="F616" s="61">
        <v>814900000</v>
      </c>
      <c r="G616" s="61">
        <v>0</v>
      </c>
      <c r="H616" s="61">
        <v>0</v>
      </c>
      <c r="I616" t="s">
        <v>16</v>
      </c>
      <c r="J616" t="s">
        <v>51</v>
      </c>
      <c r="K616" s="61">
        <f t="shared" si="27"/>
        <v>2085500000</v>
      </c>
      <c r="L616" s="61">
        <f t="shared" si="28"/>
        <v>814900000</v>
      </c>
      <c r="M616" s="61">
        <f t="shared" si="29"/>
        <v>1270600000</v>
      </c>
    </row>
    <row r="617" spans="1:13" x14ac:dyDescent="0.25">
      <c r="A617" t="s">
        <v>248</v>
      </c>
      <c r="B617" t="s">
        <v>11</v>
      </c>
      <c r="C617">
        <v>42369</v>
      </c>
      <c r="D617" s="61">
        <v>6595200000</v>
      </c>
      <c r="E617" s="61">
        <v>4393200000</v>
      </c>
      <c r="F617" s="61">
        <v>1102800000</v>
      </c>
      <c r="G617" s="61">
        <v>0</v>
      </c>
      <c r="H617" s="61">
        <v>0</v>
      </c>
      <c r="I617" t="s">
        <v>16</v>
      </c>
      <c r="J617" t="s">
        <v>51</v>
      </c>
      <c r="K617" s="61">
        <f t="shared" si="27"/>
        <v>2202000000</v>
      </c>
      <c r="L617" s="61">
        <f t="shared" si="28"/>
        <v>1102800000</v>
      </c>
      <c r="M617" s="61">
        <f t="shared" si="29"/>
        <v>1099200000</v>
      </c>
    </row>
    <row r="618" spans="1:13" x14ac:dyDescent="0.25">
      <c r="A618" t="s">
        <v>249</v>
      </c>
      <c r="B618" t="s">
        <v>6</v>
      </c>
      <c r="C618">
        <v>41274</v>
      </c>
      <c r="D618" s="61">
        <v>4436000000</v>
      </c>
      <c r="E618" s="61">
        <v>2564000000</v>
      </c>
      <c r="F618" s="61">
        <v>824000000</v>
      </c>
      <c r="G618" s="61">
        <v>0</v>
      </c>
      <c r="H618" s="61">
        <v>0</v>
      </c>
      <c r="I618" t="s">
        <v>16</v>
      </c>
      <c r="J618" t="s">
        <v>51</v>
      </c>
      <c r="K618" s="61">
        <f t="shared" si="27"/>
        <v>1872000000</v>
      </c>
      <c r="L618" s="61">
        <f t="shared" si="28"/>
        <v>824000000</v>
      </c>
      <c r="M618" s="61">
        <f t="shared" si="29"/>
        <v>1048000000</v>
      </c>
    </row>
    <row r="619" spans="1:13" x14ac:dyDescent="0.25">
      <c r="A619" t="s">
        <v>249</v>
      </c>
      <c r="B619" t="s">
        <v>9</v>
      </c>
      <c r="C619">
        <v>41639</v>
      </c>
      <c r="D619" s="61">
        <v>4814000000</v>
      </c>
      <c r="E619" s="61">
        <v>2776000000</v>
      </c>
      <c r="F619" s="61">
        <v>977000000</v>
      </c>
      <c r="G619" s="61">
        <v>0</v>
      </c>
      <c r="H619" s="61">
        <v>0</v>
      </c>
      <c r="I619" t="s">
        <v>16</v>
      </c>
      <c r="J619" t="s">
        <v>51</v>
      </c>
      <c r="K619" s="61">
        <f t="shared" si="27"/>
        <v>2038000000</v>
      </c>
      <c r="L619" s="61">
        <f t="shared" si="28"/>
        <v>977000000</v>
      </c>
      <c r="M619" s="61">
        <f t="shared" si="29"/>
        <v>1061000000</v>
      </c>
    </row>
    <row r="620" spans="1:13" x14ac:dyDescent="0.25">
      <c r="A620" t="s">
        <v>249</v>
      </c>
      <c r="B620" t="s">
        <v>10</v>
      </c>
      <c r="C620">
        <v>42004</v>
      </c>
      <c r="D620" s="61">
        <v>5066000000</v>
      </c>
      <c r="E620" s="61">
        <v>2881000000</v>
      </c>
      <c r="F620" s="61">
        <v>975000000</v>
      </c>
      <c r="G620" s="61">
        <v>0</v>
      </c>
      <c r="H620" s="61">
        <v>0</v>
      </c>
      <c r="I620" t="s">
        <v>16</v>
      </c>
      <c r="J620" t="s">
        <v>51</v>
      </c>
      <c r="K620" s="61">
        <f t="shared" si="27"/>
        <v>2185000000</v>
      </c>
      <c r="L620" s="61">
        <f t="shared" si="28"/>
        <v>975000000</v>
      </c>
      <c r="M620" s="61">
        <f t="shared" si="29"/>
        <v>1210000000</v>
      </c>
    </row>
    <row r="621" spans="1:13" x14ac:dyDescent="0.25">
      <c r="A621" t="s">
        <v>249</v>
      </c>
      <c r="B621" t="s">
        <v>11</v>
      </c>
      <c r="C621">
        <v>42369</v>
      </c>
      <c r="D621" s="61">
        <v>5254000000</v>
      </c>
      <c r="E621" s="61">
        <v>2909000000</v>
      </c>
      <c r="F621" s="61">
        <v>1034000000</v>
      </c>
      <c r="G621" s="61">
        <v>0</v>
      </c>
      <c r="H621" s="61">
        <v>0</v>
      </c>
      <c r="I621" t="s">
        <v>16</v>
      </c>
      <c r="J621" t="s">
        <v>51</v>
      </c>
      <c r="K621" s="61">
        <f t="shared" si="27"/>
        <v>2345000000</v>
      </c>
      <c r="L621" s="61">
        <f t="shared" si="28"/>
        <v>1034000000</v>
      </c>
      <c r="M621" s="61">
        <f t="shared" si="29"/>
        <v>1311000000</v>
      </c>
    </row>
    <row r="622" spans="1:13" x14ac:dyDescent="0.25">
      <c r="A622" t="s">
        <v>250</v>
      </c>
      <c r="B622" t="s">
        <v>6</v>
      </c>
      <c r="C622">
        <v>41307</v>
      </c>
      <c r="D622" s="61">
        <v>6182000000</v>
      </c>
      <c r="E622" s="61">
        <v>4148000000</v>
      </c>
      <c r="F622" s="61">
        <v>1294000000</v>
      </c>
      <c r="G622" s="61">
        <v>0</v>
      </c>
      <c r="H622" s="61">
        <v>118000000</v>
      </c>
      <c r="I622" t="s">
        <v>13</v>
      </c>
      <c r="J622" t="s">
        <v>251</v>
      </c>
      <c r="K622" s="61">
        <f t="shared" si="27"/>
        <v>2034000000</v>
      </c>
      <c r="L622" s="61">
        <f t="shared" si="28"/>
        <v>1412000000</v>
      </c>
      <c r="M622" s="61">
        <f t="shared" si="29"/>
        <v>622000000</v>
      </c>
    </row>
    <row r="623" spans="1:13" x14ac:dyDescent="0.25">
      <c r="A623" t="s">
        <v>250</v>
      </c>
      <c r="B623" t="s">
        <v>9</v>
      </c>
      <c r="C623">
        <v>41671</v>
      </c>
      <c r="D623" s="61">
        <v>6505000000</v>
      </c>
      <c r="E623" s="61">
        <v>4372000000</v>
      </c>
      <c r="F623" s="61">
        <v>1334000000</v>
      </c>
      <c r="G623" s="61">
        <v>0</v>
      </c>
      <c r="H623" s="61">
        <v>133000000</v>
      </c>
      <c r="I623" t="s">
        <v>13</v>
      </c>
      <c r="J623" t="s">
        <v>251</v>
      </c>
      <c r="K623" s="61">
        <f t="shared" si="27"/>
        <v>2133000000</v>
      </c>
      <c r="L623" s="61">
        <f t="shared" si="28"/>
        <v>1467000000</v>
      </c>
      <c r="M623" s="61">
        <f t="shared" si="29"/>
        <v>666000000</v>
      </c>
    </row>
    <row r="624" spans="1:13" x14ac:dyDescent="0.25">
      <c r="A624" t="s">
        <v>250</v>
      </c>
      <c r="B624" t="s">
        <v>10</v>
      </c>
      <c r="C624">
        <v>42035</v>
      </c>
      <c r="D624" s="61">
        <v>7151000000</v>
      </c>
      <c r="E624" s="61">
        <v>4777000000</v>
      </c>
      <c r="F624" s="61">
        <v>1426000000</v>
      </c>
      <c r="G624" s="61">
        <v>0</v>
      </c>
      <c r="H624" s="61">
        <v>139000000</v>
      </c>
      <c r="I624" t="s">
        <v>13</v>
      </c>
      <c r="J624" t="s">
        <v>251</v>
      </c>
      <c r="K624" s="61">
        <f t="shared" si="27"/>
        <v>2374000000</v>
      </c>
      <c r="L624" s="61">
        <f t="shared" si="28"/>
        <v>1565000000</v>
      </c>
      <c r="M624" s="61">
        <f t="shared" si="29"/>
        <v>809000000</v>
      </c>
    </row>
    <row r="625" spans="1:13" x14ac:dyDescent="0.25">
      <c r="A625" t="s">
        <v>250</v>
      </c>
      <c r="B625" t="s">
        <v>11</v>
      </c>
      <c r="C625">
        <v>42399</v>
      </c>
      <c r="D625" s="61">
        <v>7412000000</v>
      </c>
      <c r="E625" s="61">
        <v>4907000000</v>
      </c>
      <c r="F625" s="61">
        <v>1415000000</v>
      </c>
      <c r="G625" s="61">
        <v>0</v>
      </c>
      <c r="H625" s="61">
        <v>148000000</v>
      </c>
      <c r="I625" t="s">
        <v>13</v>
      </c>
      <c r="J625" t="s">
        <v>251</v>
      </c>
      <c r="K625" s="61">
        <f t="shared" si="27"/>
        <v>2505000000</v>
      </c>
      <c r="L625" s="61">
        <f t="shared" si="28"/>
        <v>1563000000</v>
      </c>
      <c r="M625" s="61">
        <f t="shared" si="29"/>
        <v>942000000</v>
      </c>
    </row>
    <row r="626" spans="1:13" x14ac:dyDescent="0.25">
      <c r="A626" t="s">
        <v>252</v>
      </c>
      <c r="B626" t="s">
        <v>6</v>
      </c>
      <c r="C626">
        <v>41274</v>
      </c>
      <c r="D626" s="61">
        <v>1405358000</v>
      </c>
      <c r="E626" s="61">
        <v>670174000</v>
      </c>
      <c r="F626" s="61">
        <v>292500000</v>
      </c>
      <c r="G626" s="61">
        <v>137354000</v>
      </c>
      <c r="H626" s="61">
        <v>0</v>
      </c>
      <c r="I626" t="s">
        <v>16</v>
      </c>
      <c r="J626" t="s">
        <v>253</v>
      </c>
      <c r="K626" s="61">
        <f t="shared" si="27"/>
        <v>735184000</v>
      </c>
      <c r="L626" s="61">
        <f t="shared" si="28"/>
        <v>429854000</v>
      </c>
      <c r="M626" s="61">
        <f t="shared" si="29"/>
        <v>305330000</v>
      </c>
    </row>
    <row r="627" spans="1:13" x14ac:dyDescent="0.25">
      <c r="A627" t="s">
        <v>252</v>
      </c>
      <c r="B627" t="s">
        <v>9</v>
      </c>
      <c r="C627">
        <v>41639</v>
      </c>
      <c r="D627" s="61">
        <v>1496372000</v>
      </c>
      <c r="E627" s="61">
        <v>759362000</v>
      </c>
      <c r="F627" s="61">
        <v>322739000</v>
      </c>
      <c r="G627" s="61">
        <v>147696000</v>
      </c>
      <c r="H627" s="61">
        <v>0</v>
      </c>
      <c r="I627" t="s">
        <v>16</v>
      </c>
      <c r="J627" t="s">
        <v>253</v>
      </c>
      <c r="K627" s="61">
        <f t="shared" si="27"/>
        <v>737010000</v>
      </c>
      <c r="L627" s="61">
        <f t="shared" si="28"/>
        <v>470435000</v>
      </c>
      <c r="M627" s="61">
        <f t="shared" si="29"/>
        <v>266575000</v>
      </c>
    </row>
    <row r="628" spans="1:13" x14ac:dyDescent="0.25">
      <c r="A628" t="s">
        <v>252</v>
      </c>
      <c r="B628" t="s">
        <v>10</v>
      </c>
      <c r="C628">
        <v>42004</v>
      </c>
      <c r="D628" s="61">
        <v>1530654000</v>
      </c>
      <c r="E628" s="61">
        <v>780281000</v>
      </c>
      <c r="F628" s="61">
        <v>331995000</v>
      </c>
      <c r="G628" s="61">
        <v>142751000</v>
      </c>
      <c r="H628" s="61">
        <v>0</v>
      </c>
      <c r="I628" t="s">
        <v>16</v>
      </c>
      <c r="J628" t="s">
        <v>253</v>
      </c>
      <c r="K628" s="61">
        <f t="shared" si="27"/>
        <v>750373000</v>
      </c>
      <c r="L628" s="61">
        <f t="shared" si="28"/>
        <v>474746000</v>
      </c>
      <c r="M628" s="61">
        <f t="shared" si="29"/>
        <v>275627000</v>
      </c>
    </row>
    <row r="629" spans="1:13" x14ac:dyDescent="0.25">
      <c r="A629" t="s">
        <v>252</v>
      </c>
      <c r="B629" t="s">
        <v>11</v>
      </c>
      <c r="C629">
        <v>42369</v>
      </c>
      <c r="D629" s="61">
        <v>1557067000</v>
      </c>
      <c r="E629" s="61">
        <v>803506000</v>
      </c>
      <c r="F629" s="61">
        <v>313544000</v>
      </c>
      <c r="G629" s="61">
        <v>132892000</v>
      </c>
      <c r="H629" s="61">
        <v>0</v>
      </c>
      <c r="I629" t="s">
        <v>16</v>
      </c>
      <c r="J629" t="s">
        <v>253</v>
      </c>
      <c r="K629" s="61">
        <f t="shared" si="27"/>
        <v>753561000</v>
      </c>
      <c r="L629" s="61">
        <f t="shared" si="28"/>
        <v>446436000</v>
      </c>
      <c r="M629" s="61">
        <f t="shared" si="29"/>
        <v>307125000</v>
      </c>
    </row>
    <row r="630" spans="1:13" x14ac:dyDescent="0.25">
      <c r="A630" t="s">
        <v>254</v>
      </c>
      <c r="B630" t="s">
        <v>6</v>
      </c>
      <c r="C630">
        <v>41639</v>
      </c>
      <c r="D630" s="61">
        <v>27351573000</v>
      </c>
      <c r="E630" s="61">
        <v>25986382000</v>
      </c>
      <c r="F630" s="61">
        <v>175148000</v>
      </c>
      <c r="G630" s="61">
        <v>0</v>
      </c>
      <c r="H630" s="61">
        <v>0</v>
      </c>
      <c r="I630" t="s">
        <v>7</v>
      </c>
      <c r="J630" t="s">
        <v>255</v>
      </c>
      <c r="K630" s="61">
        <f t="shared" si="27"/>
        <v>1365191000</v>
      </c>
      <c r="L630" s="61">
        <f t="shared" si="28"/>
        <v>175148000</v>
      </c>
      <c r="M630" s="61">
        <f t="shared" si="29"/>
        <v>1190043000</v>
      </c>
    </row>
    <row r="631" spans="1:13" x14ac:dyDescent="0.25">
      <c r="A631" t="s">
        <v>254</v>
      </c>
      <c r="B631" t="s">
        <v>9</v>
      </c>
      <c r="C631">
        <v>42004</v>
      </c>
      <c r="D631" s="61">
        <v>21531577000</v>
      </c>
      <c r="E631" s="61">
        <v>20132544000</v>
      </c>
      <c r="F631" s="61">
        <v>182711000</v>
      </c>
      <c r="G631" s="61">
        <v>0</v>
      </c>
      <c r="H631" s="61">
        <v>0</v>
      </c>
      <c r="I631" t="s">
        <v>7</v>
      </c>
      <c r="J631" t="s">
        <v>255</v>
      </c>
      <c r="K631" s="61">
        <f t="shared" si="27"/>
        <v>1399033000</v>
      </c>
      <c r="L631" s="61">
        <f t="shared" si="28"/>
        <v>182711000</v>
      </c>
      <c r="M631" s="61">
        <f t="shared" si="29"/>
        <v>1216322000</v>
      </c>
    </row>
    <row r="632" spans="1:13" x14ac:dyDescent="0.25">
      <c r="A632" t="s">
        <v>254</v>
      </c>
      <c r="B632" t="s">
        <v>10</v>
      </c>
      <c r="C632">
        <v>42369</v>
      </c>
      <c r="D632" s="61">
        <v>18114048000</v>
      </c>
      <c r="E632" s="61">
        <v>17019352000</v>
      </c>
      <c r="F632" s="61">
        <v>408225000</v>
      </c>
      <c r="G632" s="61">
        <v>0</v>
      </c>
      <c r="H632" s="61">
        <v>0</v>
      </c>
      <c r="I632" t="s">
        <v>7</v>
      </c>
      <c r="J632" t="s">
        <v>255</v>
      </c>
      <c r="K632" s="61">
        <f t="shared" si="27"/>
        <v>1094696000</v>
      </c>
      <c r="L632" s="61">
        <f t="shared" si="28"/>
        <v>408225000</v>
      </c>
      <c r="M632" s="61">
        <f t="shared" si="29"/>
        <v>686471000</v>
      </c>
    </row>
    <row r="633" spans="1:13" x14ac:dyDescent="0.25">
      <c r="A633" t="s">
        <v>254</v>
      </c>
      <c r="B633" t="s">
        <v>11</v>
      </c>
      <c r="C633">
        <v>42735</v>
      </c>
      <c r="D633" s="61">
        <v>19036525000</v>
      </c>
      <c r="E633" s="61">
        <v>18246209000</v>
      </c>
      <c r="F633" s="61">
        <v>191073000</v>
      </c>
      <c r="G633" s="61">
        <v>0</v>
      </c>
      <c r="H633" s="61">
        <v>0</v>
      </c>
      <c r="I633" t="s">
        <v>7</v>
      </c>
      <c r="J633" t="s">
        <v>255</v>
      </c>
      <c r="K633" s="61">
        <f t="shared" si="27"/>
        <v>790316000</v>
      </c>
      <c r="L633" s="61">
        <f t="shared" si="28"/>
        <v>191073000</v>
      </c>
      <c r="M633" s="61">
        <f t="shared" si="29"/>
        <v>599243000</v>
      </c>
    </row>
    <row r="634" spans="1:13" x14ac:dyDescent="0.25">
      <c r="A634" t="s">
        <v>256</v>
      </c>
      <c r="B634" t="s">
        <v>6</v>
      </c>
      <c r="C634">
        <v>41639</v>
      </c>
      <c r="D634" s="61">
        <v>4954619000</v>
      </c>
      <c r="E634" s="61">
        <v>3266524000</v>
      </c>
      <c r="F634" s="61">
        <v>966829000</v>
      </c>
      <c r="G634" s="61">
        <v>0</v>
      </c>
      <c r="H634" s="61">
        <v>0</v>
      </c>
      <c r="I634" t="s">
        <v>7</v>
      </c>
      <c r="J634" t="s">
        <v>151</v>
      </c>
      <c r="K634" s="61">
        <f t="shared" si="27"/>
        <v>1688095000</v>
      </c>
      <c r="L634" s="61">
        <f t="shared" si="28"/>
        <v>966829000</v>
      </c>
      <c r="M634" s="61">
        <f t="shared" si="29"/>
        <v>721266000</v>
      </c>
    </row>
    <row r="635" spans="1:13" x14ac:dyDescent="0.25">
      <c r="A635" t="s">
        <v>256</v>
      </c>
      <c r="B635" t="s">
        <v>9</v>
      </c>
      <c r="C635">
        <v>42004</v>
      </c>
      <c r="D635" s="61">
        <v>4877885000</v>
      </c>
      <c r="E635" s="61">
        <v>3163268000</v>
      </c>
      <c r="F635" s="61">
        <v>936900000</v>
      </c>
      <c r="G635" s="61">
        <v>0</v>
      </c>
      <c r="H635" s="61">
        <v>0</v>
      </c>
      <c r="I635" t="s">
        <v>7</v>
      </c>
      <c r="J635" t="s">
        <v>151</v>
      </c>
      <c r="K635" s="61">
        <f t="shared" si="27"/>
        <v>1714617000</v>
      </c>
      <c r="L635" s="61">
        <f t="shared" si="28"/>
        <v>936900000</v>
      </c>
      <c r="M635" s="61">
        <f t="shared" si="29"/>
        <v>777717000</v>
      </c>
    </row>
    <row r="636" spans="1:13" x14ac:dyDescent="0.25">
      <c r="A636" t="s">
        <v>256</v>
      </c>
      <c r="B636" t="s">
        <v>10</v>
      </c>
      <c r="C636">
        <v>42369</v>
      </c>
      <c r="D636" s="61">
        <v>4561030000</v>
      </c>
      <c r="E636" s="61">
        <v>3073712000</v>
      </c>
      <c r="F636" s="61">
        <v>971611000</v>
      </c>
      <c r="G636" s="61">
        <v>0</v>
      </c>
      <c r="H636" s="61">
        <v>0</v>
      </c>
      <c r="I636" t="s">
        <v>7</v>
      </c>
      <c r="J636" t="s">
        <v>151</v>
      </c>
      <c r="K636" s="61">
        <f t="shared" si="27"/>
        <v>1487318000</v>
      </c>
      <c r="L636" s="61">
        <f t="shared" si="28"/>
        <v>971611000</v>
      </c>
      <c r="M636" s="61">
        <f t="shared" si="29"/>
        <v>515707000</v>
      </c>
    </row>
    <row r="637" spans="1:13" x14ac:dyDescent="0.25">
      <c r="A637" t="s">
        <v>256</v>
      </c>
      <c r="B637" t="s">
        <v>11</v>
      </c>
      <c r="C637">
        <v>42735</v>
      </c>
      <c r="D637" s="61">
        <v>3991462000</v>
      </c>
      <c r="E637" s="61">
        <v>2759908000</v>
      </c>
      <c r="F637" s="61">
        <v>965322000</v>
      </c>
      <c r="G637" s="61">
        <v>0</v>
      </c>
      <c r="H637" s="61">
        <v>0</v>
      </c>
      <c r="I637" t="s">
        <v>7</v>
      </c>
      <c r="J637" t="s">
        <v>151</v>
      </c>
      <c r="K637" s="61">
        <f t="shared" si="27"/>
        <v>1231554000</v>
      </c>
      <c r="L637" s="61">
        <f t="shared" si="28"/>
        <v>965322000</v>
      </c>
      <c r="M637" s="61">
        <f t="shared" si="29"/>
        <v>266232000</v>
      </c>
    </row>
    <row r="638" spans="1:13" x14ac:dyDescent="0.25">
      <c r="A638" t="s">
        <v>257</v>
      </c>
      <c r="B638" t="s">
        <v>6</v>
      </c>
      <c r="C638">
        <v>41274</v>
      </c>
      <c r="D638" s="61">
        <v>3409900000</v>
      </c>
      <c r="E638" s="61">
        <v>2141600000</v>
      </c>
      <c r="F638" s="61">
        <v>489700000</v>
      </c>
      <c r="G638" s="61">
        <v>112000000</v>
      </c>
      <c r="H638" s="61">
        <v>0</v>
      </c>
      <c r="I638" t="s">
        <v>53</v>
      </c>
      <c r="J638" t="s">
        <v>187</v>
      </c>
      <c r="K638" s="61">
        <f t="shared" si="27"/>
        <v>1268300000</v>
      </c>
      <c r="L638" s="61">
        <f t="shared" si="28"/>
        <v>601700000</v>
      </c>
      <c r="M638" s="61">
        <f t="shared" si="29"/>
        <v>666600000</v>
      </c>
    </row>
    <row r="639" spans="1:13" x14ac:dyDescent="0.25">
      <c r="A639" t="s">
        <v>257</v>
      </c>
      <c r="B639" t="s">
        <v>9</v>
      </c>
      <c r="C639">
        <v>41639</v>
      </c>
      <c r="D639" s="61">
        <v>3130700000</v>
      </c>
      <c r="E639" s="61">
        <v>1929800000</v>
      </c>
      <c r="F639" s="61">
        <v>496100000</v>
      </c>
      <c r="G639" s="61">
        <v>115600000</v>
      </c>
      <c r="H639" s="61">
        <v>0</v>
      </c>
      <c r="I639" t="s">
        <v>53</v>
      </c>
      <c r="J639" t="s">
        <v>187</v>
      </c>
      <c r="K639" s="61">
        <f t="shared" si="27"/>
        <v>1200900000</v>
      </c>
      <c r="L639" s="61">
        <f t="shared" si="28"/>
        <v>611700000</v>
      </c>
      <c r="M639" s="61">
        <f t="shared" si="29"/>
        <v>589200000</v>
      </c>
    </row>
    <row r="640" spans="1:13" x14ac:dyDescent="0.25">
      <c r="A640" t="s">
        <v>257</v>
      </c>
      <c r="B640" t="s">
        <v>10</v>
      </c>
      <c r="C640">
        <v>42004</v>
      </c>
      <c r="D640" s="61">
        <v>3258700000</v>
      </c>
      <c r="E640" s="61">
        <v>2047800000</v>
      </c>
      <c r="F640" s="61">
        <v>589800000</v>
      </c>
      <c r="G640" s="61">
        <v>126300000</v>
      </c>
      <c r="H640" s="61">
        <v>0</v>
      </c>
      <c r="I640" t="s">
        <v>53</v>
      </c>
      <c r="J640" t="s">
        <v>187</v>
      </c>
      <c r="K640" s="61">
        <f t="shared" si="27"/>
        <v>1210900000</v>
      </c>
      <c r="L640" s="61">
        <f t="shared" si="28"/>
        <v>716100000</v>
      </c>
      <c r="M640" s="61">
        <f t="shared" si="29"/>
        <v>494800000</v>
      </c>
    </row>
    <row r="641" spans="1:13" x14ac:dyDescent="0.25">
      <c r="A641" t="s">
        <v>257</v>
      </c>
      <c r="B641" t="s">
        <v>11</v>
      </c>
      <c r="C641">
        <v>42369</v>
      </c>
      <c r="D641" s="61">
        <v>3276500000</v>
      </c>
      <c r="E641" s="61">
        <v>2201100000</v>
      </c>
      <c r="F641" s="61">
        <v>737900000</v>
      </c>
      <c r="G641" s="61">
        <v>143700000</v>
      </c>
      <c r="H641" s="61">
        <v>0</v>
      </c>
      <c r="I641" t="s">
        <v>53</v>
      </c>
      <c r="J641" t="s">
        <v>187</v>
      </c>
      <c r="K641" s="61">
        <f t="shared" si="27"/>
        <v>1075400000</v>
      </c>
      <c r="L641" s="61">
        <f t="shared" si="28"/>
        <v>881600000</v>
      </c>
      <c r="M641" s="61">
        <f t="shared" si="29"/>
        <v>193800000</v>
      </c>
    </row>
    <row r="642" spans="1:13" x14ac:dyDescent="0.25">
      <c r="A642" t="s">
        <v>258</v>
      </c>
      <c r="B642" t="s">
        <v>6</v>
      </c>
      <c r="C642">
        <v>41639</v>
      </c>
      <c r="D642" s="61">
        <v>637413000</v>
      </c>
      <c r="E642" s="61">
        <v>190454000</v>
      </c>
      <c r="F642" s="61">
        <v>31970000</v>
      </c>
      <c r="G642" s="61">
        <v>0</v>
      </c>
      <c r="H642" s="61">
        <v>160828000</v>
      </c>
      <c r="I642" t="s">
        <v>46</v>
      </c>
      <c r="J642" t="s">
        <v>259</v>
      </c>
      <c r="K642" s="61">
        <f t="shared" ref="K642:K705" si="30">D642-E642</f>
        <v>446959000</v>
      </c>
      <c r="L642" s="61">
        <f t="shared" ref="L642:L705" si="31">F642+G642+H642</f>
        <v>192798000</v>
      </c>
      <c r="M642" s="61">
        <f t="shared" si="29"/>
        <v>254161000</v>
      </c>
    </row>
    <row r="643" spans="1:13" x14ac:dyDescent="0.25">
      <c r="A643" t="s">
        <v>258</v>
      </c>
      <c r="B643" t="s">
        <v>9</v>
      </c>
      <c r="C643">
        <v>42004</v>
      </c>
      <c r="D643" s="61">
        <v>686090000</v>
      </c>
      <c r="E643" s="61">
        <v>211923000</v>
      </c>
      <c r="F643" s="61">
        <v>32316000</v>
      </c>
      <c r="G643" s="61">
        <v>0</v>
      </c>
      <c r="H643" s="61">
        <v>170814000</v>
      </c>
      <c r="I643" t="s">
        <v>46</v>
      </c>
      <c r="J643" t="s">
        <v>259</v>
      </c>
      <c r="K643" s="61">
        <f t="shared" si="30"/>
        <v>474167000</v>
      </c>
      <c r="L643" s="61">
        <f t="shared" si="31"/>
        <v>203130000</v>
      </c>
      <c r="M643" s="61">
        <f t="shared" ref="M643:M706" si="32">K643-L643</f>
        <v>271037000</v>
      </c>
    </row>
    <row r="644" spans="1:13" x14ac:dyDescent="0.25">
      <c r="A644" t="s">
        <v>258</v>
      </c>
      <c r="B644" t="s">
        <v>10</v>
      </c>
      <c r="C644">
        <v>42369</v>
      </c>
      <c r="D644" s="61">
        <v>744012000</v>
      </c>
      <c r="E644" s="61">
        <v>233417000</v>
      </c>
      <c r="F644" s="61">
        <v>35645000</v>
      </c>
      <c r="G644" s="61">
        <v>0</v>
      </c>
      <c r="H644" s="61">
        <v>174796000</v>
      </c>
      <c r="I644" t="s">
        <v>46</v>
      </c>
      <c r="J644" t="s">
        <v>259</v>
      </c>
      <c r="K644" s="61">
        <f t="shared" si="30"/>
        <v>510595000</v>
      </c>
      <c r="L644" s="61">
        <f t="shared" si="31"/>
        <v>210441000</v>
      </c>
      <c r="M644" s="61">
        <f t="shared" si="32"/>
        <v>300154000</v>
      </c>
    </row>
    <row r="645" spans="1:13" x14ac:dyDescent="0.25">
      <c r="A645" t="s">
        <v>258</v>
      </c>
      <c r="B645" t="s">
        <v>11</v>
      </c>
      <c r="C645">
        <v>42735</v>
      </c>
      <c r="D645" s="61">
        <v>801591000</v>
      </c>
      <c r="E645" s="61">
        <v>253612000</v>
      </c>
      <c r="F645" s="61">
        <v>33399000</v>
      </c>
      <c r="G645" s="61">
        <v>0</v>
      </c>
      <c r="H645" s="61">
        <v>193585000</v>
      </c>
      <c r="I645" t="s">
        <v>46</v>
      </c>
      <c r="J645" t="s">
        <v>259</v>
      </c>
      <c r="K645" s="61">
        <f t="shared" si="30"/>
        <v>547979000</v>
      </c>
      <c r="L645" s="61">
        <f t="shared" si="31"/>
        <v>226984000</v>
      </c>
      <c r="M645" s="61">
        <f t="shared" si="32"/>
        <v>320995000</v>
      </c>
    </row>
    <row r="646" spans="1:13" x14ac:dyDescent="0.25">
      <c r="A646" t="s">
        <v>260</v>
      </c>
      <c r="B646" t="s">
        <v>6</v>
      </c>
      <c r="C646">
        <v>41274</v>
      </c>
      <c r="D646" s="61">
        <v>3368545000</v>
      </c>
      <c r="E646" s="61">
        <v>2515796000</v>
      </c>
      <c r="F646" s="61">
        <v>280928000</v>
      </c>
      <c r="G646" s="61">
        <v>132460000</v>
      </c>
      <c r="H646" s="61">
        <v>0</v>
      </c>
      <c r="I646" t="s">
        <v>16</v>
      </c>
      <c r="J646" t="s">
        <v>28</v>
      </c>
      <c r="K646" s="61">
        <f t="shared" si="30"/>
        <v>852749000</v>
      </c>
      <c r="L646" s="61">
        <f t="shared" si="31"/>
        <v>413388000</v>
      </c>
      <c r="M646" s="61">
        <f t="shared" si="32"/>
        <v>439361000</v>
      </c>
    </row>
    <row r="647" spans="1:13" x14ac:dyDescent="0.25">
      <c r="A647" t="s">
        <v>260</v>
      </c>
      <c r="B647" t="s">
        <v>9</v>
      </c>
      <c r="C647">
        <v>41639</v>
      </c>
      <c r="D647" s="61">
        <v>3309616000</v>
      </c>
      <c r="E647" s="61">
        <v>2444984000</v>
      </c>
      <c r="F647" s="61">
        <v>270261000</v>
      </c>
      <c r="G647" s="61">
        <v>134300000</v>
      </c>
      <c r="H647" s="61">
        <v>0</v>
      </c>
      <c r="I647" t="s">
        <v>16</v>
      </c>
      <c r="J647" t="s">
        <v>28</v>
      </c>
      <c r="K647" s="61">
        <f t="shared" si="30"/>
        <v>864632000</v>
      </c>
      <c r="L647" s="61">
        <f t="shared" si="31"/>
        <v>404561000</v>
      </c>
      <c r="M647" s="61">
        <f t="shared" si="32"/>
        <v>460071000</v>
      </c>
    </row>
    <row r="648" spans="1:13" x14ac:dyDescent="0.25">
      <c r="A648" t="s">
        <v>260</v>
      </c>
      <c r="B648" t="s">
        <v>10</v>
      </c>
      <c r="C648">
        <v>42004</v>
      </c>
      <c r="D648" s="61">
        <v>3391187000</v>
      </c>
      <c r="E648" s="61">
        <v>2566246000</v>
      </c>
      <c r="F648" s="61">
        <v>253827000</v>
      </c>
      <c r="G648" s="61">
        <v>143969000</v>
      </c>
      <c r="H648" s="61">
        <v>0</v>
      </c>
      <c r="I648" t="s">
        <v>16</v>
      </c>
      <c r="J648" t="s">
        <v>28</v>
      </c>
      <c r="K648" s="61">
        <f t="shared" si="30"/>
        <v>824941000</v>
      </c>
      <c r="L648" s="61">
        <f t="shared" si="31"/>
        <v>397796000</v>
      </c>
      <c r="M648" s="61">
        <f t="shared" si="32"/>
        <v>427145000</v>
      </c>
    </row>
    <row r="649" spans="1:13" x14ac:dyDescent="0.25">
      <c r="A649" t="s">
        <v>260</v>
      </c>
      <c r="B649" t="s">
        <v>11</v>
      </c>
      <c r="C649">
        <v>42369</v>
      </c>
      <c r="D649" s="61">
        <v>3578995000</v>
      </c>
      <c r="E649" s="61">
        <v>2659728000</v>
      </c>
      <c r="F649" s="61">
        <v>255192000</v>
      </c>
      <c r="G649" s="61">
        <v>130593000</v>
      </c>
      <c r="H649" s="61">
        <v>0</v>
      </c>
      <c r="I649" t="s">
        <v>16</v>
      </c>
      <c r="J649" t="s">
        <v>28</v>
      </c>
      <c r="K649" s="61">
        <f t="shared" si="30"/>
        <v>919267000</v>
      </c>
      <c r="L649" s="61">
        <f t="shared" si="31"/>
        <v>385785000</v>
      </c>
      <c r="M649" s="61">
        <f t="shared" si="32"/>
        <v>533482000</v>
      </c>
    </row>
    <row r="650" spans="1:13" x14ac:dyDescent="0.25">
      <c r="A650" t="s">
        <v>261</v>
      </c>
      <c r="B650" t="s">
        <v>6</v>
      </c>
      <c r="C650">
        <v>41274</v>
      </c>
      <c r="D650" s="61">
        <v>5011853000</v>
      </c>
      <c r="E650" s="61">
        <v>0</v>
      </c>
      <c r="F650" s="61">
        <v>2676141000</v>
      </c>
      <c r="G650" s="61">
        <v>0</v>
      </c>
      <c r="H650" s="61">
        <v>1266807000</v>
      </c>
      <c r="I650" t="s">
        <v>176</v>
      </c>
      <c r="J650" t="s">
        <v>177</v>
      </c>
      <c r="K650" s="61">
        <f t="shared" si="30"/>
        <v>5011853000</v>
      </c>
      <c r="L650" s="61">
        <f t="shared" si="31"/>
        <v>3942948000</v>
      </c>
      <c r="M650" s="61">
        <f t="shared" si="32"/>
        <v>1068905000</v>
      </c>
    </row>
    <row r="651" spans="1:13" x14ac:dyDescent="0.25">
      <c r="A651" t="s">
        <v>261</v>
      </c>
      <c r="B651" t="s">
        <v>9</v>
      </c>
      <c r="C651">
        <v>41639</v>
      </c>
      <c r="D651" s="61">
        <v>4762000000</v>
      </c>
      <c r="E651" s="61">
        <v>0</v>
      </c>
      <c r="F651" s="61">
        <v>2616000000</v>
      </c>
      <c r="G651" s="61">
        <v>0</v>
      </c>
      <c r="H651" s="61">
        <v>1170000000</v>
      </c>
      <c r="I651" t="s">
        <v>176</v>
      </c>
      <c r="J651" t="s">
        <v>177</v>
      </c>
      <c r="K651" s="61">
        <f t="shared" si="30"/>
        <v>4762000000</v>
      </c>
      <c r="L651" s="61">
        <f t="shared" si="31"/>
        <v>3786000000</v>
      </c>
      <c r="M651" s="61">
        <f t="shared" si="32"/>
        <v>976000000</v>
      </c>
    </row>
    <row r="652" spans="1:13" x14ac:dyDescent="0.25">
      <c r="A652" t="s">
        <v>261</v>
      </c>
      <c r="B652" t="s">
        <v>10</v>
      </c>
      <c r="C652">
        <v>42004</v>
      </c>
      <c r="D652" s="61">
        <v>4772000000</v>
      </c>
      <c r="E652" s="61">
        <v>0</v>
      </c>
      <c r="F652" s="61">
        <v>2671000000</v>
      </c>
      <c r="G652" s="61">
        <v>0</v>
      </c>
      <c r="H652" s="61">
        <v>1139000000</v>
      </c>
      <c r="I652" t="s">
        <v>176</v>
      </c>
      <c r="J652" t="s">
        <v>177</v>
      </c>
      <c r="K652" s="61">
        <f t="shared" si="30"/>
        <v>4772000000</v>
      </c>
      <c r="L652" s="61">
        <f t="shared" si="31"/>
        <v>3810000000</v>
      </c>
      <c r="M652" s="61">
        <f t="shared" si="32"/>
        <v>962000000</v>
      </c>
    </row>
    <row r="653" spans="1:13" x14ac:dyDescent="0.25">
      <c r="A653" t="s">
        <v>261</v>
      </c>
      <c r="B653" t="s">
        <v>11</v>
      </c>
      <c r="C653">
        <v>42369</v>
      </c>
      <c r="D653" s="61">
        <v>5576000000</v>
      </c>
      <c r="E653" s="61">
        <v>0</v>
      </c>
      <c r="F653" s="61">
        <v>3275000000</v>
      </c>
      <c r="G653" s="61">
        <v>0</v>
      </c>
      <c r="H653" s="61">
        <v>1320000000</v>
      </c>
      <c r="I653" t="s">
        <v>176</v>
      </c>
      <c r="J653" t="s">
        <v>177</v>
      </c>
      <c r="K653" s="61">
        <f t="shared" si="30"/>
        <v>5576000000</v>
      </c>
      <c r="L653" s="61">
        <f t="shared" si="31"/>
        <v>4595000000</v>
      </c>
      <c r="M653" s="61">
        <f t="shared" si="32"/>
        <v>981000000</v>
      </c>
    </row>
    <row r="654" spans="1:13" x14ac:dyDescent="0.25">
      <c r="A654" t="s">
        <v>262</v>
      </c>
      <c r="B654" t="s">
        <v>6</v>
      </c>
      <c r="C654">
        <v>41639</v>
      </c>
      <c r="D654" s="61">
        <v>30930000000</v>
      </c>
      <c r="E654" s="61">
        <v>25202000000</v>
      </c>
      <c r="F654" s="61">
        <v>2039000000</v>
      </c>
      <c r="G654" s="61">
        <v>0</v>
      </c>
      <c r="H654" s="61">
        <v>0</v>
      </c>
      <c r="I654" t="s">
        <v>7</v>
      </c>
      <c r="J654" t="s">
        <v>85</v>
      </c>
      <c r="K654" s="61">
        <f t="shared" si="30"/>
        <v>5728000000</v>
      </c>
      <c r="L654" s="61">
        <f t="shared" si="31"/>
        <v>2039000000</v>
      </c>
      <c r="M654" s="61">
        <f t="shared" si="32"/>
        <v>3689000000</v>
      </c>
    </row>
    <row r="655" spans="1:13" x14ac:dyDescent="0.25">
      <c r="A655" t="s">
        <v>262</v>
      </c>
      <c r="B655" t="s">
        <v>9</v>
      </c>
      <c r="C655">
        <v>42004</v>
      </c>
      <c r="D655" s="61">
        <v>30852000000</v>
      </c>
      <c r="E655" s="61">
        <v>24979000000</v>
      </c>
      <c r="F655" s="61">
        <v>1984000000</v>
      </c>
      <c r="G655" s="61">
        <v>0</v>
      </c>
      <c r="H655" s="61">
        <v>0</v>
      </c>
      <c r="I655" t="s">
        <v>7</v>
      </c>
      <c r="J655" t="s">
        <v>85</v>
      </c>
      <c r="K655" s="61">
        <f t="shared" si="30"/>
        <v>5873000000</v>
      </c>
      <c r="L655" s="61">
        <f t="shared" si="31"/>
        <v>1984000000</v>
      </c>
      <c r="M655" s="61">
        <f t="shared" si="32"/>
        <v>3889000000</v>
      </c>
    </row>
    <row r="656" spans="1:13" x14ac:dyDescent="0.25">
      <c r="A656" t="s">
        <v>262</v>
      </c>
      <c r="B656" t="s">
        <v>10</v>
      </c>
      <c r="C656">
        <v>42369</v>
      </c>
      <c r="D656" s="61">
        <v>31469000000</v>
      </c>
      <c r="E656" s="61">
        <v>25339000000</v>
      </c>
      <c r="F656" s="61">
        <v>1952000000</v>
      </c>
      <c r="G656" s="61">
        <v>0</v>
      </c>
      <c r="H656" s="61">
        <v>0</v>
      </c>
      <c r="I656" t="s">
        <v>7</v>
      </c>
      <c r="J656" t="s">
        <v>85</v>
      </c>
      <c r="K656" s="61">
        <f t="shared" si="30"/>
        <v>6130000000</v>
      </c>
      <c r="L656" s="61">
        <f t="shared" si="31"/>
        <v>1952000000</v>
      </c>
      <c r="M656" s="61">
        <f t="shared" si="32"/>
        <v>4178000000</v>
      </c>
    </row>
    <row r="657" spans="1:13" x14ac:dyDescent="0.25">
      <c r="A657" t="s">
        <v>262</v>
      </c>
      <c r="B657" t="s">
        <v>11</v>
      </c>
      <c r="C657">
        <v>42735</v>
      </c>
      <c r="D657" s="61">
        <v>31353000000</v>
      </c>
      <c r="E657" s="61">
        <v>25104000000</v>
      </c>
      <c r="F657" s="61">
        <v>1940000000</v>
      </c>
      <c r="G657" s="61">
        <v>0</v>
      </c>
      <c r="H657" s="61">
        <v>0</v>
      </c>
      <c r="I657" t="s">
        <v>7</v>
      </c>
      <c r="J657" t="s">
        <v>85</v>
      </c>
      <c r="K657" s="61">
        <f t="shared" si="30"/>
        <v>6249000000</v>
      </c>
      <c r="L657" s="61">
        <f t="shared" si="31"/>
        <v>1940000000</v>
      </c>
      <c r="M657" s="61">
        <f t="shared" si="32"/>
        <v>4309000000</v>
      </c>
    </row>
    <row r="658" spans="1:13" x14ac:dyDescent="0.25">
      <c r="A658" t="s">
        <v>263</v>
      </c>
      <c r="B658" t="s">
        <v>6</v>
      </c>
      <c r="C658">
        <v>41274</v>
      </c>
      <c r="D658" s="61">
        <v>2426301000</v>
      </c>
      <c r="E658" s="61">
        <v>800336000</v>
      </c>
      <c r="F658" s="61">
        <v>72163000</v>
      </c>
      <c r="G658" s="61">
        <v>0</v>
      </c>
      <c r="H658" s="61">
        <v>768820000</v>
      </c>
      <c r="I658" t="s">
        <v>46</v>
      </c>
      <c r="J658" t="s">
        <v>259</v>
      </c>
      <c r="K658" s="61">
        <f t="shared" si="30"/>
        <v>1625965000</v>
      </c>
      <c r="L658" s="61">
        <f t="shared" si="31"/>
        <v>840983000</v>
      </c>
      <c r="M658" s="61">
        <f t="shared" si="32"/>
        <v>784982000</v>
      </c>
    </row>
    <row r="659" spans="1:13" x14ac:dyDescent="0.25">
      <c r="A659" t="s">
        <v>263</v>
      </c>
      <c r="B659" t="s">
        <v>9</v>
      </c>
      <c r="C659">
        <v>41639</v>
      </c>
      <c r="D659" s="61">
        <v>2486017000</v>
      </c>
      <c r="E659" s="61">
        <v>815095000</v>
      </c>
      <c r="F659" s="61">
        <v>76864000</v>
      </c>
      <c r="G659" s="61">
        <v>0</v>
      </c>
      <c r="H659" s="61">
        <v>749722000</v>
      </c>
      <c r="I659" t="s">
        <v>46</v>
      </c>
      <c r="J659" t="s">
        <v>259</v>
      </c>
      <c r="K659" s="61">
        <f t="shared" si="30"/>
        <v>1670922000</v>
      </c>
      <c r="L659" s="61">
        <f t="shared" si="31"/>
        <v>826586000</v>
      </c>
      <c r="M659" s="61">
        <f t="shared" si="32"/>
        <v>844336000</v>
      </c>
    </row>
    <row r="660" spans="1:13" x14ac:dyDescent="0.25">
      <c r="A660" t="s">
        <v>263</v>
      </c>
      <c r="B660" t="s">
        <v>10</v>
      </c>
      <c r="C660">
        <v>42004</v>
      </c>
      <c r="D660" s="61">
        <v>2535559000</v>
      </c>
      <c r="E660" s="61">
        <v>783602000</v>
      </c>
      <c r="F660" s="61">
        <v>88705000</v>
      </c>
      <c r="G660" s="61">
        <v>0</v>
      </c>
      <c r="H660" s="61">
        <v>708406000</v>
      </c>
      <c r="I660" t="s">
        <v>46</v>
      </c>
      <c r="J660" t="s">
        <v>259</v>
      </c>
      <c r="K660" s="61">
        <f t="shared" si="30"/>
        <v>1751957000</v>
      </c>
      <c r="L660" s="61">
        <f t="shared" si="31"/>
        <v>797111000</v>
      </c>
      <c r="M660" s="61">
        <f t="shared" si="32"/>
        <v>954846000</v>
      </c>
    </row>
    <row r="661" spans="1:13" x14ac:dyDescent="0.25">
      <c r="A661" t="s">
        <v>263</v>
      </c>
      <c r="B661" t="s">
        <v>11</v>
      </c>
      <c r="C661">
        <v>42369</v>
      </c>
      <c r="D661" s="61">
        <v>2403906000</v>
      </c>
      <c r="E661" s="61">
        <v>747276000</v>
      </c>
      <c r="F661" s="61">
        <v>72363000</v>
      </c>
      <c r="G661" s="61">
        <v>0</v>
      </c>
      <c r="H661" s="61">
        <v>643689000</v>
      </c>
      <c r="I661" t="s">
        <v>46</v>
      </c>
      <c r="J661" t="s">
        <v>259</v>
      </c>
      <c r="K661" s="61">
        <f t="shared" si="30"/>
        <v>1656630000</v>
      </c>
      <c r="L661" s="61">
        <f t="shared" si="31"/>
        <v>716052000</v>
      </c>
      <c r="M661" s="61">
        <f t="shared" si="32"/>
        <v>940578000</v>
      </c>
    </row>
    <row r="662" spans="1:13" x14ac:dyDescent="0.25">
      <c r="A662" t="s">
        <v>264</v>
      </c>
      <c r="B662" t="s">
        <v>6</v>
      </c>
      <c r="C662">
        <v>41274</v>
      </c>
      <c r="D662" s="61">
        <v>9702000000</v>
      </c>
      <c r="E662" s="61">
        <v>2471000000</v>
      </c>
      <c r="F662" s="61">
        <v>1461000000</v>
      </c>
      <c r="G662" s="61">
        <v>1760000000</v>
      </c>
      <c r="H662" s="61">
        <v>0</v>
      </c>
      <c r="I662" t="s">
        <v>19</v>
      </c>
      <c r="J662" t="s">
        <v>60</v>
      </c>
      <c r="K662" s="61">
        <f t="shared" si="30"/>
        <v>7231000000</v>
      </c>
      <c r="L662" s="61">
        <f t="shared" si="31"/>
        <v>3221000000</v>
      </c>
      <c r="M662" s="61">
        <f t="shared" si="32"/>
        <v>4010000000</v>
      </c>
    </row>
    <row r="663" spans="1:13" x14ac:dyDescent="0.25">
      <c r="A663" t="s">
        <v>264</v>
      </c>
      <c r="B663" t="s">
        <v>9</v>
      </c>
      <c r="C663">
        <v>41639</v>
      </c>
      <c r="D663" s="61">
        <v>11202000000</v>
      </c>
      <c r="E663" s="61">
        <v>2859000000</v>
      </c>
      <c r="F663" s="61">
        <v>1699000000</v>
      </c>
      <c r="G663" s="61">
        <v>2120000000</v>
      </c>
      <c r="H663" s="61">
        <v>0</v>
      </c>
      <c r="I663" t="s">
        <v>19</v>
      </c>
      <c r="J663" t="s">
        <v>60</v>
      </c>
      <c r="K663" s="61">
        <f t="shared" si="30"/>
        <v>8343000000</v>
      </c>
      <c r="L663" s="61">
        <f t="shared" si="31"/>
        <v>3819000000</v>
      </c>
      <c r="M663" s="61">
        <f t="shared" si="32"/>
        <v>4524000000</v>
      </c>
    </row>
    <row r="664" spans="1:13" x14ac:dyDescent="0.25">
      <c r="A664" t="s">
        <v>264</v>
      </c>
      <c r="B664" t="s">
        <v>10</v>
      </c>
      <c r="C664">
        <v>42004</v>
      </c>
      <c r="D664" s="61">
        <v>24890000000</v>
      </c>
      <c r="E664" s="61">
        <v>3788000000</v>
      </c>
      <c r="F664" s="61">
        <v>2983000000</v>
      </c>
      <c r="G664" s="61">
        <v>2854000000</v>
      </c>
      <c r="H664" s="61">
        <v>0</v>
      </c>
      <c r="I664" t="s">
        <v>19</v>
      </c>
      <c r="J664" t="s">
        <v>60</v>
      </c>
      <c r="K664" s="61">
        <f t="shared" si="30"/>
        <v>21102000000</v>
      </c>
      <c r="L664" s="61">
        <f t="shared" si="31"/>
        <v>5837000000</v>
      </c>
      <c r="M664" s="61">
        <f t="shared" si="32"/>
        <v>15265000000</v>
      </c>
    </row>
    <row r="665" spans="1:13" x14ac:dyDescent="0.25">
      <c r="A665" t="s">
        <v>264</v>
      </c>
      <c r="B665" t="s">
        <v>11</v>
      </c>
      <c r="C665">
        <v>42369</v>
      </c>
      <c r="D665" s="61">
        <v>32639000000</v>
      </c>
      <c r="E665" s="61">
        <v>4006000000</v>
      </c>
      <c r="F665" s="61">
        <v>3426000000</v>
      </c>
      <c r="G665" s="61">
        <v>3014000000</v>
      </c>
      <c r="H665" s="61">
        <v>0</v>
      </c>
      <c r="I665" t="s">
        <v>19</v>
      </c>
      <c r="J665" t="s">
        <v>60</v>
      </c>
      <c r="K665" s="61">
        <f t="shared" si="30"/>
        <v>28633000000</v>
      </c>
      <c r="L665" s="61">
        <f t="shared" si="31"/>
        <v>6440000000</v>
      </c>
      <c r="M665" s="61">
        <f t="shared" si="32"/>
        <v>22193000000</v>
      </c>
    </row>
    <row r="666" spans="1:13" x14ac:dyDescent="0.25">
      <c r="A666" t="s">
        <v>265</v>
      </c>
      <c r="B666" t="s">
        <v>6</v>
      </c>
      <c r="C666">
        <v>41420</v>
      </c>
      <c r="D666" s="61">
        <v>17774100000</v>
      </c>
      <c r="E666" s="61">
        <v>11350200000</v>
      </c>
      <c r="F666" s="61">
        <v>3552300000</v>
      </c>
      <c r="G666" s="61">
        <v>0</v>
      </c>
      <c r="H666" s="61">
        <v>0</v>
      </c>
      <c r="I666" t="s">
        <v>30</v>
      </c>
      <c r="J666" t="s">
        <v>118</v>
      </c>
      <c r="K666" s="61">
        <f t="shared" si="30"/>
        <v>6423900000</v>
      </c>
      <c r="L666" s="61">
        <f t="shared" si="31"/>
        <v>3552300000</v>
      </c>
      <c r="M666" s="61">
        <f t="shared" si="32"/>
        <v>2871600000</v>
      </c>
    </row>
    <row r="667" spans="1:13" x14ac:dyDescent="0.25">
      <c r="A667" t="s">
        <v>265</v>
      </c>
      <c r="B667" t="s">
        <v>9</v>
      </c>
      <c r="C667">
        <v>41784</v>
      </c>
      <c r="D667" s="61">
        <v>17909600000</v>
      </c>
      <c r="E667" s="61">
        <v>11539800000</v>
      </c>
      <c r="F667" s="61">
        <v>3474300000</v>
      </c>
      <c r="G667" s="61">
        <v>0</v>
      </c>
      <c r="H667" s="61">
        <v>0</v>
      </c>
      <c r="I667" t="s">
        <v>30</v>
      </c>
      <c r="J667" t="s">
        <v>118</v>
      </c>
      <c r="K667" s="61">
        <f t="shared" si="30"/>
        <v>6369800000</v>
      </c>
      <c r="L667" s="61">
        <f t="shared" si="31"/>
        <v>3474300000</v>
      </c>
      <c r="M667" s="61">
        <f t="shared" si="32"/>
        <v>2895500000</v>
      </c>
    </row>
    <row r="668" spans="1:13" x14ac:dyDescent="0.25">
      <c r="A668" t="s">
        <v>265</v>
      </c>
      <c r="B668" t="s">
        <v>10</v>
      </c>
      <c r="C668">
        <v>42155</v>
      </c>
      <c r="D668" s="61">
        <v>17630300000</v>
      </c>
      <c r="E668" s="61">
        <v>11681100000</v>
      </c>
      <c r="F668" s="61">
        <v>3328000000</v>
      </c>
      <c r="G668" s="61">
        <v>0</v>
      </c>
      <c r="H668" s="61">
        <v>0</v>
      </c>
      <c r="I668" t="s">
        <v>30</v>
      </c>
      <c r="J668" t="s">
        <v>118</v>
      </c>
      <c r="K668" s="61">
        <f t="shared" si="30"/>
        <v>5949200000</v>
      </c>
      <c r="L668" s="61">
        <f t="shared" si="31"/>
        <v>3328000000</v>
      </c>
      <c r="M668" s="61">
        <f t="shared" si="32"/>
        <v>2621200000</v>
      </c>
    </row>
    <row r="669" spans="1:13" x14ac:dyDescent="0.25">
      <c r="A669" t="s">
        <v>265</v>
      </c>
      <c r="B669" t="s">
        <v>11</v>
      </c>
      <c r="C669">
        <v>42519</v>
      </c>
      <c r="D669" s="61">
        <v>16563100000</v>
      </c>
      <c r="E669" s="61">
        <v>10733600000</v>
      </c>
      <c r="F669" s="61">
        <v>3118900000</v>
      </c>
      <c r="G669" s="61">
        <v>0</v>
      </c>
      <c r="H669" s="61">
        <v>0</v>
      </c>
      <c r="I669" t="s">
        <v>30</v>
      </c>
      <c r="J669" t="s">
        <v>118</v>
      </c>
      <c r="K669" s="61">
        <f t="shared" si="30"/>
        <v>5829500000</v>
      </c>
      <c r="L669" s="61">
        <f t="shared" si="31"/>
        <v>3118900000</v>
      </c>
      <c r="M669" s="61">
        <f t="shared" si="32"/>
        <v>2710600000</v>
      </c>
    </row>
    <row r="670" spans="1:13" x14ac:dyDescent="0.25">
      <c r="A670" t="s">
        <v>266</v>
      </c>
      <c r="B670" t="s">
        <v>6</v>
      </c>
      <c r="C670">
        <v>41639</v>
      </c>
      <c r="D670" s="61">
        <v>7819000000</v>
      </c>
      <c r="E670" s="61">
        <v>4495000000</v>
      </c>
      <c r="F670" s="61">
        <v>1126000000</v>
      </c>
      <c r="G670" s="61">
        <v>710000000</v>
      </c>
      <c r="H670" s="61">
        <v>31000000</v>
      </c>
      <c r="I670" t="s">
        <v>16</v>
      </c>
      <c r="J670" t="s">
        <v>83</v>
      </c>
      <c r="K670" s="61">
        <f t="shared" si="30"/>
        <v>3324000000</v>
      </c>
      <c r="L670" s="61">
        <f t="shared" si="31"/>
        <v>1867000000</v>
      </c>
      <c r="M670" s="61">
        <f t="shared" si="32"/>
        <v>1457000000</v>
      </c>
    </row>
    <row r="671" spans="1:13" x14ac:dyDescent="0.25">
      <c r="A671" t="s">
        <v>266</v>
      </c>
      <c r="B671" t="s">
        <v>9</v>
      </c>
      <c r="C671">
        <v>42004</v>
      </c>
      <c r="D671" s="61">
        <v>9715000000</v>
      </c>
      <c r="E671" s="61">
        <v>5663000000</v>
      </c>
      <c r="F671" s="61">
        <v>1202000000</v>
      </c>
      <c r="G671" s="61">
        <v>815000000</v>
      </c>
      <c r="H671" s="61">
        <v>33000000</v>
      </c>
      <c r="I671" t="s">
        <v>16</v>
      </c>
      <c r="J671" t="s">
        <v>83</v>
      </c>
      <c r="K671" s="61">
        <f t="shared" si="30"/>
        <v>4052000000</v>
      </c>
      <c r="L671" s="61">
        <f t="shared" si="31"/>
        <v>2050000000</v>
      </c>
      <c r="M671" s="61">
        <f t="shared" si="32"/>
        <v>2002000000</v>
      </c>
    </row>
    <row r="672" spans="1:13" x14ac:dyDescent="0.25">
      <c r="A672" t="s">
        <v>266</v>
      </c>
      <c r="B672" t="s">
        <v>10</v>
      </c>
      <c r="C672">
        <v>42369</v>
      </c>
      <c r="D672" s="61">
        <v>9111000000</v>
      </c>
      <c r="E672" s="61">
        <v>5458000000</v>
      </c>
      <c r="F672" s="61">
        <v>1508000000</v>
      </c>
      <c r="G672" s="61">
        <v>769000000</v>
      </c>
      <c r="H672" s="61">
        <v>54000000</v>
      </c>
      <c r="I672" t="s">
        <v>16</v>
      </c>
      <c r="J672" t="s">
        <v>83</v>
      </c>
      <c r="K672" s="61">
        <f t="shared" si="30"/>
        <v>3653000000</v>
      </c>
      <c r="L672" s="61">
        <f t="shared" si="31"/>
        <v>2331000000</v>
      </c>
      <c r="M672" s="61">
        <f t="shared" si="32"/>
        <v>1322000000</v>
      </c>
    </row>
    <row r="673" spans="1:13" x14ac:dyDescent="0.25">
      <c r="A673" t="s">
        <v>266</v>
      </c>
      <c r="B673" t="s">
        <v>11</v>
      </c>
      <c r="C673">
        <v>42735</v>
      </c>
      <c r="D673" s="61">
        <v>9390000000</v>
      </c>
      <c r="E673" s="61">
        <v>5644000000</v>
      </c>
      <c r="F673" s="61">
        <v>1472000000</v>
      </c>
      <c r="G673" s="61">
        <v>742000000</v>
      </c>
      <c r="H673" s="61">
        <v>64000000</v>
      </c>
      <c r="I673" t="s">
        <v>16</v>
      </c>
      <c r="J673" t="s">
        <v>83</v>
      </c>
      <c r="K673" s="61">
        <f t="shared" si="30"/>
        <v>3746000000</v>
      </c>
      <c r="L673" s="61">
        <f t="shared" si="31"/>
        <v>2278000000</v>
      </c>
      <c r="M673" s="61">
        <f t="shared" si="32"/>
        <v>1468000000</v>
      </c>
    </row>
    <row r="674" spans="1:13" x14ac:dyDescent="0.25">
      <c r="A674" t="s">
        <v>267</v>
      </c>
      <c r="B674" t="s">
        <v>6</v>
      </c>
      <c r="C674">
        <v>41639</v>
      </c>
      <c r="D674" s="61">
        <v>155427000000</v>
      </c>
      <c r="E674" s="61">
        <v>137373000000</v>
      </c>
      <c r="F674" s="61">
        <v>12382000000</v>
      </c>
      <c r="G674" s="61">
        <v>0</v>
      </c>
      <c r="H674" s="61">
        <v>0</v>
      </c>
      <c r="I674" t="s">
        <v>13</v>
      </c>
      <c r="J674" t="s">
        <v>239</v>
      </c>
      <c r="K674" s="61">
        <f t="shared" si="30"/>
        <v>18054000000</v>
      </c>
      <c r="L674" s="61">
        <f t="shared" si="31"/>
        <v>12382000000</v>
      </c>
      <c r="M674" s="61">
        <f t="shared" si="32"/>
        <v>5672000000</v>
      </c>
    </row>
    <row r="675" spans="1:13" x14ac:dyDescent="0.25">
      <c r="A675" t="s">
        <v>267</v>
      </c>
      <c r="B675" t="s">
        <v>9</v>
      </c>
      <c r="C675">
        <v>42004</v>
      </c>
      <c r="D675" s="61">
        <v>155929000000</v>
      </c>
      <c r="E675" s="61">
        <v>142121000000</v>
      </c>
      <c r="F675" s="61">
        <v>12158000000</v>
      </c>
      <c r="G675" s="61">
        <v>0</v>
      </c>
      <c r="H675" s="61">
        <v>0</v>
      </c>
      <c r="I675" t="s">
        <v>13</v>
      </c>
      <c r="J675" t="s">
        <v>239</v>
      </c>
      <c r="K675" s="61">
        <f t="shared" si="30"/>
        <v>13808000000</v>
      </c>
      <c r="L675" s="61">
        <f t="shared" si="31"/>
        <v>12158000000</v>
      </c>
      <c r="M675" s="61">
        <f t="shared" si="32"/>
        <v>1650000000</v>
      </c>
    </row>
    <row r="676" spans="1:13" x14ac:dyDescent="0.25">
      <c r="A676" t="s">
        <v>267</v>
      </c>
      <c r="B676" t="s">
        <v>10</v>
      </c>
      <c r="C676">
        <v>42369</v>
      </c>
      <c r="D676" s="61">
        <v>152356000000</v>
      </c>
      <c r="E676" s="61">
        <v>134054000000</v>
      </c>
      <c r="F676" s="61">
        <v>13405000000</v>
      </c>
      <c r="G676" s="61">
        <v>0</v>
      </c>
      <c r="H676" s="61">
        <v>0</v>
      </c>
      <c r="I676" t="s">
        <v>13</v>
      </c>
      <c r="J676" t="s">
        <v>239</v>
      </c>
      <c r="K676" s="61">
        <f t="shared" si="30"/>
        <v>18302000000</v>
      </c>
      <c r="L676" s="61">
        <f t="shared" si="31"/>
        <v>13405000000</v>
      </c>
      <c r="M676" s="61">
        <f t="shared" si="32"/>
        <v>4897000000</v>
      </c>
    </row>
    <row r="677" spans="1:13" x14ac:dyDescent="0.25">
      <c r="A677" t="s">
        <v>267</v>
      </c>
      <c r="B677" t="s">
        <v>11</v>
      </c>
      <c r="C677">
        <v>42735</v>
      </c>
      <c r="D677" s="61">
        <v>166380000000</v>
      </c>
      <c r="E677" s="61">
        <v>145125000000</v>
      </c>
      <c r="F677" s="61">
        <v>11710000000</v>
      </c>
      <c r="G677" s="61">
        <v>0</v>
      </c>
      <c r="H677" s="61">
        <v>0</v>
      </c>
      <c r="I677" t="s">
        <v>13</v>
      </c>
      <c r="J677" t="s">
        <v>239</v>
      </c>
      <c r="K677" s="61">
        <f t="shared" si="30"/>
        <v>21255000000</v>
      </c>
      <c r="L677" s="61">
        <f t="shared" si="31"/>
        <v>11710000000</v>
      </c>
      <c r="M677" s="61">
        <f t="shared" si="32"/>
        <v>9545000000</v>
      </c>
    </row>
    <row r="678" spans="1:13" x14ac:dyDescent="0.25">
      <c r="A678" t="s">
        <v>268</v>
      </c>
      <c r="B678" t="s">
        <v>6</v>
      </c>
      <c r="C678">
        <v>41274</v>
      </c>
      <c r="D678" s="61">
        <v>13013868000</v>
      </c>
      <c r="E678" s="61">
        <v>9235777000</v>
      </c>
      <c r="F678" s="61">
        <v>2656530000</v>
      </c>
      <c r="G678" s="61">
        <v>0</v>
      </c>
      <c r="H678" s="61">
        <v>98383000</v>
      </c>
      <c r="I678" t="s">
        <v>13</v>
      </c>
      <c r="J678" t="s">
        <v>73</v>
      </c>
      <c r="K678" s="61">
        <f t="shared" si="30"/>
        <v>3778091000</v>
      </c>
      <c r="L678" s="61">
        <f t="shared" si="31"/>
        <v>2754913000</v>
      </c>
      <c r="M678" s="61">
        <f t="shared" si="32"/>
        <v>1023178000</v>
      </c>
    </row>
    <row r="679" spans="1:13" x14ac:dyDescent="0.25">
      <c r="A679" t="s">
        <v>268</v>
      </c>
      <c r="B679" t="s">
        <v>9</v>
      </c>
      <c r="C679">
        <v>41639</v>
      </c>
      <c r="D679" s="61">
        <v>14077843000</v>
      </c>
      <c r="E679" s="61">
        <v>9857923000</v>
      </c>
      <c r="F679" s="61">
        <v>3028028000</v>
      </c>
      <c r="G679" s="61">
        <v>0</v>
      </c>
      <c r="H679" s="61">
        <v>133957000</v>
      </c>
      <c r="I679" t="s">
        <v>13</v>
      </c>
      <c r="J679" t="s">
        <v>73</v>
      </c>
      <c r="K679" s="61">
        <f t="shared" si="30"/>
        <v>4219920000</v>
      </c>
      <c r="L679" s="61">
        <f t="shared" si="31"/>
        <v>3161985000</v>
      </c>
      <c r="M679" s="61">
        <f t="shared" si="32"/>
        <v>1057935000</v>
      </c>
    </row>
    <row r="680" spans="1:13" x14ac:dyDescent="0.25">
      <c r="A680" t="s">
        <v>268</v>
      </c>
      <c r="B680" t="s">
        <v>10</v>
      </c>
      <c r="C680">
        <v>42004</v>
      </c>
      <c r="D680" s="61">
        <v>15341647000</v>
      </c>
      <c r="E680" s="61">
        <v>10747886000</v>
      </c>
      <c r="F680" s="61">
        <v>3314030000</v>
      </c>
      <c r="G680" s="61">
        <v>0</v>
      </c>
      <c r="H680" s="61">
        <v>148313000</v>
      </c>
      <c r="I680" t="s">
        <v>13</v>
      </c>
      <c r="J680" t="s">
        <v>73</v>
      </c>
      <c r="K680" s="61">
        <f t="shared" si="30"/>
        <v>4593761000</v>
      </c>
      <c r="L680" s="61">
        <f t="shared" si="31"/>
        <v>3462343000</v>
      </c>
      <c r="M680" s="61">
        <f t="shared" si="32"/>
        <v>1131418000</v>
      </c>
    </row>
    <row r="681" spans="1:13" x14ac:dyDescent="0.25">
      <c r="A681" t="s">
        <v>268</v>
      </c>
      <c r="B681" t="s">
        <v>11</v>
      </c>
      <c r="C681">
        <v>42369</v>
      </c>
      <c r="D681" s="61">
        <v>15280044000</v>
      </c>
      <c r="E681" s="61">
        <v>10724192000</v>
      </c>
      <c r="F681" s="61">
        <v>3277390000</v>
      </c>
      <c r="G681" s="61">
        <v>0</v>
      </c>
      <c r="H681" s="61">
        <v>141675000</v>
      </c>
      <c r="I681" t="s">
        <v>13</v>
      </c>
      <c r="J681" t="s">
        <v>73</v>
      </c>
      <c r="K681" s="61">
        <f t="shared" si="30"/>
        <v>4555852000</v>
      </c>
      <c r="L681" s="61">
        <f t="shared" si="31"/>
        <v>3419065000</v>
      </c>
      <c r="M681" s="61">
        <f t="shared" si="32"/>
        <v>1136787000</v>
      </c>
    </row>
    <row r="682" spans="1:13" x14ac:dyDescent="0.25">
      <c r="A682" t="s">
        <v>269</v>
      </c>
      <c r="B682" t="s">
        <v>6</v>
      </c>
      <c r="C682">
        <v>41425</v>
      </c>
      <c r="D682" s="61">
        <v>2375923000</v>
      </c>
      <c r="E682" s="61">
        <v>862075000</v>
      </c>
      <c r="F682" s="61">
        <v>1156635000</v>
      </c>
      <c r="G682" s="61">
        <v>0</v>
      </c>
      <c r="H682" s="61">
        <v>0</v>
      </c>
      <c r="I682" t="s">
        <v>16</v>
      </c>
      <c r="J682" t="s">
        <v>33</v>
      </c>
      <c r="K682" s="61">
        <f t="shared" si="30"/>
        <v>1513848000</v>
      </c>
      <c r="L682" s="61">
        <f t="shared" si="31"/>
        <v>1156635000</v>
      </c>
      <c r="M682" s="61">
        <f t="shared" si="32"/>
        <v>357213000</v>
      </c>
    </row>
    <row r="683" spans="1:13" x14ac:dyDescent="0.25">
      <c r="A683" t="s">
        <v>269</v>
      </c>
      <c r="B683" t="s">
        <v>9</v>
      </c>
      <c r="C683">
        <v>41790</v>
      </c>
      <c r="D683" s="61">
        <v>2554236000</v>
      </c>
      <c r="E683" s="61">
        <v>952225000</v>
      </c>
      <c r="F683" s="61">
        <v>1196512000</v>
      </c>
      <c r="G683" s="61">
        <v>0</v>
      </c>
      <c r="H683" s="61">
        <v>0</v>
      </c>
      <c r="I683" t="s">
        <v>16</v>
      </c>
      <c r="J683" t="s">
        <v>33</v>
      </c>
      <c r="K683" s="61">
        <f t="shared" si="30"/>
        <v>1602011000</v>
      </c>
      <c r="L683" s="61">
        <f t="shared" si="31"/>
        <v>1196512000</v>
      </c>
      <c r="M683" s="61">
        <f t="shared" si="32"/>
        <v>405499000</v>
      </c>
    </row>
    <row r="684" spans="1:13" x14ac:dyDescent="0.25">
      <c r="A684" t="s">
        <v>269</v>
      </c>
      <c r="B684" t="s">
        <v>10</v>
      </c>
      <c r="C684">
        <v>42155</v>
      </c>
      <c r="D684" s="61">
        <v>2773718000</v>
      </c>
      <c r="E684" s="61">
        <v>1022107000</v>
      </c>
      <c r="F684" s="61">
        <v>1295014000</v>
      </c>
      <c r="G684" s="61">
        <v>0</v>
      </c>
      <c r="H684" s="61">
        <v>0</v>
      </c>
      <c r="I684" t="s">
        <v>16</v>
      </c>
      <c r="J684" t="s">
        <v>33</v>
      </c>
      <c r="K684" s="61">
        <f t="shared" si="30"/>
        <v>1751611000</v>
      </c>
      <c r="L684" s="61">
        <f t="shared" si="31"/>
        <v>1295014000</v>
      </c>
      <c r="M684" s="61">
        <f t="shared" si="32"/>
        <v>456597000</v>
      </c>
    </row>
    <row r="685" spans="1:13" x14ac:dyDescent="0.25">
      <c r="A685" t="s">
        <v>269</v>
      </c>
      <c r="B685" t="s">
        <v>11</v>
      </c>
      <c r="C685">
        <v>42521</v>
      </c>
      <c r="D685" s="61">
        <v>2898150000</v>
      </c>
      <c r="E685" s="61">
        <v>1147639000</v>
      </c>
      <c r="F685" s="61">
        <v>1325567000</v>
      </c>
      <c r="G685" s="61">
        <v>0</v>
      </c>
      <c r="H685" s="61">
        <v>0</v>
      </c>
      <c r="I685" t="s">
        <v>16</v>
      </c>
      <c r="J685" t="s">
        <v>33</v>
      </c>
      <c r="K685" s="61">
        <f t="shared" si="30"/>
        <v>1750511000</v>
      </c>
      <c r="L685" s="61">
        <f t="shared" si="31"/>
        <v>1325567000</v>
      </c>
      <c r="M685" s="61">
        <f t="shared" si="32"/>
        <v>424944000</v>
      </c>
    </row>
    <row r="686" spans="1:13" x14ac:dyDescent="0.25">
      <c r="A686" t="s">
        <v>270</v>
      </c>
      <c r="B686" t="s">
        <v>6</v>
      </c>
      <c r="C686">
        <v>41307</v>
      </c>
      <c r="D686" s="61">
        <v>15651000000</v>
      </c>
      <c r="E686" s="61">
        <v>9480000000</v>
      </c>
      <c r="F686" s="61">
        <v>0</v>
      </c>
      <c r="G686" s="61">
        <v>0</v>
      </c>
      <c r="H686" s="61">
        <v>0</v>
      </c>
      <c r="I686" t="s">
        <v>13</v>
      </c>
      <c r="J686" t="s">
        <v>251</v>
      </c>
      <c r="K686" s="61">
        <f t="shared" si="30"/>
        <v>6171000000</v>
      </c>
      <c r="L686" s="61">
        <f t="shared" si="31"/>
        <v>0</v>
      </c>
      <c r="M686" s="61">
        <f t="shared" si="32"/>
        <v>6171000000</v>
      </c>
    </row>
    <row r="687" spans="1:13" x14ac:dyDescent="0.25">
      <c r="A687" t="s">
        <v>270</v>
      </c>
      <c r="B687" t="s">
        <v>9</v>
      </c>
      <c r="C687">
        <v>41671</v>
      </c>
      <c r="D687" s="61">
        <v>16148000000</v>
      </c>
      <c r="E687" s="61">
        <v>9855000000</v>
      </c>
      <c r="F687" s="61">
        <v>0</v>
      </c>
      <c r="G687" s="61">
        <v>0</v>
      </c>
      <c r="H687" s="61">
        <v>0</v>
      </c>
      <c r="I687" t="s">
        <v>13</v>
      </c>
      <c r="J687" t="s">
        <v>251</v>
      </c>
      <c r="K687" s="61">
        <f t="shared" si="30"/>
        <v>6293000000</v>
      </c>
      <c r="L687" s="61">
        <f t="shared" si="31"/>
        <v>0</v>
      </c>
      <c r="M687" s="61">
        <f t="shared" si="32"/>
        <v>6293000000</v>
      </c>
    </row>
    <row r="688" spans="1:13" x14ac:dyDescent="0.25">
      <c r="A688" t="s">
        <v>270</v>
      </c>
      <c r="B688" t="s">
        <v>10</v>
      </c>
      <c r="C688">
        <v>42035</v>
      </c>
      <c r="D688" s="61">
        <v>16435000000</v>
      </c>
      <c r="E688" s="61">
        <v>10146000000</v>
      </c>
      <c r="F688" s="61">
        <v>0</v>
      </c>
      <c r="G688" s="61">
        <v>0</v>
      </c>
      <c r="H688" s="61">
        <v>0</v>
      </c>
      <c r="I688" t="s">
        <v>13</v>
      </c>
      <c r="J688" t="s">
        <v>251</v>
      </c>
      <c r="K688" s="61">
        <f t="shared" si="30"/>
        <v>6289000000</v>
      </c>
      <c r="L688" s="61">
        <f t="shared" si="31"/>
        <v>0</v>
      </c>
      <c r="M688" s="61">
        <f t="shared" si="32"/>
        <v>6289000000</v>
      </c>
    </row>
    <row r="689" spans="1:13" x14ac:dyDescent="0.25">
      <c r="A689" t="s">
        <v>270</v>
      </c>
      <c r="B689" t="s">
        <v>11</v>
      </c>
      <c r="C689">
        <v>42399</v>
      </c>
      <c r="D689" s="61">
        <v>15797000000</v>
      </c>
      <c r="E689" s="61">
        <v>10077000000</v>
      </c>
      <c r="F689" s="61">
        <v>0</v>
      </c>
      <c r="G689" s="61">
        <v>0</v>
      </c>
      <c r="H689" s="61">
        <v>0</v>
      </c>
      <c r="I689" t="s">
        <v>13</v>
      </c>
      <c r="J689" t="s">
        <v>251</v>
      </c>
      <c r="K689" s="61">
        <f t="shared" si="30"/>
        <v>5720000000</v>
      </c>
      <c r="L689" s="61">
        <f t="shared" si="31"/>
        <v>0</v>
      </c>
      <c r="M689" s="61">
        <f t="shared" si="32"/>
        <v>5720000000</v>
      </c>
    </row>
    <row r="690" spans="1:13" x14ac:dyDescent="0.25">
      <c r="A690" t="s">
        <v>271</v>
      </c>
      <c r="B690" t="s">
        <v>6</v>
      </c>
      <c r="C690">
        <v>41272</v>
      </c>
      <c r="D690" s="61">
        <v>2715675000</v>
      </c>
      <c r="E690" s="61">
        <v>1277195000</v>
      </c>
      <c r="F690" s="61">
        <v>508547000</v>
      </c>
      <c r="G690" s="61">
        <v>325773000</v>
      </c>
      <c r="H690" s="61">
        <v>0</v>
      </c>
      <c r="I690" t="s">
        <v>13</v>
      </c>
      <c r="J690" t="s">
        <v>272</v>
      </c>
      <c r="K690" s="61">
        <f t="shared" si="30"/>
        <v>1438480000</v>
      </c>
      <c r="L690" s="61">
        <f t="shared" si="31"/>
        <v>834320000</v>
      </c>
      <c r="M690" s="61">
        <f t="shared" si="32"/>
        <v>604160000</v>
      </c>
    </row>
    <row r="691" spans="1:13" x14ac:dyDescent="0.25">
      <c r="A691" t="s">
        <v>271</v>
      </c>
      <c r="B691" t="s">
        <v>9</v>
      </c>
      <c r="C691">
        <v>41636</v>
      </c>
      <c r="D691" s="61">
        <v>2631851000</v>
      </c>
      <c r="E691" s="61">
        <v>1224551000</v>
      </c>
      <c r="F691" s="61">
        <v>468345000</v>
      </c>
      <c r="G691" s="61">
        <v>364923000</v>
      </c>
      <c r="H691" s="61">
        <v>0</v>
      </c>
      <c r="I691" t="s">
        <v>13</v>
      </c>
      <c r="J691" t="s">
        <v>272</v>
      </c>
      <c r="K691" s="61">
        <f t="shared" si="30"/>
        <v>1407300000</v>
      </c>
      <c r="L691" s="61">
        <f t="shared" si="31"/>
        <v>833268000</v>
      </c>
      <c r="M691" s="61">
        <f t="shared" si="32"/>
        <v>574032000</v>
      </c>
    </row>
    <row r="692" spans="1:13" x14ac:dyDescent="0.25">
      <c r="A692" t="s">
        <v>271</v>
      </c>
      <c r="B692" t="s">
        <v>10</v>
      </c>
      <c r="C692">
        <v>42000</v>
      </c>
      <c r="D692" s="61">
        <v>2870658000</v>
      </c>
      <c r="E692" s="61">
        <v>1266246000</v>
      </c>
      <c r="F692" s="61">
        <v>518665000</v>
      </c>
      <c r="G692" s="61">
        <v>395121000</v>
      </c>
      <c r="H692" s="61">
        <v>0</v>
      </c>
      <c r="I692" t="s">
        <v>13</v>
      </c>
      <c r="J692" t="s">
        <v>272</v>
      </c>
      <c r="K692" s="61">
        <f t="shared" si="30"/>
        <v>1604412000</v>
      </c>
      <c r="L692" s="61">
        <f t="shared" si="31"/>
        <v>913786000</v>
      </c>
      <c r="M692" s="61">
        <f t="shared" si="32"/>
        <v>690626000</v>
      </c>
    </row>
    <row r="693" spans="1:13" x14ac:dyDescent="0.25">
      <c r="A693" t="s">
        <v>271</v>
      </c>
      <c r="B693" t="s">
        <v>11</v>
      </c>
      <c r="C693">
        <v>42364</v>
      </c>
      <c r="D693" s="61">
        <v>2820270000</v>
      </c>
      <c r="E693" s="61">
        <v>1281566000</v>
      </c>
      <c r="F693" s="61">
        <v>562080000</v>
      </c>
      <c r="G693" s="61">
        <v>427043000</v>
      </c>
      <c r="H693" s="61">
        <v>0</v>
      </c>
      <c r="I693" t="s">
        <v>13</v>
      </c>
      <c r="J693" t="s">
        <v>272</v>
      </c>
      <c r="K693" s="61">
        <f t="shared" si="30"/>
        <v>1538704000</v>
      </c>
      <c r="L693" s="61">
        <f t="shared" si="31"/>
        <v>989123000</v>
      </c>
      <c r="M693" s="61">
        <f t="shared" si="32"/>
        <v>549581000</v>
      </c>
    </row>
    <row r="694" spans="1:13" x14ac:dyDescent="0.25">
      <c r="A694" t="s">
        <v>273</v>
      </c>
      <c r="B694" t="s">
        <v>6</v>
      </c>
      <c r="C694">
        <v>41639</v>
      </c>
      <c r="D694" s="61">
        <v>19540000000</v>
      </c>
      <c r="E694" s="61">
        <v>15422000000</v>
      </c>
      <c r="F694" s="61">
        <v>2816000000</v>
      </c>
      <c r="G694" s="61">
        <v>0</v>
      </c>
      <c r="H694" s="61">
        <v>0</v>
      </c>
      <c r="I694" t="s">
        <v>13</v>
      </c>
      <c r="J694" t="s">
        <v>274</v>
      </c>
      <c r="K694" s="61">
        <f t="shared" si="30"/>
        <v>4118000000</v>
      </c>
      <c r="L694" s="61">
        <f t="shared" si="31"/>
        <v>2816000000</v>
      </c>
      <c r="M694" s="61">
        <f t="shared" si="32"/>
        <v>1302000000</v>
      </c>
    </row>
    <row r="695" spans="1:13" x14ac:dyDescent="0.25">
      <c r="A695" t="s">
        <v>273</v>
      </c>
      <c r="B695" t="s">
        <v>9</v>
      </c>
      <c r="C695">
        <v>42004</v>
      </c>
      <c r="D695" s="61">
        <v>18138000000</v>
      </c>
      <c r="E695" s="61">
        <v>13906000000</v>
      </c>
      <c r="F695" s="61">
        <v>2815000000</v>
      </c>
      <c r="G695" s="61">
        <v>0</v>
      </c>
      <c r="H695" s="61">
        <v>0</v>
      </c>
      <c r="I695" t="s">
        <v>13</v>
      </c>
      <c r="J695" t="s">
        <v>274</v>
      </c>
      <c r="K695" s="61">
        <f t="shared" si="30"/>
        <v>4232000000</v>
      </c>
      <c r="L695" s="61">
        <f t="shared" si="31"/>
        <v>2815000000</v>
      </c>
      <c r="M695" s="61">
        <f t="shared" si="32"/>
        <v>1417000000</v>
      </c>
    </row>
    <row r="696" spans="1:13" x14ac:dyDescent="0.25">
      <c r="A696" t="s">
        <v>273</v>
      </c>
      <c r="B696" t="s">
        <v>10</v>
      </c>
      <c r="C696">
        <v>42369</v>
      </c>
      <c r="D696" s="61">
        <v>16443000000</v>
      </c>
      <c r="E696" s="61">
        <v>12164000000</v>
      </c>
      <c r="F696" s="61">
        <v>2728000000</v>
      </c>
      <c r="G696" s="61">
        <v>0</v>
      </c>
      <c r="H696" s="61">
        <v>0</v>
      </c>
      <c r="I696" t="s">
        <v>13</v>
      </c>
      <c r="J696" t="s">
        <v>274</v>
      </c>
      <c r="K696" s="61">
        <f t="shared" si="30"/>
        <v>4279000000</v>
      </c>
      <c r="L696" s="61">
        <f t="shared" si="31"/>
        <v>2728000000</v>
      </c>
      <c r="M696" s="61">
        <f t="shared" si="32"/>
        <v>1551000000</v>
      </c>
    </row>
    <row r="697" spans="1:13" x14ac:dyDescent="0.25">
      <c r="A697" t="s">
        <v>273</v>
      </c>
      <c r="B697" t="s">
        <v>11</v>
      </c>
      <c r="C697">
        <v>42735</v>
      </c>
      <c r="D697" s="61">
        <v>15158000000</v>
      </c>
      <c r="E697" s="61">
        <v>10972000000</v>
      </c>
      <c r="F697" s="61">
        <v>2617000000</v>
      </c>
      <c r="G697" s="61">
        <v>0</v>
      </c>
      <c r="H697" s="61">
        <v>0</v>
      </c>
      <c r="I697" t="s">
        <v>13</v>
      </c>
      <c r="J697" t="s">
        <v>274</v>
      </c>
      <c r="K697" s="61">
        <f t="shared" si="30"/>
        <v>4186000000</v>
      </c>
      <c r="L697" s="61">
        <f t="shared" si="31"/>
        <v>2617000000</v>
      </c>
      <c r="M697" s="61">
        <f t="shared" si="32"/>
        <v>1569000000</v>
      </c>
    </row>
    <row r="698" spans="1:13" x14ac:dyDescent="0.25">
      <c r="A698" t="s">
        <v>275</v>
      </c>
      <c r="B698" t="s">
        <v>6</v>
      </c>
      <c r="C698">
        <v>41274</v>
      </c>
      <c r="D698" s="61">
        <v>8950045000</v>
      </c>
      <c r="E698" s="61">
        <v>5033885000</v>
      </c>
      <c r="F698" s="61">
        <v>2785035000</v>
      </c>
      <c r="G698" s="61">
        <v>0</v>
      </c>
      <c r="H698" s="61">
        <v>0</v>
      </c>
      <c r="I698" t="s">
        <v>7</v>
      </c>
      <c r="J698" t="s">
        <v>276</v>
      </c>
      <c r="K698" s="61">
        <f t="shared" si="30"/>
        <v>3916160000</v>
      </c>
      <c r="L698" s="61">
        <f t="shared" si="31"/>
        <v>2785035000</v>
      </c>
      <c r="M698" s="61">
        <f t="shared" si="32"/>
        <v>1131125000</v>
      </c>
    </row>
    <row r="699" spans="1:13" x14ac:dyDescent="0.25">
      <c r="A699" t="s">
        <v>275</v>
      </c>
      <c r="B699" t="s">
        <v>9</v>
      </c>
      <c r="C699">
        <v>41639</v>
      </c>
      <c r="D699" s="61">
        <v>9437758000</v>
      </c>
      <c r="E699" s="61">
        <v>5301275000</v>
      </c>
      <c r="F699" s="61">
        <v>2839629000</v>
      </c>
      <c r="G699" s="61">
        <v>0</v>
      </c>
      <c r="H699" s="61">
        <v>0</v>
      </c>
      <c r="I699" t="s">
        <v>7</v>
      </c>
      <c r="J699" t="s">
        <v>276</v>
      </c>
      <c r="K699" s="61">
        <f t="shared" si="30"/>
        <v>4136483000</v>
      </c>
      <c r="L699" s="61">
        <f t="shared" si="31"/>
        <v>2839629000</v>
      </c>
      <c r="M699" s="61">
        <f t="shared" si="32"/>
        <v>1296854000</v>
      </c>
    </row>
    <row r="700" spans="1:13" x14ac:dyDescent="0.25">
      <c r="A700" t="s">
        <v>275</v>
      </c>
      <c r="B700" t="s">
        <v>10</v>
      </c>
      <c r="C700">
        <v>42004</v>
      </c>
      <c r="D700" s="61">
        <v>9964953000</v>
      </c>
      <c r="E700" s="61">
        <v>5650711000</v>
      </c>
      <c r="F700" s="61">
        <v>2967125000</v>
      </c>
      <c r="G700" s="61">
        <v>0</v>
      </c>
      <c r="H700" s="61">
        <v>0</v>
      </c>
      <c r="I700" t="s">
        <v>7</v>
      </c>
      <c r="J700" t="s">
        <v>276</v>
      </c>
      <c r="K700" s="61">
        <f t="shared" si="30"/>
        <v>4314242000</v>
      </c>
      <c r="L700" s="61">
        <f t="shared" si="31"/>
        <v>2967125000</v>
      </c>
      <c r="M700" s="61">
        <f t="shared" si="32"/>
        <v>1347117000</v>
      </c>
    </row>
    <row r="701" spans="1:13" x14ac:dyDescent="0.25">
      <c r="A701" t="s">
        <v>275</v>
      </c>
      <c r="B701" t="s">
        <v>11</v>
      </c>
      <c r="C701">
        <v>42369</v>
      </c>
      <c r="D701" s="61">
        <v>9973384000</v>
      </c>
      <c r="E701" s="61">
        <v>5741956000</v>
      </c>
      <c r="F701" s="61">
        <v>2931108000</v>
      </c>
      <c r="G701" s="61">
        <v>0</v>
      </c>
      <c r="H701" s="61">
        <v>0</v>
      </c>
      <c r="I701" t="s">
        <v>7</v>
      </c>
      <c r="J701" t="s">
        <v>276</v>
      </c>
      <c r="K701" s="61">
        <f t="shared" si="30"/>
        <v>4231428000</v>
      </c>
      <c r="L701" s="61">
        <f t="shared" si="31"/>
        <v>2931108000</v>
      </c>
      <c r="M701" s="61">
        <f t="shared" si="32"/>
        <v>1300320000</v>
      </c>
    </row>
    <row r="702" spans="1:13" x14ac:dyDescent="0.25">
      <c r="A702" t="s">
        <v>277</v>
      </c>
      <c r="B702" t="s">
        <v>6</v>
      </c>
      <c r="C702">
        <v>41639</v>
      </c>
      <c r="D702" s="61">
        <v>29402000000</v>
      </c>
      <c r="E702" s="61">
        <v>24931000000</v>
      </c>
      <c r="F702" s="61">
        <v>1333000000</v>
      </c>
      <c r="G702" s="61">
        <v>0</v>
      </c>
      <c r="H702" s="61">
        <v>0</v>
      </c>
      <c r="I702" t="s">
        <v>77</v>
      </c>
      <c r="J702" t="s">
        <v>108</v>
      </c>
      <c r="K702" s="61">
        <f t="shared" si="30"/>
        <v>4471000000</v>
      </c>
      <c r="L702" s="61">
        <f t="shared" si="31"/>
        <v>1333000000</v>
      </c>
      <c r="M702" s="61">
        <f t="shared" si="32"/>
        <v>3138000000</v>
      </c>
    </row>
    <row r="703" spans="1:13" x14ac:dyDescent="0.25">
      <c r="A703" t="s">
        <v>277</v>
      </c>
      <c r="B703" t="s">
        <v>9</v>
      </c>
      <c r="C703">
        <v>42004</v>
      </c>
      <c r="D703" s="61">
        <v>32870000000</v>
      </c>
      <c r="E703" s="61">
        <v>27334000000</v>
      </c>
      <c r="F703" s="61">
        <v>293000000</v>
      </c>
      <c r="G703" s="61">
        <v>0</v>
      </c>
      <c r="H703" s="61">
        <v>0</v>
      </c>
      <c r="I703" t="s">
        <v>77</v>
      </c>
      <c r="J703" t="s">
        <v>108</v>
      </c>
      <c r="K703" s="61">
        <f t="shared" si="30"/>
        <v>5536000000</v>
      </c>
      <c r="L703" s="61">
        <f t="shared" si="31"/>
        <v>293000000</v>
      </c>
      <c r="M703" s="61">
        <f t="shared" si="32"/>
        <v>5243000000</v>
      </c>
    </row>
    <row r="704" spans="1:13" x14ac:dyDescent="0.25">
      <c r="A704" t="s">
        <v>277</v>
      </c>
      <c r="B704" t="s">
        <v>10</v>
      </c>
      <c r="C704">
        <v>42369</v>
      </c>
      <c r="D704" s="61">
        <v>23633000000</v>
      </c>
      <c r="E704" s="61">
        <v>21113000000</v>
      </c>
      <c r="F704" s="61">
        <v>200000000</v>
      </c>
      <c r="G704" s="61">
        <v>0</v>
      </c>
      <c r="H704" s="61">
        <v>0</v>
      </c>
      <c r="I704" t="s">
        <v>77</v>
      </c>
      <c r="J704" t="s">
        <v>108</v>
      </c>
      <c r="K704" s="61">
        <f t="shared" si="30"/>
        <v>2520000000</v>
      </c>
      <c r="L704" s="61">
        <f t="shared" si="31"/>
        <v>200000000</v>
      </c>
      <c r="M704" s="61">
        <f t="shared" si="32"/>
        <v>2320000000</v>
      </c>
    </row>
    <row r="705" spans="1:13" x14ac:dyDescent="0.25">
      <c r="A705" t="s">
        <v>277</v>
      </c>
      <c r="B705" t="s">
        <v>11</v>
      </c>
      <c r="C705">
        <v>42735</v>
      </c>
      <c r="D705" s="61">
        <v>15887000000</v>
      </c>
      <c r="E705" s="61">
        <v>15023000000</v>
      </c>
      <c r="F705" s="61">
        <v>228000000</v>
      </c>
      <c r="G705" s="61">
        <v>0</v>
      </c>
      <c r="H705" s="61">
        <v>0</v>
      </c>
      <c r="I705" t="s">
        <v>77</v>
      </c>
      <c r="J705" t="s">
        <v>108</v>
      </c>
      <c r="K705" s="61">
        <f t="shared" si="30"/>
        <v>864000000</v>
      </c>
      <c r="L705" s="61">
        <f t="shared" si="31"/>
        <v>228000000</v>
      </c>
      <c r="M705" s="61">
        <f t="shared" si="32"/>
        <v>636000000</v>
      </c>
    </row>
    <row r="706" spans="1:13" x14ac:dyDescent="0.25">
      <c r="A706" t="s">
        <v>278</v>
      </c>
      <c r="B706" t="s">
        <v>6</v>
      </c>
      <c r="C706">
        <v>41455</v>
      </c>
      <c r="D706" s="61">
        <v>4297842000</v>
      </c>
      <c r="E706" s="61">
        <v>3193722000</v>
      </c>
      <c r="F706" s="61">
        <v>902869000</v>
      </c>
      <c r="G706" s="61">
        <v>0</v>
      </c>
      <c r="H706" s="61">
        <v>0</v>
      </c>
      <c r="I706" t="s">
        <v>13</v>
      </c>
      <c r="J706" t="s">
        <v>272</v>
      </c>
      <c r="K706" s="61">
        <f t="shared" ref="K706:K769" si="33">D706-E706</f>
        <v>1104120000</v>
      </c>
      <c r="L706" s="61">
        <f t="shared" ref="L706:L769" si="34">F706+G706+H706</f>
        <v>902869000</v>
      </c>
      <c r="M706" s="61">
        <f t="shared" si="32"/>
        <v>201251000</v>
      </c>
    </row>
    <row r="707" spans="1:13" x14ac:dyDescent="0.25">
      <c r="A707" t="s">
        <v>278</v>
      </c>
      <c r="B707" t="s">
        <v>9</v>
      </c>
      <c r="C707">
        <v>41820</v>
      </c>
      <c r="D707" s="61">
        <v>5348483000</v>
      </c>
      <c r="E707" s="61">
        <v>3891816000</v>
      </c>
      <c r="F707" s="61">
        <v>1126940000</v>
      </c>
      <c r="G707" s="61">
        <v>0</v>
      </c>
      <c r="H707" s="61">
        <v>0</v>
      </c>
      <c r="I707" t="s">
        <v>13</v>
      </c>
      <c r="J707" t="s">
        <v>272</v>
      </c>
      <c r="K707" s="61">
        <f t="shared" si="33"/>
        <v>1456667000</v>
      </c>
      <c r="L707" s="61">
        <f t="shared" si="34"/>
        <v>1126940000</v>
      </c>
      <c r="M707" s="61">
        <f t="shared" ref="M707:M770" si="35">K707-L707</f>
        <v>329727000</v>
      </c>
    </row>
    <row r="708" spans="1:13" x14ac:dyDescent="0.25">
      <c r="A708" t="s">
        <v>278</v>
      </c>
      <c r="B708" t="s">
        <v>10</v>
      </c>
      <c r="C708">
        <v>42185</v>
      </c>
      <c r="D708" s="61">
        <v>6155297000</v>
      </c>
      <c r="E708" s="61">
        <v>4338193000</v>
      </c>
      <c r="F708" s="61">
        <v>1347510000</v>
      </c>
      <c r="G708" s="61">
        <v>0</v>
      </c>
      <c r="H708" s="61">
        <v>0</v>
      </c>
      <c r="I708" t="s">
        <v>13</v>
      </c>
      <c r="J708" t="s">
        <v>272</v>
      </c>
      <c r="K708" s="61">
        <f t="shared" si="33"/>
        <v>1817104000</v>
      </c>
      <c r="L708" s="61">
        <f t="shared" si="34"/>
        <v>1347510000</v>
      </c>
      <c r="M708" s="61">
        <f t="shared" si="35"/>
        <v>469594000</v>
      </c>
    </row>
    <row r="709" spans="1:13" x14ac:dyDescent="0.25">
      <c r="A709" t="s">
        <v>278</v>
      </c>
      <c r="B709" t="s">
        <v>11</v>
      </c>
      <c r="C709">
        <v>42551</v>
      </c>
      <c r="D709" s="61">
        <v>6911676000</v>
      </c>
      <c r="E709" s="61">
        <v>4818585000</v>
      </c>
      <c r="F709" s="61">
        <v>1513064000</v>
      </c>
      <c r="G709" s="61">
        <v>0</v>
      </c>
      <c r="H709" s="61">
        <v>0</v>
      </c>
      <c r="I709" t="s">
        <v>13</v>
      </c>
      <c r="J709" t="s">
        <v>272</v>
      </c>
      <c r="K709" s="61">
        <f t="shared" si="33"/>
        <v>2093091000</v>
      </c>
      <c r="L709" s="61">
        <f t="shared" si="34"/>
        <v>1513064000</v>
      </c>
      <c r="M709" s="61">
        <f t="shared" si="35"/>
        <v>580027000</v>
      </c>
    </row>
    <row r="710" spans="1:13" x14ac:dyDescent="0.25">
      <c r="A710" t="s">
        <v>279</v>
      </c>
      <c r="B710" t="s">
        <v>6</v>
      </c>
      <c r="C710">
        <v>41274</v>
      </c>
      <c r="D710" s="61">
        <v>4088983000</v>
      </c>
      <c r="E710" s="61">
        <v>1671980000</v>
      </c>
      <c r="F710" s="61">
        <v>1269586000</v>
      </c>
      <c r="G710" s="61">
        <v>201197000</v>
      </c>
      <c r="H710" s="61">
        <v>92369000</v>
      </c>
      <c r="I710" t="s">
        <v>13</v>
      </c>
      <c r="J710" t="s">
        <v>280</v>
      </c>
      <c r="K710" s="61">
        <f t="shared" si="33"/>
        <v>2417003000</v>
      </c>
      <c r="L710" s="61">
        <f t="shared" si="34"/>
        <v>1563152000</v>
      </c>
      <c r="M710" s="61">
        <f t="shared" si="35"/>
        <v>853851000</v>
      </c>
    </row>
    <row r="711" spans="1:13" x14ac:dyDescent="0.25">
      <c r="A711" t="s">
        <v>279</v>
      </c>
      <c r="B711" t="s">
        <v>9</v>
      </c>
      <c r="C711">
        <v>41637</v>
      </c>
      <c r="D711" s="61">
        <v>4082157000</v>
      </c>
      <c r="E711" s="61">
        <v>1672901000</v>
      </c>
      <c r="F711" s="61">
        <v>1269777000</v>
      </c>
      <c r="G711" s="61">
        <v>207591000</v>
      </c>
      <c r="H711" s="61">
        <v>125876000</v>
      </c>
      <c r="I711" t="s">
        <v>13</v>
      </c>
      <c r="J711" t="s">
        <v>280</v>
      </c>
      <c r="K711" s="61">
        <f t="shared" si="33"/>
        <v>2409256000</v>
      </c>
      <c r="L711" s="61">
        <f t="shared" si="34"/>
        <v>1603244000</v>
      </c>
      <c r="M711" s="61">
        <f t="shared" si="35"/>
        <v>806012000</v>
      </c>
    </row>
    <row r="712" spans="1:13" x14ac:dyDescent="0.25">
      <c r="A712" t="s">
        <v>279</v>
      </c>
      <c r="B712" t="s">
        <v>10</v>
      </c>
      <c r="C712">
        <v>42001</v>
      </c>
      <c r="D712" s="61">
        <v>4277207000</v>
      </c>
      <c r="E712" s="61">
        <v>1698372000</v>
      </c>
      <c r="F712" s="61">
        <v>1315793000</v>
      </c>
      <c r="G712" s="61">
        <v>222556000</v>
      </c>
      <c r="H712" s="61">
        <v>99794000</v>
      </c>
      <c r="I712" t="s">
        <v>13</v>
      </c>
      <c r="J712" t="s">
        <v>280</v>
      </c>
      <c r="K712" s="61">
        <f t="shared" si="33"/>
        <v>2578835000</v>
      </c>
      <c r="L712" s="61">
        <f t="shared" si="34"/>
        <v>1638143000</v>
      </c>
      <c r="M712" s="61">
        <f t="shared" si="35"/>
        <v>940692000</v>
      </c>
    </row>
    <row r="713" spans="1:13" x14ac:dyDescent="0.25">
      <c r="A713" t="s">
        <v>279</v>
      </c>
      <c r="B713" t="s">
        <v>11</v>
      </c>
      <c r="C713">
        <v>42365</v>
      </c>
      <c r="D713" s="61">
        <v>4447509000</v>
      </c>
      <c r="E713" s="61">
        <v>1677033000</v>
      </c>
      <c r="F713" s="61">
        <v>1370183000</v>
      </c>
      <c r="G713" s="61">
        <v>242944000</v>
      </c>
      <c r="H713" s="61">
        <v>86171000</v>
      </c>
      <c r="I713" t="s">
        <v>13</v>
      </c>
      <c r="J713" t="s">
        <v>280</v>
      </c>
      <c r="K713" s="61">
        <f t="shared" si="33"/>
        <v>2770476000</v>
      </c>
      <c r="L713" s="61">
        <f t="shared" si="34"/>
        <v>1699298000</v>
      </c>
      <c r="M713" s="61">
        <f t="shared" si="35"/>
        <v>1071178000</v>
      </c>
    </row>
    <row r="714" spans="1:13" x14ac:dyDescent="0.25">
      <c r="A714" t="s">
        <v>281</v>
      </c>
      <c r="B714" t="s">
        <v>6</v>
      </c>
      <c r="C714">
        <v>41274</v>
      </c>
      <c r="D714" s="61">
        <v>3036584000</v>
      </c>
      <c r="E714" s="61">
        <v>162167000</v>
      </c>
      <c r="F714" s="61">
        <v>1789327000</v>
      </c>
      <c r="G714" s="61">
        <v>0</v>
      </c>
      <c r="H714" s="61">
        <v>193937000</v>
      </c>
      <c r="I714" t="s">
        <v>41</v>
      </c>
      <c r="J714" t="s">
        <v>99</v>
      </c>
      <c r="K714" s="61">
        <f t="shared" si="33"/>
        <v>2874417000</v>
      </c>
      <c r="L714" s="61">
        <f t="shared" si="34"/>
        <v>1983264000</v>
      </c>
      <c r="M714" s="61">
        <f t="shared" si="35"/>
        <v>891153000</v>
      </c>
    </row>
    <row r="715" spans="1:13" x14ac:dyDescent="0.25">
      <c r="A715" t="s">
        <v>281</v>
      </c>
      <c r="B715" t="s">
        <v>9</v>
      </c>
      <c r="C715">
        <v>41639</v>
      </c>
      <c r="D715" s="61">
        <v>2872833000</v>
      </c>
      <c r="E715" s="61">
        <v>116241000</v>
      </c>
      <c r="F715" s="61">
        <v>1716639000</v>
      </c>
      <c r="G715" s="61">
        <v>0</v>
      </c>
      <c r="H715" s="61">
        <v>131409000</v>
      </c>
      <c r="I715" t="s">
        <v>41</v>
      </c>
      <c r="J715" t="s">
        <v>99</v>
      </c>
      <c r="K715" s="61">
        <f t="shared" si="33"/>
        <v>2756592000</v>
      </c>
      <c r="L715" s="61">
        <f t="shared" si="34"/>
        <v>1848048000</v>
      </c>
      <c r="M715" s="61">
        <f t="shared" si="35"/>
        <v>908544000</v>
      </c>
    </row>
    <row r="716" spans="1:13" x14ac:dyDescent="0.25">
      <c r="A716" t="s">
        <v>281</v>
      </c>
      <c r="B716" t="s">
        <v>10</v>
      </c>
      <c r="C716">
        <v>42004</v>
      </c>
      <c r="D716" s="61">
        <v>2955641000</v>
      </c>
      <c r="E716" s="61">
        <v>86453000</v>
      </c>
      <c r="F716" s="61">
        <v>1843069000</v>
      </c>
      <c r="G716" s="61">
        <v>0</v>
      </c>
      <c r="H716" s="61">
        <v>120266000</v>
      </c>
      <c r="I716" t="s">
        <v>41</v>
      </c>
      <c r="J716" t="s">
        <v>99</v>
      </c>
      <c r="K716" s="61">
        <f t="shared" si="33"/>
        <v>2869188000</v>
      </c>
      <c r="L716" s="61">
        <f t="shared" si="34"/>
        <v>1963335000</v>
      </c>
      <c r="M716" s="61">
        <f t="shared" si="35"/>
        <v>905853000</v>
      </c>
    </row>
    <row r="717" spans="1:13" x14ac:dyDescent="0.25">
      <c r="A717" t="s">
        <v>281</v>
      </c>
      <c r="B717" t="s">
        <v>11</v>
      </c>
      <c r="C717">
        <v>42369</v>
      </c>
      <c r="D717" s="61">
        <v>3153251000</v>
      </c>
      <c r="E717" s="61">
        <v>82175000</v>
      </c>
      <c r="F717" s="61">
        <v>1948041000</v>
      </c>
      <c r="G717" s="61">
        <v>0</v>
      </c>
      <c r="H717" s="61">
        <v>127821000</v>
      </c>
      <c r="I717" t="s">
        <v>41</v>
      </c>
      <c r="J717" t="s">
        <v>99</v>
      </c>
      <c r="K717" s="61">
        <f t="shared" si="33"/>
        <v>3071076000</v>
      </c>
      <c r="L717" s="61">
        <f t="shared" si="34"/>
        <v>2075862000</v>
      </c>
      <c r="M717" s="61">
        <f t="shared" si="35"/>
        <v>995214000</v>
      </c>
    </row>
    <row r="718" spans="1:13" x14ac:dyDescent="0.25">
      <c r="A718" t="s">
        <v>282</v>
      </c>
      <c r="B718" t="s">
        <v>6</v>
      </c>
      <c r="C718">
        <v>41636</v>
      </c>
      <c r="D718" s="61">
        <v>4627802000</v>
      </c>
      <c r="E718" s="61">
        <v>3016109000</v>
      </c>
      <c r="F718" s="61">
        <v>1096507000</v>
      </c>
      <c r="G718" s="61">
        <v>0</v>
      </c>
      <c r="H718" s="61">
        <v>0</v>
      </c>
      <c r="I718" t="s">
        <v>13</v>
      </c>
      <c r="J718" t="s">
        <v>283</v>
      </c>
      <c r="K718" s="61">
        <f t="shared" si="33"/>
        <v>1611693000</v>
      </c>
      <c r="L718" s="61">
        <f t="shared" si="34"/>
        <v>1096507000</v>
      </c>
      <c r="M718" s="61">
        <f t="shared" si="35"/>
        <v>515186000</v>
      </c>
    </row>
    <row r="719" spans="1:13" x14ac:dyDescent="0.25">
      <c r="A719" t="s">
        <v>282</v>
      </c>
      <c r="B719" t="s">
        <v>9</v>
      </c>
      <c r="C719">
        <v>42007</v>
      </c>
      <c r="D719" s="61">
        <v>5324746000</v>
      </c>
      <c r="E719" s="61">
        <v>3420339000</v>
      </c>
      <c r="F719" s="61">
        <v>1340453000</v>
      </c>
      <c r="G719" s="61">
        <v>0</v>
      </c>
      <c r="H719" s="61">
        <v>0</v>
      </c>
      <c r="I719" t="s">
        <v>13</v>
      </c>
      <c r="J719" t="s">
        <v>283</v>
      </c>
      <c r="K719" s="61">
        <f t="shared" si="33"/>
        <v>1904407000</v>
      </c>
      <c r="L719" s="61">
        <f t="shared" si="34"/>
        <v>1340453000</v>
      </c>
      <c r="M719" s="61">
        <f t="shared" si="35"/>
        <v>563954000</v>
      </c>
    </row>
    <row r="720" spans="1:13" x14ac:dyDescent="0.25">
      <c r="A720" t="s">
        <v>282</v>
      </c>
      <c r="B720" t="s">
        <v>10</v>
      </c>
      <c r="C720">
        <v>42371</v>
      </c>
      <c r="D720" s="61">
        <v>5731549000</v>
      </c>
      <c r="E720" s="61">
        <v>3595217000</v>
      </c>
      <c r="F720" s="61">
        <v>1541214000</v>
      </c>
      <c r="G720" s="61">
        <v>0</v>
      </c>
      <c r="H720" s="61">
        <v>0</v>
      </c>
      <c r="I720" t="s">
        <v>13</v>
      </c>
      <c r="J720" t="s">
        <v>283</v>
      </c>
      <c r="K720" s="61">
        <f t="shared" si="33"/>
        <v>2136332000</v>
      </c>
      <c r="L720" s="61">
        <f t="shared" si="34"/>
        <v>1541214000</v>
      </c>
      <c r="M720" s="61">
        <f t="shared" si="35"/>
        <v>595118000</v>
      </c>
    </row>
    <row r="721" spans="1:13" x14ac:dyDescent="0.25">
      <c r="A721" t="s">
        <v>282</v>
      </c>
      <c r="B721" t="s">
        <v>11</v>
      </c>
      <c r="C721">
        <v>42735</v>
      </c>
      <c r="D721" s="61">
        <v>6028199000</v>
      </c>
      <c r="E721" s="61">
        <v>3752151000</v>
      </c>
      <c r="F721" s="61">
        <v>1500399000</v>
      </c>
      <c r="G721" s="61">
        <v>0</v>
      </c>
      <c r="H721" s="61">
        <v>0</v>
      </c>
      <c r="I721" t="s">
        <v>13</v>
      </c>
      <c r="J721" t="s">
        <v>283</v>
      </c>
      <c r="K721" s="61">
        <f t="shared" si="33"/>
        <v>2276048000</v>
      </c>
      <c r="L721" s="61">
        <f t="shared" si="34"/>
        <v>1500399000</v>
      </c>
      <c r="M721" s="61">
        <f t="shared" si="35"/>
        <v>775649000</v>
      </c>
    </row>
    <row r="722" spans="1:13" x14ac:dyDescent="0.25">
      <c r="A722" t="s">
        <v>284</v>
      </c>
      <c r="B722" t="s">
        <v>6</v>
      </c>
      <c r="C722">
        <v>41274</v>
      </c>
      <c r="D722" s="61">
        <v>33013000000</v>
      </c>
      <c r="E722" s="61">
        <v>5717000000</v>
      </c>
      <c r="F722" s="61">
        <v>20801000000</v>
      </c>
      <c r="G722" s="61">
        <v>0</v>
      </c>
      <c r="H722" s="61">
        <v>1679000000</v>
      </c>
      <c r="I722" t="s">
        <v>19</v>
      </c>
      <c r="J722" t="s">
        <v>193</v>
      </c>
      <c r="K722" s="61">
        <f t="shared" si="33"/>
        <v>27296000000</v>
      </c>
      <c r="L722" s="61">
        <f t="shared" si="34"/>
        <v>22480000000</v>
      </c>
      <c r="M722" s="61">
        <f t="shared" si="35"/>
        <v>4816000000</v>
      </c>
    </row>
    <row r="723" spans="1:13" x14ac:dyDescent="0.25">
      <c r="A723" t="s">
        <v>284</v>
      </c>
      <c r="B723" t="s">
        <v>9</v>
      </c>
      <c r="C723">
        <v>41639</v>
      </c>
      <c r="D723" s="61">
        <v>34182000000</v>
      </c>
      <c r="E723" s="61">
        <v>5970000000</v>
      </c>
      <c r="F723" s="61">
        <v>21667000000</v>
      </c>
      <c r="G723" s="61">
        <v>0</v>
      </c>
      <c r="H723" s="61">
        <v>1753000000</v>
      </c>
      <c r="I723" t="s">
        <v>19</v>
      </c>
      <c r="J723" t="s">
        <v>193</v>
      </c>
      <c r="K723" s="61">
        <f t="shared" si="33"/>
        <v>28212000000</v>
      </c>
      <c r="L723" s="61">
        <f t="shared" si="34"/>
        <v>23420000000</v>
      </c>
      <c r="M723" s="61">
        <f t="shared" si="35"/>
        <v>4792000000</v>
      </c>
    </row>
    <row r="724" spans="1:13" x14ac:dyDescent="0.25">
      <c r="A724" t="s">
        <v>284</v>
      </c>
      <c r="B724" t="s">
        <v>10</v>
      </c>
      <c r="C724">
        <v>42004</v>
      </c>
      <c r="D724" s="61">
        <v>36918000000</v>
      </c>
      <c r="E724" s="61">
        <v>6262000000</v>
      </c>
      <c r="F724" s="61">
        <v>23271000000</v>
      </c>
      <c r="G724" s="61">
        <v>0</v>
      </c>
      <c r="H724" s="61">
        <v>1820000000</v>
      </c>
      <c r="I724" t="s">
        <v>19</v>
      </c>
      <c r="J724" t="s">
        <v>193</v>
      </c>
      <c r="K724" s="61">
        <f t="shared" si="33"/>
        <v>30656000000</v>
      </c>
      <c r="L724" s="61">
        <f t="shared" si="34"/>
        <v>25091000000</v>
      </c>
      <c r="M724" s="61">
        <f t="shared" si="35"/>
        <v>5565000000</v>
      </c>
    </row>
    <row r="725" spans="1:13" x14ac:dyDescent="0.25">
      <c r="A725" t="s">
        <v>284</v>
      </c>
      <c r="B725" t="s">
        <v>11</v>
      </c>
      <c r="C725">
        <v>42369</v>
      </c>
      <c r="D725" s="61">
        <v>39678000000</v>
      </c>
      <c r="E725" s="61">
        <v>6638000000</v>
      </c>
      <c r="F725" s="61">
        <v>25171000000</v>
      </c>
      <c r="G725" s="61">
        <v>0</v>
      </c>
      <c r="H725" s="61">
        <v>1904000000</v>
      </c>
      <c r="I725" t="s">
        <v>19</v>
      </c>
      <c r="J725" t="s">
        <v>193</v>
      </c>
      <c r="K725" s="61">
        <f t="shared" si="33"/>
        <v>33040000000</v>
      </c>
      <c r="L725" s="61">
        <f t="shared" si="34"/>
        <v>27075000000</v>
      </c>
      <c r="M725" s="61">
        <f t="shared" si="35"/>
        <v>5965000000</v>
      </c>
    </row>
    <row r="726" spans="1:13" x14ac:dyDescent="0.25">
      <c r="A726" t="s">
        <v>285</v>
      </c>
      <c r="B726" t="s">
        <v>6</v>
      </c>
      <c r="C726">
        <v>41274</v>
      </c>
      <c r="D726" s="61">
        <v>1765979000</v>
      </c>
      <c r="E726" s="61">
        <v>567989000</v>
      </c>
      <c r="F726" s="61">
        <v>158950000</v>
      </c>
      <c r="G726" s="61">
        <v>0</v>
      </c>
      <c r="H726" s="61">
        <v>506220000</v>
      </c>
      <c r="I726" t="s">
        <v>46</v>
      </c>
      <c r="J726" t="s">
        <v>47</v>
      </c>
      <c r="K726" s="61">
        <f t="shared" si="33"/>
        <v>1197990000</v>
      </c>
      <c r="L726" s="61">
        <f t="shared" si="34"/>
        <v>665170000</v>
      </c>
      <c r="M726" s="61">
        <f t="shared" si="35"/>
        <v>532820000</v>
      </c>
    </row>
    <row r="727" spans="1:13" x14ac:dyDescent="0.25">
      <c r="A727" t="s">
        <v>285</v>
      </c>
      <c r="B727" t="s">
        <v>9</v>
      </c>
      <c r="C727">
        <v>41639</v>
      </c>
      <c r="D727" s="61">
        <v>2847945000</v>
      </c>
      <c r="E727" s="61">
        <v>1206813000</v>
      </c>
      <c r="F727" s="61">
        <v>241719000</v>
      </c>
      <c r="G727" s="61">
        <v>0</v>
      </c>
      <c r="H727" s="61">
        <v>865800000</v>
      </c>
      <c r="I727" t="s">
        <v>46</v>
      </c>
      <c r="J727" t="s">
        <v>47</v>
      </c>
      <c r="K727" s="61">
        <f t="shared" si="33"/>
        <v>1641132000</v>
      </c>
      <c r="L727" s="61">
        <f t="shared" si="34"/>
        <v>1107519000</v>
      </c>
      <c r="M727" s="61">
        <f t="shared" si="35"/>
        <v>533613000</v>
      </c>
    </row>
    <row r="728" spans="1:13" x14ac:dyDescent="0.25">
      <c r="A728" t="s">
        <v>285</v>
      </c>
      <c r="B728" t="s">
        <v>10</v>
      </c>
      <c r="C728">
        <v>42004</v>
      </c>
      <c r="D728" s="61">
        <v>3305879000</v>
      </c>
      <c r="E728" s="61">
        <v>1403358000</v>
      </c>
      <c r="F728" s="61">
        <v>212481000</v>
      </c>
      <c r="G728" s="61">
        <v>0</v>
      </c>
      <c r="H728" s="61">
        <v>844130000</v>
      </c>
      <c r="I728" t="s">
        <v>46</v>
      </c>
      <c r="J728" t="s">
        <v>47</v>
      </c>
      <c r="K728" s="61">
        <f t="shared" si="33"/>
        <v>1902521000</v>
      </c>
      <c r="L728" s="61">
        <f t="shared" si="34"/>
        <v>1056611000</v>
      </c>
      <c r="M728" s="61">
        <f t="shared" si="35"/>
        <v>845910000</v>
      </c>
    </row>
    <row r="729" spans="1:13" x14ac:dyDescent="0.25">
      <c r="A729" t="s">
        <v>285</v>
      </c>
      <c r="B729" t="s">
        <v>11</v>
      </c>
      <c r="C729">
        <v>42369</v>
      </c>
      <c r="D729" s="61">
        <v>3775685000</v>
      </c>
      <c r="E729" s="61">
        <v>1622257000</v>
      </c>
      <c r="F729" s="61">
        <v>258342000</v>
      </c>
      <c r="G729" s="61">
        <v>0</v>
      </c>
      <c r="H729" s="61">
        <v>826240000</v>
      </c>
      <c r="I729" t="s">
        <v>46</v>
      </c>
      <c r="J729" t="s">
        <v>47</v>
      </c>
      <c r="K729" s="61">
        <f t="shared" si="33"/>
        <v>2153428000</v>
      </c>
      <c r="L729" s="61">
        <f t="shared" si="34"/>
        <v>1084582000</v>
      </c>
      <c r="M729" s="61">
        <f t="shared" si="35"/>
        <v>1068846000</v>
      </c>
    </row>
    <row r="730" spans="1:13" x14ac:dyDescent="0.25">
      <c r="A730" t="s">
        <v>286</v>
      </c>
      <c r="B730" t="s">
        <v>6</v>
      </c>
      <c r="C730">
        <v>41639</v>
      </c>
      <c r="D730" s="61">
        <v>2013719000</v>
      </c>
      <c r="E730" s="61">
        <v>0</v>
      </c>
      <c r="F730" s="61">
        <v>401324000</v>
      </c>
      <c r="G730" s="61">
        <v>0</v>
      </c>
      <c r="H730" s="61">
        <v>423312000</v>
      </c>
      <c r="I730" t="s">
        <v>46</v>
      </c>
      <c r="J730" t="s">
        <v>47</v>
      </c>
      <c r="K730" s="61">
        <f t="shared" si="33"/>
        <v>2013719000</v>
      </c>
      <c r="L730" s="61">
        <f t="shared" si="34"/>
        <v>824636000</v>
      </c>
      <c r="M730" s="61">
        <f t="shared" si="35"/>
        <v>1189083000</v>
      </c>
    </row>
    <row r="731" spans="1:13" x14ac:dyDescent="0.25">
      <c r="A731" t="s">
        <v>286</v>
      </c>
      <c r="B731" t="s">
        <v>9</v>
      </c>
      <c r="C731">
        <v>42004</v>
      </c>
      <c r="D731" s="61">
        <v>1563210000</v>
      </c>
      <c r="E731" s="61">
        <v>0</v>
      </c>
      <c r="F731" s="61">
        <v>463059000</v>
      </c>
      <c r="G731" s="61">
        <v>0</v>
      </c>
      <c r="H731" s="61">
        <v>455016000</v>
      </c>
      <c r="I731" t="s">
        <v>46</v>
      </c>
      <c r="J731" t="s">
        <v>47</v>
      </c>
      <c r="K731" s="61">
        <f t="shared" si="33"/>
        <v>1563210000</v>
      </c>
      <c r="L731" s="61">
        <f t="shared" si="34"/>
        <v>918075000</v>
      </c>
      <c r="M731" s="61">
        <f t="shared" si="35"/>
        <v>645135000</v>
      </c>
    </row>
    <row r="732" spans="1:13" x14ac:dyDescent="0.25">
      <c r="A732" t="s">
        <v>286</v>
      </c>
      <c r="B732" t="s">
        <v>10</v>
      </c>
      <c r="C732">
        <v>42369</v>
      </c>
      <c r="D732" s="61">
        <v>1828305000</v>
      </c>
      <c r="E732" s="61">
        <v>0</v>
      </c>
      <c r="F732" s="61">
        <v>706644000</v>
      </c>
      <c r="G732" s="61">
        <v>0</v>
      </c>
      <c r="H732" s="61">
        <v>504905000</v>
      </c>
      <c r="I732" t="s">
        <v>46</v>
      </c>
      <c r="J732" t="s">
        <v>47</v>
      </c>
      <c r="K732" s="61">
        <f t="shared" si="33"/>
        <v>1828305000</v>
      </c>
      <c r="L732" s="61">
        <f t="shared" si="34"/>
        <v>1211549000</v>
      </c>
      <c r="M732" s="61">
        <f t="shared" si="35"/>
        <v>616756000</v>
      </c>
    </row>
    <row r="733" spans="1:13" x14ac:dyDescent="0.25">
      <c r="A733" t="s">
        <v>286</v>
      </c>
      <c r="B733" t="s">
        <v>11</v>
      </c>
      <c r="C733">
        <v>42735</v>
      </c>
      <c r="D733" s="61">
        <v>2040486000</v>
      </c>
      <c r="E733" s="61">
        <v>0</v>
      </c>
      <c r="F733" s="61">
        <v>842010000</v>
      </c>
      <c r="G733" s="61">
        <v>0</v>
      </c>
      <c r="H733" s="61">
        <v>568108000</v>
      </c>
      <c r="I733" t="s">
        <v>46</v>
      </c>
      <c r="J733" t="s">
        <v>47</v>
      </c>
      <c r="K733" s="61">
        <f t="shared" si="33"/>
        <v>2040486000</v>
      </c>
      <c r="L733" s="61">
        <f t="shared" si="34"/>
        <v>1410118000</v>
      </c>
      <c r="M733" s="61">
        <f t="shared" si="35"/>
        <v>630368000</v>
      </c>
    </row>
    <row r="734" spans="1:13" x14ac:dyDescent="0.25">
      <c r="A734" t="s">
        <v>287</v>
      </c>
      <c r="B734" t="s">
        <v>6</v>
      </c>
      <c r="C734">
        <v>41308</v>
      </c>
      <c r="D734" s="61">
        <v>74754000000</v>
      </c>
      <c r="E734" s="61">
        <v>48912000000</v>
      </c>
      <c r="F734" s="61">
        <v>16508000000</v>
      </c>
      <c r="G734" s="61">
        <v>0</v>
      </c>
      <c r="H734" s="61">
        <v>1568000000</v>
      </c>
      <c r="I734" t="s">
        <v>13</v>
      </c>
      <c r="J734" t="s">
        <v>288</v>
      </c>
      <c r="K734" s="61">
        <f t="shared" si="33"/>
        <v>25842000000</v>
      </c>
      <c r="L734" s="61">
        <f t="shared" si="34"/>
        <v>18076000000</v>
      </c>
      <c r="M734" s="61">
        <f t="shared" si="35"/>
        <v>7766000000</v>
      </c>
    </row>
    <row r="735" spans="1:13" x14ac:dyDescent="0.25">
      <c r="A735" t="s">
        <v>287</v>
      </c>
      <c r="B735" t="s">
        <v>9</v>
      </c>
      <c r="C735">
        <v>41672</v>
      </c>
      <c r="D735" s="61">
        <v>78812000000</v>
      </c>
      <c r="E735" s="61">
        <v>51897000000</v>
      </c>
      <c r="F735" s="61">
        <v>16122000000</v>
      </c>
      <c r="G735" s="61">
        <v>0</v>
      </c>
      <c r="H735" s="61">
        <v>1627000000</v>
      </c>
      <c r="I735" t="s">
        <v>13</v>
      </c>
      <c r="J735" t="s">
        <v>288</v>
      </c>
      <c r="K735" s="61">
        <f t="shared" si="33"/>
        <v>26915000000</v>
      </c>
      <c r="L735" s="61">
        <f t="shared" si="34"/>
        <v>17749000000</v>
      </c>
      <c r="M735" s="61">
        <f t="shared" si="35"/>
        <v>9166000000</v>
      </c>
    </row>
    <row r="736" spans="1:13" x14ac:dyDescent="0.25">
      <c r="A736" t="s">
        <v>287</v>
      </c>
      <c r="B736" t="s">
        <v>10</v>
      </c>
      <c r="C736">
        <v>42036</v>
      </c>
      <c r="D736" s="61">
        <v>83176000000</v>
      </c>
      <c r="E736" s="61">
        <v>54787000000</v>
      </c>
      <c r="F736" s="61">
        <v>16280000000</v>
      </c>
      <c r="G736" s="61">
        <v>0</v>
      </c>
      <c r="H736" s="61">
        <v>1640000000</v>
      </c>
      <c r="I736" t="s">
        <v>13</v>
      </c>
      <c r="J736" t="s">
        <v>288</v>
      </c>
      <c r="K736" s="61">
        <f t="shared" si="33"/>
        <v>28389000000</v>
      </c>
      <c r="L736" s="61">
        <f t="shared" si="34"/>
        <v>17920000000</v>
      </c>
      <c r="M736" s="61">
        <f t="shared" si="35"/>
        <v>10469000000</v>
      </c>
    </row>
    <row r="737" spans="1:13" x14ac:dyDescent="0.25">
      <c r="A737" t="s">
        <v>287</v>
      </c>
      <c r="B737" t="s">
        <v>11</v>
      </c>
      <c r="C737">
        <v>42400</v>
      </c>
      <c r="D737" s="61">
        <v>88519000000</v>
      </c>
      <c r="E737" s="61">
        <v>58254000000</v>
      </c>
      <c r="F737" s="61">
        <v>16801000000</v>
      </c>
      <c r="G737" s="61">
        <v>0</v>
      </c>
      <c r="H737" s="61">
        <v>1690000000</v>
      </c>
      <c r="I737" t="s">
        <v>13</v>
      </c>
      <c r="J737" t="s">
        <v>288</v>
      </c>
      <c r="K737" s="61">
        <f t="shared" si="33"/>
        <v>30265000000</v>
      </c>
      <c r="L737" s="61">
        <f t="shared" si="34"/>
        <v>18491000000</v>
      </c>
      <c r="M737" s="61">
        <f t="shared" si="35"/>
        <v>11774000000</v>
      </c>
    </row>
    <row r="738" spans="1:13" x14ac:dyDescent="0.25">
      <c r="A738" t="s">
        <v>289</v>
      </c>
      <c r="B738" t="s">
        <v>6</v>
      </c>
      <c r="C738">
        <v>41274</v>
      </c>
      <c r="D738" s="61">
        <v>12245000000</v>
      </c>
      <c r="E738" s="61">
        <v>3535000000</v>
      </c>
      <c r="F738" s="61">
        <v>1126000000</v>
      </c>
      <c r="G738" s="61">
        <v>0</v>
      </c>
      <c r="H738" s="61">
        <v>2866000000</v>
      </c>
      <c r="I738" t="s">
        <v>77</v>
      </c>
      <c r="J738" t="s">
        <v>138</v>
      </c>
      <c r="K738" s="61">
        <f t="shared" si="33"/>
        <v>8710000000</v>
      </c>
      <c r="L738" s="61">
        <f t="shared" si="34"/>
        <v>3992000000</v>
      </c>
      <c r="M738" s="61">
        <f t="shared" si="35"/>
        <v>4718000000</v>
      </c>
    </row>
    <row r="739" spans="1:13" x14ac:dyDescent="0.25">
      <c r="A739" t="s">
        <v>289</v>
      </c>
      <c r="B739" t="s">
        <v>9</v>
      </c>
      <c r="C739">
        <v>41639</v>
      </c>
      <c r="D739" s="61">
        <v>11905000000</v>
      </c>
      <c r="E739" s="61">
        <v>3969000000</v>
      </c>
      <c r="F739" s="61">
        <v>1045000000</v>
      </c>
      <c r="G739" s="61">
        <v>0</v>
      </c>
      <c r="H739" s="61">
        <v>2687000000</v>
      </c>
      <c r="I739" t="s">
        <v>77</v>
      </c>
      <c r="J739" t="s">
        <v>138</v>
      </c>
      <c r="K739" s="61">
        <f t="shared" si="33"/>
        <v>7936000000</v>
      </c>
      <c r="L739" s="61">
        <f t="shared" si="34"/>
        <v>3732000000</v>
      </c>
      <c r="M739" s="61">
        <f t="shared" si="35"/>
        <v>4204000000</v>
      </c>
    </row>
    <row r="740" spans="1:13" x14ac:dyDescent="0.25">
      <c r="A740" t="s">
        <v>289</v>
      </c>
      <c r="B740" t="s">
        <v>10</v>
      </c>
      <c r="C740">
        <v>42004</v>
      </c>
      <c r="D740" s="61">
        <v>10737000000</v>
      </c>
      <c r="E740" s="61">
        <v>3753000000</v>
      </c>
      <c r="F740" s="61">
        <v>863000000</v>
      </c>
      <c r="G740" s="61">
        <v>0</v>
      </c>
      <c r="H740" s="61">
        <v>3224000000</v>
      </c>
      <c r="I740" t="s">
        <v>77</v>
      </c>
      <c r="J740" t="s">
        <v>138</v>
      </c>
      <c r="K740" s="61">
        <f t="shared" si="33"/>
        <v>6984000000</v>
      </c>
      <c r="L740" s="61">
        <f t="shared" si="34"/>
        <v>4087000000</v>
      </c>
      <c r="M740" s="61">
        <f t="shared" si="35"/>
        <v>2897000000</v>
      </c>
    </row>
    <row r="741" spans="1:13" x14ac:dyDescent="0.25">
      <c r="A741" t="s">
        <v>289</v>
      </c>
      <c r="B741" t="s">
        <v>11</v>
      </c>
      <c r="C741">
        <v>42369</v>
      </c>
      <c r="D741" s="61">
        <v>6636000000</v>
      </c>
      <c r="E741" s="61">
        <v>3323000000</v>
      </c>
      <c r="F741" s="61">
        <v>703000000</v>
      </c>
      <c r="G741" s="61">
        <v>0</v>
      </c>
      <c r="H741" s="61">
        <v>3955000000</v>
      </c>
      <c r="I741" t="s">
        <v>77</v>
      </c>
      <c r="J741" t="s">
        <v>138</v>
      </c>
      <c r="K741" s="61">
        <f t="shared" si="33"/>
        <v>3313000000</v>
      </c>
      <c r="L741" s="61">
        <f t="shared" si="34"/>
        <v>4658000000</v>
      </c>
      <c r="M741" s="61">
        <f t="shared" si="35"/>
        <v>-1345000000</v>
      </c>
    </row>
    <row r="742" spans="1:13" x14ac:dyDescent="0.25">
      <c r="A742" t="s">
        <v>290</v>
      </c>
      <c r="B742" t="s">
        <v>6</v>
      </c>
      <c r="C742">
        <v>41274</v>
      </c>
      <c r="D742" s="61">
        <v>22086000000</v>
      </c>
      <c r="E742" s="61">
        <v>13195000000</v>
      </c>
      <c r="F742" s="61">
        <v>0</v>
      </c>
      <c r="G742" s="61">
        <v>0</v>
      </c>
      <c r="H742" s="61">
        <v>7080000000</v>
      </c>
      <c r="I742" t="s">
        <v>41</v>
      </c>
      <c r="J742" t="s">
        <v>44</v>
      </c>
      <c r="K742" s="61">
        <f t="shared" si="33"/>
        <v>8891000000</v>
      </c>
      <c r="L742" s="61">
        <f t="shared" si="34"/>
        <v>7080000000</v>
      </c>
      <c r="M742" s="61">
        <f t="shared" si="35"/>
        <v>1811000000</v>
      </c>
    </row>
    <row r="743" spans="1:13" x14ac:dyDescent="0.25">
      <c r="A743" t="s">
        <v>290</v>
      </c>
      <c r="B743" t="s">
        <v>9</v>
      </c>
      <c r="C743">
        <v>41639</v>
      </c>
      <c r="D743" s="61">
        <v>20673000000</v>
      </c>
      <c r="E743" s="61">
        <v>11048000000</v>
      </c>
      <c r="F743" s="61">
        <v>0</v>
      </c>
      <c r="G743" s="61">
        <v>0</v>
      </c>
      <c r="H743" s="61">
        <v>5970000000</v>
      </c>
      <c r="I743" t="s">
        <v>41</v>
      </c>
      <c r="J743" t="s">
        <v>44</v>
      </c>
      <c r="K743" s="61">
        <f t="shared" si="33"/>
        <v>9625000000</v>
      </c>
      <c r="L743" s="61">
        <f t="shared" si="34"/>
        <v>5970000000</v>
      </c>
      <c r="M743" s="61">
        <f t="shared" si="35"/>
        <v>3655000000</v>
      </c>
    </row>
    <row r="744" spans="1:13" x14ac:dyDescent="0.25">
      <c r="A744" t="s">
        <v>290</v>
      </c>
      <c r="B744" t="s">
        <v>10</v>
      </c>
      <c r="C744">
        <v>42004</v>
      </c>
      <c r="D744" s="61">
        <v>18614000000</v>
      </c>
      <c r="E744" s="61">
        <v>10805000000</v>
      </c>
      <c r="F744" s="61">
        <v>0</v>
      </c>
      <c r="G744" s="61">
        <v>0</v>
      </c>
      <c r="H744" s="61">
        <v>5757000000</v>
      </c>
      <c r="I744" t="s">
        <v>41</v>
      </c>
      <c r="J744" t="s">
        <v>44</v>
      </c>
      <c r="K744" s="61">
        <f t="shared" si="33"/>
        <v>7809000000</v>
      </c>
      <c r="L744" s="61">
        <f t="shared" si="34"/>
        <v>5757000000</v>
      </c>
      <c r="M744" s="61">
        <f t="shared" si="35"/>
        <v>2052000000</v>
      </c>
    </row>
    <row r="745" spans="1:13" x14ac:dyDescent="0.25">
      <c r="A745" t="s">
        <v>290</v>
      </c>
      <c r="B745" t="s">
        <v>11</v>
      </c>
      <c r="C745">
        <v>42369</v>
      </c>
      <c r="D745" s="61">
        <v>18377000000</v>
      </c>
      <c r="E745" s="61">
        <v>10775000000</v>
      </c>
      <c r="F745" s="61">
        <v>0</v>
      </c>
      <c r="G745" s="61">
        <v>0</v>
      </c>
      <c r="H745" s="61">
        <v>5274000000</v>
      </c>
      <c r="I745" t="s">
        <v>41</v>
      </c>
      <c r="J745" t="s">
        <v>44</v>
      </c>
      <c r="K745" s="61">
        <f t="shared" si="33"/>
        <v>7602000000</v>
      </c>
      <c r="L745" s="61">
        <f t="shared" si="34"/>
        <v>5274000000</v>
      </c>
      <c r="M745" s="61">
        <f t="shared" si="35"/>
        <v>2328000000</v>
      </c>
    </row>
    <row r="746" spans="1:13" x14ac:dyDescent="0.25">
      <c r="A746" t="s">
        <v>291</v>
      </c>
      <c r="B746" t="s">
        <v>6</v>
      </c>
      <c r="C746">
        <v>41274</v>
      </c>
      <c r="D746" s="61">
        <v>5580506000</v>
      </c>
      <c r="E746" s="61">
        <v>3440623000</v>
      </c>
      <c r="F746" s="61">
        <v>1111232000</v>
      </c>
      <c r="G746" s="61">
        <v>0</v>
      </c>
      <c r="H746" s="61">
        <v>0</v>
      </c>
      <c r="I746" t="s">
        <v>13</v>
      </c>
      <c r="J746" t="s">
        <v>292</v>
      </c>
      <c r="K746" s="61">
        <f t="shared" si="33"/>
        <v>2139883000</v>
      </c>
      <c r="L746" s="61">
        <f t="shared" si="34"/>
        <v>1111232000</v>
      </c>
      <c r="M746" s="61">
        <f t="shared" si="35"/>
        <v>1028651000</v>
      </c>
    </row>
    <row r="747" spans="1:13" x14ac:dyDescent="0.25">
      <c r="A747" t="s">
        <v>291</v>
      </c>
      <c r="B747" t="s">
        <v>9</v>
      </c>
      <c r="C747">
        <v>41639</v>
      </c>
      <c r="D747" s="61">
        <v>5899872000</v>
      </c>
      <c r="E747" s="61">
        <v>3621417000</v>
      </c>
      <c r="F747" s="61">
        <v>1124753000</v>
      </c>
      <c r="G747" s="61">
        <v>0</v>
      </c>
      <c r="H747" s="61">
        <v>0</v>
      </c>
      <c r="I747" t="s">
        <v>13</v>
      </c>
      <c r="J747" t="s">
        <v>292</v>
      </c>
      <c r="K747" s="61">
        <f t="shared" si="33"/>
        <v>2278455000</v>
      </c>
      <c r="L747" s="61">
        <f t="shared" si="34"/>
        <v>1124753000</v>
      </c>
      <c r="M747" s="61">
        <f t="shared" si="35"/>
        <v>1153702000</v>
      </c>
    </row>
    <row r="748" spans="1:13" x14ac:dyDescent="0.25">
      <c r="A748" t="s">
        <v>291</v>
      </c>
      <c r="B748" t="s">
        <v>10</v>
      </c>
      <c r="C748">
        <v>42004</v>
      </c>
      <c r="D748" s="61">
        <v>6228508000</v>
      </c>
      <c r="E748" s="61">
        <v>3788023000</v>
      </c>
      <c r="F748" s="61">
        <v>1159502000</v>
      </c>
      <c r="G748" s="61">
        <v>0</v>
      </c>
      <c r="H748" s="61">
        <v>0</v>
      </c>
      <c r="I748" t="s">
        <v>13</v>
      </c>
      <c r="J748" t="s">
        <v>292</v>
      </c>
      <c r="K748" s="61">
        <f t="shared" si="33"/>
        <v>2440485000</v>
      </c>
      <c r="L748" s="61">
        <f t="shared" si="34"/>
        <v>1159502000</v>
      </c>
      <c r="M748" s="61">
        <f t="shared" si="35"/>
        <v>1280983000</v>
      </c>
    </row>
    <row r="749" spans="1:13" x14ac:dyDescent="0.25">
      <c r="A749" t="s">
        <v>291</v>
      </c>
      <c r="B749" t="s">
        <v>11</v>
      </c>
      <c r="C749">
        <v>42369</v>
      </c>
      <c r="D749" s="61">
        <v>5995402000</v>
      </c>
      <c r="E749" s="61">
        <v>3619612000</v>
      </c>
      <c r="F749" s="61">
        <v>1220095000</v>
      </c>
      <c r="G749" s="61">
        <v>0</v>
      </c>
      <c r="H749" s="61">
        <v>0</v>
      </c>
      <c r="I749" t="s">
        <v>13</v>
      </c>
      <c r="J749" t="s">
        <v>292</v>
      </c>
      <c r="K749" s="61">
        <f t="shared" si="33"/>
        <v>2375790000</v>
      </c>
      <c r="L749" s="61">
        <f t="shared" si="34"/>
        <v>1220095000</v>
      </c>
      <c r="M749" s="61">
        <f t="shared" si="35"/>
        <v>1155695000</v>
      </c>
    </row>
    <row r="750" spans="1:13" x14ac:dyDescent="0.25">
      <c r="A750" t="s">
        <v>293</v>
      </c>
      <c r="B750" t="s">
        <v>6</v>
      </c>
      <c r="C750">
        <v>41545</v>
      </c>
      <c r="D750" s="61">
        <v>2492300000</v>
      </c>
      <c r="E750" s="61">
        <v>1330900000</v>
      </c>
      <c r="F750" s="61">
        <v>661100000</v>
      </c>
      <c r="G750" s="61">
        <v>197600000</v>
      </c>
      <c r="H750" s="61">
        <v>112600000</v>
      </c>
      <c r="I750" t="s">
        <v>19</v>
      </c>
      <c r="J750" t="s">
        <v>24</v>
      </c>
      <c r="K750" s="61">
        <f t="shared" si="33"/>
        <v>1161400000</v>
      </c>
      <c r="L750" s="61">
        <f t="shared" si="34"/>
        <v>971300000</v>
      </c>
      <c r="M750" s="61">
        <f t="shared" si="35"/>
        <v>190100000</v>
      </c>
    </row>
    <row r="751" spans="1:13" x14ac:dyDescent="0.25">
      <c r="A751" t="s">
        <v>293</v>
      </c>
      <c r="B751" t="s">
        <v>9</v>
      </c>
      <c r="C751">
        <v>41909</v>
      </c>
      <c r="D751" s="61">
        <v>2530700000</v>
      </c>
      <c r="E751" s="61">
        <v>1285200000</v>
      </c>
      <c r="F751" s="61">
        <v>591500000</v>
      </c>
      <c r="G751" s="61">
        <v>203200000</v>
      </c>
      <c r="H751" s="61">
        <v>113800000</v>
      </c>
      <c r="I751" t="s">
        <v>19</v>
      </c>
      <c r="J751" t="s">
        <v>24</v>
      </c>
      <c r="K751" s="61">
        <f t="shared" si="33"/>
        <v>1245500000</v>
      </c>
      <c r="L751" s="61">
        <f t="shared" si="34"/>
        <v>908500000</v>
      </c>
      <c r="M751" s="61">
        <f t="shared" si="35"/>
        <v>337000000</v>
      </c>
    </row>
    <row r="752" spans="1:13" x14ac:dyDescent="0.25">
      <c r="A752" t="s">
        <v>293</v>
      </c>
      <c r="B752" t="s">
        <v>10</v>
      </c>
      <c r="C752">
        <v>42273</v>
      </c>
      <c r="D752" s="61">
        <v>2705000000</v>
      </c>
      <c r="E752" s="61">
        <v>1272300000</v>
      </c>
      <c r="F752" s="61">
        <v>624000000</v>
      </c>
      <c r="G752" s="61">
        <v>214900000</v>
      </c>
      <c r="H752" s="61">
        <v>110200000</v>
      </c>
      <c r="I752" t="s">
        <v>19</v>
      </c>
      <c r="J752" t="s">
        <v>24</v>
      </c>
      <c r="K752" s="61">
        <f t="shared" si="33"/>
        <v>1432700000</v>
      </c>
      <c r="L752" s="61">
        <f t="shared" si="34"/>
        <v>949100000</v>
      </c>
      <c r="M752" s="61">
        <f t="shared" si="35"/>
        <v>483600000</v>
      </c>
    </row>
    <row r="753" spans="1:13" x14ac:dyDescent="0.25">
      <c r="A753" t="s">
        <v>293</v>
      </c>
      <c r="B753" t="s">
        <v>11</v>
      </c>
      <c r="C753">
        <v>42637</v>
      </c>
      <c r="D753" s="61">
        <v>2832700000</v>
      </c>
      <c r="E753" s="61">
        <v>1269400000</v>
      </c>
      <c r="F753" s="61">
        <v>682400000</v>
      </c>
      <c r="G753" s="61">
        <v>232100000</v>
      </c>
      <c r="H753" s="61">
        <v>89700000</v>
      </c>
      <c r="I753" t="s">
        <v>19</v>
      </c>
      <c r="J753" t="s">
        <v>24</v>
      </c>
      <c r="K753" s="61">
        <f t="shared" si="33"/>
        <v>1563300000</v>
      </c>
      <c r="L753" s="61">
        <f t="shared" si="34"/>
        <v>1004200000</v>
      </c>
      <c r="M753" s="61">
        <f t="shared" si="35"/>
        <v>559100000</v>
      </c>
    </row>
    <row r="754" spans="1:13" x14ac:dyDescent="0.25">
      <c r="A754" t="s">
        <v>294</v>
      </c>
      <c r="B754" t="s">
        <v>6</v>
      </c>
      <c r="C754">
        <v>41639</v>
      </c>
      <c r="D754" s="61">
        <v>39055000000</v>
      </c>
      <c r="E754" s="61">
        <v>28364000000</v>
      </c>
      <c r="F754" s="61">
        <v>5190000000</v>
      </c>
      <c r="G754" s="61">
        <v>0</v>
      </c>
      <c r="H754" s="61">
        <v>0</v>
      </c>
      <c r="I754" t="s">
        <v>7</v>
      </c>
      <c r="J754" t="s">
        <v>158</v>
      </c>
      <c r="K754" s="61">
        <f t="shared" si="33"/>
        <v>10691000000</v>
      </c>
      <c r="L754" s="61">
        <f t="shared" si="34"/>
        <v>5190000000</v>
      </c>
      <c r="M754" s="61">
        <f t="shared" si="35"/>
        <v>5501000000</v>
      </c>
    </row>
    <row r="755" spans="1:13" x14ac:dyDescent="0.25">
      <c r="A755" t="s">
        <v>294</v>
      </c>
      <c r="B755" t="s">
        <v>9</v>
      </c>
      <c r="C755">
        <v>42004</v>
      </c>
      <c r="D755" s="61">
        <v>40306000000</v>
      </c>
      <c r="E755" s="61">
        <v>28957000000</v>
      </c>
      <c r="F755" s="61">
        <v>5518000000</v>
      </c>
      <c r="G755" s="61">
        <v>0</v>
      </c>
      <c r="H755" s="61">
        <v>0</v>
      </c>
      <c r="I755" t="s">
        <v>7</v>
      </c>
      <c r="J755" t="s">
        <v>158</v>
      </c>
      <c r="K755" s="61">
        <f t="shared" si="33"/>
        <v>11349000000</v>
      </c>
      <c r="L755" s="61">
        <f t="shared" si="34"/>
        <v>5518000000</v>
      </c>
      <c r="M755" s="61">
        <f t="shared" si="35"/>
        <v>5831000000</v>
      </c>
    </row>
    <row r="756" spans="1:13" x14ac:dyDescent="0.25">
      <c r="A756" t="s">
        <v>294</v>
      </c>
      <c r="B756" t="s">
        <v>10</v>
      </c>
      <c r="C756">
        <v>42369</v>
      </c>
      <c r="D756" s="61">
        <v>38581000000</v>
      </c>
      <c r="E756" s="61">
        <v>26747000000</v>
      </c>
      <c r="F756" s="61">
        <v>5006000000</v>
      </c>
      <c r="G756" s="61">
        <v>0</v>
      </c>
      <c r="H756" s="61">
        <v>0</v>
      </c>
      <c r="I756" t="s">
        <v>7</v>
      </c>
      <c r="J756" t="s">
        <v>158</v>
      </c>
      <c r="K756" s="61">
        <f t="shared" si="33"/>
        <v>11834000000</v>
      </c>
      <c r="L756" s="61">
        <f t="shared" si="34"/>
        <v>5006000000</v>
      </c>
      <c r="M756" s="61">
        <f t="shared" si="35"/>
        <v>6828000000</v>
      </c>
    </row>
    <row r="757" spans="1:13" x14ac:dyDescent="0.25">
      <c r="A757" t="s">
        <v>294</v>
      </c>
      <c r="B757" t="s">
        <v>11</v>
      </c>
      <c r="C757">
        <v>42735</v>
      </c>
      <c r="D757" s="61">
        <v>39302000000</v>
      </c>
      <c r="E757" s="61">
        <v>27150000000</v>
      </c>
      <c r="F757" s="61">
        <v>5469000000</v>
      </c>
      <c r="G757" s="61">
        <v>0</v>
      </c>
      <c r="H757" s="61">
        <v>0</v>
      </c>
      <c r="I757" t="s">
        <v>7</v>
      </c>
      <c r="J757" t="s">
        <v>158</v>
      </c>
      <c r="K757" s="61">
        <f t="shared" si="33"/>
        <v>12152000000</v>
      </c>
      <c r="L757" s="61">
        <f t="shared" si="34"/>
        <v>5469000000</v>
      </c>
      <c r="M757" s="61">
        <f t="shared" si="35"/>
        <v>6683000000</v>
      </c>
    </row>
    <row r="758" spans="1:13" x14ac:dyDescent="0.25">
      <c r="A758" t="s">
        <v>295</v>
      </c>
      <c r="B758" t="s">
        <v>6</v>
      </c>
      <c r="C758">
        <v>41547</v>
      </c>
      <c r="D758" s="61">
        <v>3387614000</v>
      </c>
      <c r="E758" s="61">
        <v>1852768000</v>
      </c>
      <c r="F758" s="61">
        <v>126250000</v>
      </c>
      <c r="G758" s="61">
        <v>15235000</v>
      </c>
      <c r="H758" s="61">
        <v>455623000</v>
      </c>
      <c r="I758" t="s">
        <v>77</v>
      </c>
      <c r="J758" t="s">
        <v>296</v>
      </c>
      <c r="K758" s="61">
        <f t="shared" si="33"/>
        <v>1534846000</v>
      </c>
      <c r="L758" s="61">
        <f t="shared" si="34"/>
        <v>597108000</v>
      </c>
      <c r="M758" s="61">
        <f t="shared" si="35"/>
        <v>937738000</v>
      </c>
    </row>
    <row r="759" spans="1:13" x14ac:dyDescent="0.25">
      <c r="A759" t="s">
        <v>295</v>
      </c>
      <c r="B759" t="s">
        <v>9</v>
      </c>
      <c r="C759">
        <v>41912</v>
      </c>
      <c r="D759" s="61">
        <v>3715968000</v>
      </c>
      <c r="E759" s="61">
        <v>2006715000</v>
      </c>
      <c r="F759" s="61">
        <v>116190000</v>
      </c>
      <c r="G759" s="61">
        <v>15905000</v>
      </c>
      <c r="H759" s="61">
        <v>523984000</v>
      </c>
      <c r="I759" t="s">
        <v>77</v>
      </c>
      <c r="J759" t="s">
        <v>296</v>
      </c>
      <c r="K759" s="61">
        <f t="shared" si="33"/>
        <v>1709253000</v>
      </c>
      <c r="L759" s="61">
        <f t="shared" si="34"/>
        <v>656079000</v>
      </c>
      <c r="M759" s="61">
        <f t="shared" si="35"/>
        <v>1053174000</v>
      </c>
    </row>
    <row r="760" spans="1:13" x14ac:dyDescent="0.25">
      <c r="A760" t="s">
        <v>295</v>
      </c>
      <c r="B760" t="s">
        <v>10</v>
      </c>
      <c r="C760">
        <v>42277</v>
      </c>
      <c r="D760" s="61">
        <v>3161702000</v>
      </c>
      <c r="E760" s="61">
        <v>1703476000</v>
      </c>
      <c r="F760" s="61">
        <v>122878000</v>
      </c>
      <c r="G760" s="61">
        <v>16104000</v>
      </c>
      <c r="H760" s="61">
        <v>608039000</v>
      </c>
      <c r="I760" t="s">
        <v>77</v>
      </c>
      <c r="J760" t="s">
        <v>296</v>
      </c>
      <c r="K760" s="61">
        <f t="shared" si="33"/>
        <v>1458226000</v>
      </c>
      <c r="L760" s="61">
        <f t="shared" si="34"/>
        <v>747021000</v>
      </c>
      <c r="M760" s="61">
        <f t="shared" si="35"/>
        <v>711205000</v>
      </c>
    </row>
    <row r="761" spans="1:13" x14ac:dyDescent="0.25">
      <c r="A761" t="s">
        <v>295</v>
      </c>
      <c r="B761" t="s">
        <v>11</v>
      </c>
      <c r="C761">
        <v>42643</v>
      </c>
      <c r="D761" s="61">
        <v>1624232000</v>
      </c>
      <c r="E761" s="61">
        <v>898805000</v>
      </c>
      <c r="F761" s="61">
        <v>136287000</v>
      </c>
      <c r="G761" s="61">
        <v>10269000</v>
      </c>
      <c r="H761" s="61">
        <v>598587000</v>
      </c>
      <c r="I761" t="s">
        <v>77</v>
      </c>
      <c r="J761" t="s">
        <v>296</v>
      </c>
      <c r="K761" s="61">
        <f t="shared" si="33"/>
        <v>725427000</v>
      </c>
      <c r="L761" s="61">
        <f t="shared" si="34"/>
        <v>745143000</v>
      </c>
      <c r="M761" s="61">
        <f t="shared" si="35"/>
        <v>-19716000</v>
      </c>
    </row>
    <row r="762" spans="1:13" x14ac:dyDescent="0.25">
      <c r="A762" t="s">
        <v>297</v>
      </c>
      <c r="B762" t="s">
        <v>6</v>
      </c>
      <c r="C762">
        <v>41943</v>
      </c>
      <c r="D762" s="61">
        <v>55123000000</v>
      </c>
      <c r="E762" s="61">
        <v>39486000000</v>
      </c>
      <c r="F762" s="61">
        <v>8717000000</v>
      </c>
      <c r="G762" s="61">
        <v>2197000000</v>
      </c>
      <c r="H762" s="61">
        <v>906000000</v>
      </c>
      <c r="I762" t="s">
        <v>16</v>
      </c>
      <c r="J762" t="s">
        <v>298</v>
      </c>
      <c r="K762" s="61">
        <f t="shared" si="33"/>
        <v>15637000000</v>
      </c>
      <c r="L762" s="61">
        <f t="shared" si="34"/>
        <v>11820000000</v>
      </c>
      <c r="M762" s="61">
        <f t="shared" si="35"/>
        <v>3817000000</v>
      </c>
    </row>
    <row r="763" spans="1:13" x14ac:dyDescent="0.25">
      <c r="A763" t="s">
        <v>297</v>
      </c>
      <c r="B763" t="s">
        <v>9</v>
      </c>
      <c r="C763">
        <v>42308</v>
      </c>
      <c r="D763" s="61">
        <v>52107000000</v>
      </c>
      <c r="E763" s="61">
        <v>37168000000</v>
      </c>
      <c r="F763" s="61">
        <v>9047000000</v>
      </c>
      <c r="G763" s="61">
        <v>2338000000</v>
      </c>
      <c r="H763" s="61">
        <v>852000000</v>
      </c>
      <c r="I763" t="s">
        <v>16</v>
      </c>
      <c r="J763" t="s">
        <v>298</v>
      </c>
      <c r="K763" s="61">
        <f t="shared" si="33"/>
        <v>14939000000</v>
      </c>
      <c r="L763" s="61">
        <f t="shared" si="34"/>
        <v>12237000000</v>
      </c>
      <c r="M763" s="61">
        <f t="shared" si="35"/>
        <v>2702000000</v>
      </c>
    </row>
    <row r="764" spans="1:13" x14ac:dyDescent="0.25">
      <c r="A764" t="s">
        <v>297</v>
      </c>
      <c r="B764" t="s">
        <v>10</v>
      </c>
      <c r="C764">
        <v>42674</v>
      </c>
      <c r="D764" s="61">
        <v>50123000000</v>
      </c>
      <c r="E764" s="61">
        <v>35507000000</v>
      </c>
      <c r="F764" s="61">
        <v>8419000000</v>
      </c>
      <c r="G764" s="61">
        <v>2298000000</v>
      </c>
      <c r="H764" s="61">
        <v>755000000</v>
      </c>
      <c r="I764" t="s">
        <v>16</v>
      </c>
      <c r="J764" t="s">
        <v>298</v>
      </c>
      <c r="K764" s="61">
        <f t="shared" si="33"/>
        <v>14616000000</v>
      </c>
      <c r="L764" s="61">
        <f t="shared" si="34"/>
        <v>11472000000</v>
      </c>
      <c r="M764" s="61">
        <f t="shared" si="35"/>
        <v>3144000000</v>
      </c>
    </row>
    <row r="765" spans="1:13" x14ac:dyDescent="0.25">
      <c r="A765" t="s">
        <v>299</v>
      </c>
      <c r="B765" t="s">
        <v>6</v>
      </c>
      <c r="C765">
        <v>41578</v>
      </c>
      <c r="D765" s="61">
        <v>112298000000</v>
      </c>
      <c r="E765" s="61">
        <v>86380000000</v>
      </c>
      <c r="F765" s="61">
        <v>13267000000</v>
      </c>
      <c r="G765" s="61">
        <v>3135000000</v>
      </c>
      <c r="H765" s="61">
        <v>1373000000</v>
      </c>
      <c r="I765" t="s">
        <v>16</v>
      </c>
      <c r="J765" t="s">
        <v>17</v>
      </c>
      <c r="K765" s="61">
        <f t="shared" si="33"/>
        <v>25918000000</v>
      </c>
      <c r="L765" s="61">
        <f t="shared" si="34"/>
        <v>17775000000</v>
      </c>
      <c r="M765" s="61">
        <f t="shared" si="35"/>
        <v>8143000000</v>
      </c>
    </row>
    <row r="766" spans="1:13" x14ac:dyDescent="0.25">
      <c r="A766" t="s">
        <v>299</v>
      </c>
      <c r="B766" t="s">
        <v>9</v>
      </c>
      <c r="C766">
        <v>41943</v>
      </c>
      <c r="D766" s="61">
        <v>56651000000</v>
      </c>
      <c r="E766" s="61">
        <v>45431000000</v>
      </c>
      <c r="F766" s="61">
        <v>5361000000</v>
      </c>
      <c r="G766" s="61">
        <v>1298000000</v>
      </c>
      <c r="H766" s="61">
        <v>129000000</v>
      </c>
      <c r="I766" t="s">
        <v>16</v>
      </c>
      <c r="J766" t="s">
        <v>17</v>
      </c>
      <c r="K766" s="61">
        <f t="shared" si="33"/>
        <v>11220000000</v>
      </c>
      <c r="L766" s="61">
        <f t="shared" si="34"/>
        <v>6788000000</v>
      </c>
      <c r="M766" s="61">
        <f t="shared" si="35"/>
        <v>4432000000</v>
      </c>
    </row>
    <row r="767" spans="1:13" x14ac:dyDescent="0.25">
      <c r="A767" t="s">
        <v>299</v>
      </c>
      <c r="B767" t="s">
        <v>10</v>
      </c>
      <c r="C767">
        <v>42308</v>
      </c>
      <c r="D767" s="61">
        <v>51463000000</v>
      </c>
      <c r="E767" s="61">
        <v>41524000000</v>
      </c>
      <c r="F767" s="61">
        <v>4663000000</v>
      </c>
      <c r="G767" s="61">
        <v>1191000000</v>
      </c>
      <c r="H767" s="61">
        <v>102000000</v>
      </c>
      <c r="I767" t="s">
        <v>16</v>
      </c>
      <c r="J767" t="s">
        <v>17</v>
      </c>
      <c r="K767" s="61">
        <f t="shared" si="33"/>
        <v>9939000000</v>
      </c>
      <c r="L767" s="61">
        <f t="shared" si="34"/>
        <v>5956000000</v>
      </c>
      <c r="M767" s="61">
        <f t="shared" si="35"/>
        <v>3983000000</v>
      </c>
    </row>
    <row r="768" spans="1:13" x14ac:dyDescent="0.25">
      <c r="A768" t="s">
        <v>299</v>
      </c>
      <c r="B768" t="s">
        <v>11</v>
      </c>
      <c r="C768">
        <v>42674</v>
      </c>
      <c r="D768" s="61">
        <v>48238000000</v>
      </c>
      <c r="E768" s="61">
        <v>39240000000</v>
      </c>
      <c r="F768" s="61">
        <v>4019000000</v>
      </c>
      <c r="G768" s="61">
        <v>1209000000</v>
      </c>
      <c r="H768" s="61">
        <v>16000000</v>
      </c>
      <c r="I768" t="s">
        <v>16</v>
      </c>
      <c r="J768" t="s">
        <v>17</v>
      </c>
      <c r="K768" s="61">
        <f t="shared" si="33"/>
        <v>8998000000</v>
      </c>
      <c r="L768" s="61">
        <f t="shared" si="34"/>
        <v>5244000000</v>
      </c>
      <c r="M768" s="61">
        <f t="shared" si="35"/>
        <v>3754000000</v>
      </c>
    </row>
    <row r="769" spans="1:13" x14ac:dyDescent="0.25">
      <c r="A769" t="s">
        <v>300</v>
      </c>
      <c r="B769" t="s">
        <v>6</v>
      </c>
      <c r="C769">
        <v>41394</v>
      </c>
      <c r="D769" s="61">
        <v>2807114000</v>
      </c>
      <c r="E769" s="61">
        <v>1123773000</v>
      </c>
      <c r="F769" s="61">
        <v>828095000</v>
      </c>
      <c r="G769" s="61">
        <v>0</v>
      </c>
      <c r="H769" s="61">
        <v>92407000</v>
      </c>
      <c r="I769" t="s">
        <v>41</v>
      </c>
      <c r="J769" t="s">
        <v>94</v>
      </c>
      <c r="K769" s="61">
        <f t="shared" si="33"/>
        <v>1683341000</v>
      </c>
      <c r="L769" s="61">
        <f t="shared" si="34"/>
        <v>920502000</v>
      </c>
      <c r="M769" s="61">
        <f t="shared" si="35"/>
        <v>762839000</v>
      </c>
    </row>
    <row r="770" spans="1:13" x14ac:dyDescent="0.25">
      <c r="A770" t="s">
        <v>300</v>
      </c>
      <c r="B770" t="s">
        <v>9</v>
      </c>
      <c r="C770">
        <v>41759</v>
      </c>
      <c r="D770" s="61">
        <v>3024295000</v>
      </c>
      <c r="E770" s="61">
        <v>1179405000</v>
      </c>
      <c r="F770" s="61">
        <v>830789000</v>
      </c>
      <c r="G770" s="61">
        <v>0</v>
      </c>
      <c r="H770" s="61">
        <v>115604000</v>
      </c>
      <c r="I770" t="s">
        <v>41</v>
      </c>
      <c r="J770" t="s">
        <v>94</v>
      </c>
      <c r="K770" s="61">
        <f t="shared" ref="K770:K833" si="36">D770-E770</f>
        <v>1844890000</v>
      </c>
      <c r="L770" s="61">
        <f t="shared" ref="L770:L833" si="37">F770+G770+H770</f>
        <v>946393000</v>
      </c>
      <c r="M770" s="61">
        <f t="shared" si="35"/>
        <v>898497000</v>
      </c>
    </row>
    <row r="771" spans="1:13" x14ac:dyDescent="0.25">
      <c r="A771" t="s">
        <v>300</v>
      </c>
      <c r="B771" t="s">
        <v>10</v>
      </c>
      <c r="C771">
        <v>42124</v>
      </c>
      <c r="D771" s="61">
        <v>3078658000</v>
      </c>
      <c r="E771" s="61">
        <v>1231104000</v>
      </c>
      <c r="F771" s="61">
        <v>818091000</v>
      </c>
      <c r="G771" s="61">
        <v>0</v>
      </c>
      <c r="H771" s="61">
        <v>159804000</v>
      </c>
      <c r="I771" t="s">
        <v>41</v>
      </c>
      <c r="J771" t="s">
        <v>94</v>
      </c>
      <c r="K771" s="61">
        <f t="shared" si="36"/>
        <v>1847554000</v>
      </c>
      <c r="L771" s="61">
        <f t="shared" si="37"/>
        <v>977895000</v>
      </c>
      <c r="M771" s="61">
        <f t="shared" ref="M771:M834" si="38">K771-L771</f>
        <v>869659000</v>
      </c>
    </row>
    <row r="772" spans="1:13" x14ac:dyDescent="0.25">
      <c r="A772" t="s">
        <v>300</v>
      </c>
      <c r="B772" t="s">
        <v>11</v>
      </c>
      <c r="C772">
        <v>42490</v>
      </c>
      <c r="D772" s="61">
        <v>3038153000</v>
      </c>
      <c r="E772" s="61">
        <v>1250320000</v>
      </c>
      <c r="F772" s="61">
        <v>905648000</v>
      </c>
      <c r="G772" s="61">
        <v>0</v>
      </c>
      <c r="H772" s="61">
        <v>173598000</v>
      </c>
      <c r="I772" t="s">
        <v>41</v>
      </c>
      <c r="J772" t="s">
        <v>94</v>
      </c>
      <c r="K772" s="61">
        <f t="shared" si="36"/>
        <v>1787833000</v>
      </c>
      <c r="L772" s="61">
        <f t="shared" si="37"/>
        <v>1079246000</v>
      </c>
      <c r="M772" s="61">
        <f t="shared" si="38"/>
        <v>708587000</v>
      </c>
    </row>
    <row r="773" spans="1:13" x14ac:dyDescent="0.25">
      <c r="A773" t="s">
        <v>301</v>
      </c>
      <c r="B773" t="s">
        <v>6</v>
      </c>
      <c r="C773">
        <v>41574</v>
      </c>
      <c r="D773" s="61">
        <v>8751654000</v>
      </c>
      <c r="E773" s="61">
        <v>7338838000</v>
      </c>
      <c r="F773" s="61">
        <v>627340000</v>
      </c>
      <c r="G773" s="61">
        <v>0</v>
      </c>
      <c r="H773" s="61">
        <v>0</v>
      </c>
      <c r="I773" t="s">
        <v>30</v>
      </c>
      <c r="J773" t="s">
        <v>118</v>
      </c>
      <c r="K773" s="61">
        <f t="shared" si="36"/>
        <v>1412816000</v>
      </c>
      <c r="L773" s="61">
        <f t="shared" si="37"/>
        <v>627340000</v>
      </c>
      <c r="M773" s="61">
        <f t="shared" si="38"/>
        <v>785476000</v>
      </c>
    </row>
    <row r="774" spans="1:13" x14ac:dyDescent="0.25">
      <c r="A774" t="s">
        <v>301</v>
      </c>
      <c r="B774" t="s">
        <v>9</v>
      </c>
      <c r="C774">
        <v>41938</v>
      </c>
      <c r="D774" s="61">
        <v>9316256000</v>
      </c>
      <c r="E774" s="61">
        <v>7751273000</v>
      </c>
      <c r="F774" s="61">
        <v>650948000</v>
      </c>
      <c r="G774" s="61">
        <v>0</v>
      </c>
      <c r="H774" s="61">
        <v>0</v>
      </c>
      <c r="I774" t="s">
        <v>30</v>
      </c>
      <c r="J774" t="s">
        <v>118</v>
      </c>
      <c r="K774" s="61">
        <f t="shared" si="36"/>
        <v>1564983000</v>
      </c>
      <c r="L774" s="61">
        <f t="shared" si="37"/>
        <v>650948000</v>
      </c>
      <c r="M774" s="61">
        <f t="shared" si="38"/>
        <v>914035000</v>
      </c>
    </row>
    <row r="775" spans="1:13" x14ac:dyDescent="0.25">
      <c r="A775" t="s">
        <v>301</v>
      </c>
      <c r="B775" t="s">
        <v>10</v>
      </c>
      <c r="C775">
        <v>42308</v>
      </c>
      <c r="D775" s="61">
        <v>9263863000</v>
      </c>
      <c r="E775" s="61">
        <v>7455282000</v>
      </c>
      <c r="F775" s="61">
        <v>743611000</v>
      </c>
      <c r="G775" s="61">
        <v>0</v>
      </c>
      <c r="H775" s="61">
        <v>0</v>
      </c>
      <c r="I775" t="s">
        <v>30</v>
      </c>
      <c r="J775" t="s">
        <v>118</v>
      </c>
      <c r="K775" s="61">
        <f t="shared" si="36"/>
        <v>1808581000</v>
      </c>
      <c r="L775" s="61">
        <f t="shared" si="37"/>
        <v>743611000</v>
      </c>
      <c r="M775" s="61">
        <f t="shared" si="38"/>
        <v>1064970000</v>
      </c>
    </row>
    <row r="776" spans="1:13" x14ac:dyDescent="0.25">
      <c r="A776" t="s">
        <v>301</v>
      </c>
      <c r="B776" t="s">
        <v>11</v>
      </c>
      <c r="C776">
        <v>42673</v>
      </c>
      <c r="D776" s="61">
        <v>9523224000</v>
      </c>
      <c r="E776" s="61">
        <v>7365049000</v>
      </c>
      <c r="F776" s="61">
        <v>871974000</v>
      </c>
      <c r="G776" s="61">
        <v>0</v>
      </c>
      <c r="H776" s="61">
        <v>0</v>
      </c>
      <c r="I776" t="s">
        <v>30</v>
      </c>
      <c r="J776" t="s">
        <v>118</v>
      </c>
      <c r="K776" s="61">
        <f t="shared" si="36"/>
        <v>2158175000</v>
      </c>
      <c r="L776" s="61">
        <f t="shared" si="37"/>
        <v>871974000</v>
      </c>
      <c r="M776" s="61">
        <f t="shared" si="38"/>
        <v>1286201000</v>
      </c>
    </row>
    <row r="777" spans="1:13" x14ac:dyDescent="0.25">
      <c r="A777" t="s">
        <v>302</v>
      </c>
      <c r="B777" t="s">
        <v>6</v>
      </c>
      <c r="C777">
        <v>41453</v>
      </c>
      <c r="D777" s="61">
        <v>5112000000</v>
      </c>
      <c r="E777" s="61">
        <v>3385000000</v>
      </c>
      <c r="F777" s="61">
        <v>914000000</v>
      </c>
      <c r="G777" s="61">
        <v>0</v>
      </c>
      <c r="H777" s="61">
        <v>0</v>
      </c>
      <c r="I777" t="s">
        <v>16</v>
      </c>
      <c r="J777" t="s">
        <v>303</v>
      </c>
      <c r="K777" s="61">
        <f t="shared" si="36"/>
        <v>1727000000</v>
      </c>
      <c r="L777" s="61">
        <f t="shared" si="37"/>
        <v>914000000</v>
      </c>
      <c r="M777" s="61">
        <f t="shared" si="38"/>
        <v>813000000</v>
      </c>
    </row>
    <row r="778" spans="1:13" x14ac:dyDescent="0.25">
      <c r="A778" t="s">
        <v>302</v>
      </c>
      <c r="B778" t="s">
        <v>9</v>
      </c>
      <c r="C778">
        <v>41817</v>
      </c>
      <c r="D778" s="61">
        <v>5012000000</v>
      </c>
      <c r="E778" s="61">
        <v>3310000000</v>
      </c>
      <c r="F778" s="61">
        <v>820000000</v>
      </c>
      <c r="G778" s="61">
        <v>0</v>
      </c>
      <c r="H778" s="61">
        <v>0</v>
      </c>
      <c r="I778" t="s">
        <v>16</v>
      </c>
      <c r="J778" t="s">
        <v>303</v>
      </c>
      <c r="K778" s="61">
        <f t="shared" si="36"/>
        <v>1702000000</v>
      </c>
      <c r="L778" s="61">
        <f t="shared" si="37"/>
        <v>820000000</v>
      </c>
      <c r="M778" s="61">
        <f t="shared" si="38"/>
        <v>882000000</v>
      </c>
    </row>
    <row r="779" spans="1:13" x14ac:dyDescent="0.25">
      <c r="A779" t="s">
        <v>302</v>
      </c>
      <c r="B779" t="s">
        <v>10</v>
      </c>
      <c r="C779">
        <v>42188</v>
      </c>
      <c r="D779" s="61">
        <v>5083000000</v>
      </c>
      <c r="E779" s="61">
        <v>3348000000</v>
      </c>
      <c r="F779" s="61">
        <v>976000000</v>
      </c>
      <c r="G779" s="61">
        <v>0</v>
      </c>
      <c r="H779" s="61">
        <v>0</v>
      </c>
      <c r="I779" t="s">
        <v>16</v>
      </c>
      <c r="J779" t="s">
        <v>303</v>
      </c>
      <c r="K779" s="61">
        <f t="shared" si="36"/>
        <v>1735000000</v>
      </c>
      <c r="L779" s="61">
        <f t="shared" si="37"/>
        <v>976000000</v>
      </c>
      <c r="M779" s="61">
        <f t="shared" si="38"/>
        <v>759000000</v>
      </c>
    </row>
    <row r="780" spans="1:13" x14ac:dyDescent="0.25">
      <c r="A780" t="s">
        <v>302</v>
      </c>
      <c r="B780" t="s">
        <v>11</v>
      </c>
      <c r="C780">
        <v>42552</v>
      </c>
      <c r="D780" s="61">
        <v>7467000000</v>
      </c>
      <c r="E780" s="61">
        <v>5132000000</v>
      </c>
      <c r="F780" s="61">
        <v>1186000000</v>
      </c>
      <c r="G780" s="61">
        <v>0</v>
      </c>
      <c r="H780" s="61">
        <v>0</v>
      </c>
      <c r="I780" t="s">
        <v>16</v>
      </c>
      <c r="J780" t="s">
        <v>303</v>
      </c>
      <c r="K780" s="61">
        <f t="shared" si="36"/>
        <v>2335000000</v>
      </c>
      <c r="L780" s="61">
        <f t="shared" si="37"/>
        <v>1186000000</v>
      </c>
      <c r="M780" s="61">
        <f t="shared" si="38"/>
        <v>1149000000</v>
      </c>
    </row>
    <row r="781" spans="1:13" x14ac:dyDescent="0.25">
      <c r="A781" t="s">
        <v>304</v>
      </c>
      <c r="B781" t="s">
        <v>6</v>
      </c>
      <c r="C781">
        <v>41272</v>
      </c>
      <c r="D781" s="61">
        <v>8939967000</v>
      </c>
      <c r="E781" s="61">
        <v>6432454000</v>
      </c>
      <c r="F781" s="61">
        <v>1873360000</v>
      </c>
      <c r="G781" s="61">
        <v>0</v>
      </c>
      <c r="H781" s="61">
        <v>0</v>
      </c>
      <c r="I781" t="s">
        <v>19</v>
      </c>
      <c r="J781" t="s">
        <v>22</v>
      </c>
      <c r="K781" s="61">
        <f t="shared" si="36"/>
        <v>2507513000</v>
      </c>
      <c r="L781" s="61">
        <f t="shared" si="37"/>
        <v>1873360000</v>
      </c>
      <c r="M781" s="61">
        <f t="shared" si="38"/>
        <v>634153000</v>
      </c>
    </row>
    <row r="782" spans="1:13" x14ac:dyDescent="0.25">
      <c r="A782" t="s">
        <v>304</v>
      </c>
      <c r="B782" t="s">
        <v>9</v>
      </c>
      <c r="C782">
        <v>41636</v>
      </c>
      <c r="D782" s="61">
        <v>9560647000</v>
      </c>
      <c r="E782" s="61">
        <v>6904633000</v>
      </c>
      <c r="F782" s="61">
        <v>1978960000</v>
      </c>
      <c r="G782" s="61">
        <v>0</v>
      </c>
      <c r="H782" s="61">
        <v>0</v>
      </c>
      <c r="I782" t="s">
        <v>19</v>
      </c>
      <c r="J782" t="s">
        <v>22</v>
      </c>
      <c r="K782" s="61">
        <f t="shared" si="36"/>
        <v>2656014000</v>
      </c>
      <c r="L782" s="61">
        <f t="shared" si="37"/>
        <v>1978960000</v>
      </c>
      <c r="M782" s="61">
        <f t="shared" si="38"/>
        <v>677054000</v>
      </c>
    </row>
    <row r="783" spans="1:13" x14ac:dyDescent="0.25">
      <c r="A783" t="s">
        <v>304</v>
      </c>
      <c r="B783" t="s">
        <v>10</v>
      </c>
      <c r="C783">
        <v>42000</v>
      </c>
      <c r="D783" s="61">
        <v>10371390000</v>
      </c>
      <c r="E783" s="61">
        <v>7460075000</v>
      </c>
      <c r="F783" s="61">
        <v>2196173000</v>
      </c>
      <c r="G783" s="61">
        <v>0</v>
      </c>
      <c r="H783" s="61">
        <v>0</v>
      </c>
      <c r="I783" t="s">
        <v>19</v>
      </c>
      <c r="J783" t="s">
        <v>22</v>
      </c>
      <c r="K783" s="61">
        <f t="shared" si="36"/>
        <v>2911315000</v>
      </c>
      <c r="L783" s="61">
        <f t="shared" si="37"/>
        <v>2196173000</v>
      </c>
      <c r="M783" s="61">
        <f t="shared" si="38"/>
        <v>715142000</v>
      </c>
    </row>
    <row r="784" spans="1:13" x14ac:dyDescent="0.25">
      <c r="A784" t="s">
        <v>304</v>
      </c>
      <c r="B784" t="s">
        <v>11</v>
      </c>
      <c r="C784">
        <v>42364</v>
      </c>
      <c r="D784" s="61">
        <v>10629719000</v>
      </c>
      <c r="E784" s="61">
        <v>7617460000</v>
      </c>
      <c r="F784" s="61">
        <v>2243356000</v>
      </c>
      <c r="G784" s="61">
        <v>0</v>
      </c>
      <c r="H784" s="61">
        <v>0</v>
      </c>
      <c r="I784" t="s">
        <v>19</v>
      </c>
      <c r="J784" t="s">
        <v>22</v>
      </c>
      <c r="K784" s="61">
        <f t="shared" si="36"/>
        <v>3012259000</v>
      </c>
      <c r="L784" s="61">
        <f t="shared" si="37"/>
        <v>2243356000</v>
      </c>
      <c r="M784" s="61">
        <f t="shared" si="38"/>
        <v>768903000</v>
      </c>
    </row>
    <row r="785" spans="1:13" x14ac:dyDescent="0.25">
      <c r="A785" t="s">
        <v>305</v>
      </c>
      <c r="B785" t="s">
        <v>6</v>
      </c>
      <c r="C785">
        <v>41274</v>
      </c>
      <c r="D785" s="61">
        <v>5059000000</v>
      </c>
      <c r="E785" s="61">
        <v>1885000000</v>
      </c>
      <c r="F785" s="61">
        <v>2101000000</v>
      </c>
      <c r="G785" s="61">
        <v>0</v>
      </c>
      <c r="H785" s="61">
        <v>722000000</v>
      </c>
      <c r="I785" t="s">
        <v>46</v>
      </c>
      <c r="J785" t="s">
        <v>47</v>
      </c>
      <c r="K785" s="61">
        <f t="shared" si="36"/>
        <v>3174000000</v>
      </c>
      <c r="L785" s="61">
        <f t="shared" si="37"/>
        <v>2823000000</v>
      </c>
      <c r="M785" s="61">
        <f t="shared" si="38"/>
        <v>351000000</v>
      </c>
    </row>
    <row r="786" spans="1:13" x14ac:dyDescent="0.25">
      <c r="A786" t="s">
        <v>305</v>
      </c>
      <c r="B786" t="s">
        <v>9</v>
      </c>
      <c r="C786">
        <v>41639</v>
      </c>
      <c r="D786" s="61">
        <v>5166000000</v>
      </c>
      <c r="E786" s="61">
        <v>1989000000</v>
      </c>
      <c r="F786" s="61">
        <v>1968000000</v>
      </c>
      <c r="G786" s="61">
        <v>0</v>
      </c>
      <c r="H786" s="61">
        <v>697000000</v>
      </c>
      <c r="I786" t="s">
        <v>46</v>
      </c>
      <c r="J786" t="s">
        <v>47</v>
      </c>
      <c r="K786" s="61">
        <f t="shared" si="36"/>
        <v>3177000000</v>
      </c>
      <c r="L786" s="61">
        <f t="shared" si="37"/>
        <v>2665000000</v>
      </c>
      <c r="M786" s="61">
        <f t="shared" si="38"/>
        <v>512000000</v>
      </c>
    </row>
    <row r="787" spans="1:13" x14ac:dyDescent="0.25">
      <c r="A787" t="s">
        <v>305</v>
      </c>
      <c r="B787" t="s">
        <v>10</v>
      </c>
      <c r="C787">
        <v>42004</v>
      </c>
      <c r="D787" s="61">
        <v>5354000000</v>
      </c>
      <c r="E787" s="61">
        <v>2033000000</v>
      </c>
      <c r="F787" s="61">
        <v>1920000000</v>
      </c>
      <c r="G787" s="61">
        <v>0</v>
      </c>
      <c r="H787" s="61">
        <v>701000000</v>
      </c>
      <c r="I787" t="s">
        <v>46</v>
      </c>
      <c r="J787" t="s">
        <v>47</v>
      </c>
      <c r="K787" s="61">
        <f t="shared" si="36"/>
        <v>3321000000</v>
      </c>
      <c r="L787" s="61">
        <f t="shared" si="37"/>
        <v>2621000000</v>
      </c>
      <c r="M787" s="61">
        <f t="shared" si="38"/>
        <v>700000000</v>
      </c>
    </row>
    <row r="788" spans="1:13" x14ac:dyDescent="0.25">
      <c r="A788" t="s">
        <v>305</v>
      </c>
      <c r="B788" t="s">
        <v>11</v>
      </c>
      <c r="C788">
        <v>42369</v>
      </c>
      <c r="D788" s="61">
        <v>5387000000</v>
      </c>
      <c r="E788" s="61">
        <v>2012000000</v>
      </c>
      <c r="F788" s="61">
        <v>2011000000</v>
      </c>
      <c r="G788" s="61">
        <v>0</v>
      </c>
      <c r="H788" s="61">
        <v>716000000</v>
      </c>
      <c r="I788" t="s">
        <v>46</v>
      </c>
      <c r="J788" t="s">
        <v>47</v>
      </c>
      <c r="K788" s="61">
        <f t="shared" si="36"/>
        <v>3375000000</v>
      </c>
      <c r="L788" s="61">
        <f t="shared" si="37"/>
        <v>2727000000</v>
      </c>
      <c r="M788" s="61">
        <f t="shared" si="38"/>
        <v>648000000</v>
      </c>
    </row>
    <row r="789" spans="1:13" x14ac:dyDescent="0.25">
      <c r="A789" t="s">
        <v>306</v>
      </c>
      <c r="B789" t="s">
        <v>6</v>
      </c>
      <c r="C789">
        <v>41274</v>
      </c>
      <c r="D789" s="61">
        <v>6644252000</v>
      </c>
      <c r="E789" s="61">
        <v>3784370000</v>
      </c>
      <c r="F789" s="61">
        <v>1703796000</v>
      </c>
      <c r="G789" s="61">
        <v>0</v>
      </c>
      <c r="H789" s="61">
        <v>0</v>
      </c>
      <c r="I789" t="s">
        <v>30</v>
      </c>
      <c r="J789" t="s">
        <v>118</v>
      </c>
      <c r="K789" s="61">
        <f t="shared" si="36"/>
        <v>2859882000</v>
      </c>
      <c r="L789" s="61">
        <f t="shared" si="37"/>
        <v>1703796000</v>
      </c>
      <c r="M789" s="61">
        <f t="shared" si="38"/>
        <v>1156086000</v>
      </c>
    </row>
    <row r="790" spans="1:13" x14ac:dyDescent="0.25">
      <c r="A790" t="s">
        <v>306</v>
      </c>
      <c r="B790" t="s">
        <v>9</v>
      </c>
      <c r="C790">
        <v>41639</v>
      </c>
      <c r="D790" s="61">
        <v>7146079000</v>
      </c>
      <c r="E790" s="61">
        <v>3865231000</v>
      </c>
      <c r="F790" s="61">
        <v>1924132000</v>
      </c>
      <c r="G790" s="61">
        <v>0</v>
      </c>
      <c r="H790" s="61">
        <v>0</v>
      </c>
      <c r="I790" t="s">
        <v>30</v>
      </c>
      <c r="J790" t="s">
        <v>118</v>
      </c>
      <c r="K790" s="61">
        <f t="shared" si="36"/>
        <v>3280848000</v>
      </c>
      <c r="L790" s="61">
        <f t="shared" si="37"/>
        <v>1924132000</v>
      </c>
      <c r="M790" s="61">
        <f t="shared" si="38"/>
        <v>1356716000</v>
      </c>
    </row>
    <row r="791" spans="1:13" x14ac:dyDescent="0.25">
      <c r="A791" t="s">
        <v>306</v>
      </c>
      <c r="B791" t="s">
        <v>10</v>
      </c>
      <c r="C791">
        <v>42004</v>
      </c>
      <c r="D791" s="61">
        <v>7421768000</v>
      </c>
      <c r="E791" s="61">
        <v>4085602000</v>
      </c>
      <c r="F791" s="61">
        <v>1898284000</v>
      </c>
      <c r="G791" s="61">
        <v>0</v>
      </c>
      <c r="H791" s="61">
        <v>0</v>
      </c>
      <c r="I791" t="s">
        <v>30</v>
      </c>
      <c r="J791" t="s">
        <v>118</v>
      </c>
      <c r="K791" s="61">
        <f t="shared" si="36"/>
        <v>3336166000</v>
      </c>
      <c r="L791" s="61">
        <f t="shared" si="37"/>
        <v>1898284000</v>
      </c>
      <c r="M791" s="61">
        <f t="shared" si="38"/>
        <v>1437882000</v>
      </c>
    </row>
    <row r="792" spans="1:13" x14ac:dyDescent="0.25">
      <c r="A792" t="s">
        <v>306</v>
      </c>
      <c r="B792" t="s">
        <v>11</v>
      </c>
      <c r="C792">
        <v>42369</v>
      </c>
      <c r="D792" s="61">
        <v>7386626000</v>
      </c>
      <c r="E792" s="61">
        <v>4003951000</v>
      </c>
      <c r="F792" s="61">
        <v>1969308000</v>
      </c>
      <c r="G792" s="61">
        <v>0</v>
      </c>
      <c r="H792" s="61">
        <v>0</v>
      </c>
      <c r="I792" t="s">
        <v>30</v>
      </c>
      <c r="J792" t="s">
        <v>118</v>
      </c>
      <c r="K792" s="61">
        <f t="shared" si="36"/>
        <v>3382675000</v>
      </c>
      <c r="L792" s="61">
        <f t="shared" si="37"/>
        <v>1969308000</v>
      </c>
      <c r="M792" s="61">
        <f t="shared" si="38"/>
        <v>1413367000</v>
      </c>
    </row>
    <row r="793" spans="1:13" x14ac:dyDescent="0.25">
      <c r="A793" t="s">
        <v>307</v>
      </c>
      <c r="B793" t="s">
        <v>6</v>
      </c>
      <c r="C793">
        <v>41639</v>
      </c>
      <c r="D793" s="61">
        <v>41313000000</v>
      </c>
      <c r="E793" s="61">
        <v>32564000000</v>
      </c>
      <c r="F793" s="61">
        <v>0</v>
      </c>
      <c r="G793" s="61">
        <v>0</v>
      </c>
      <c r="H793" s="61">
        <v>6688000000</v>
      </c>
      <c r="I793" t="s">
        <v>19</v>
      </c>
      <c r="J793" t="s">
        <v>75</v>
      </c>
      <c r="K793" s="61">
        <f t="shared" si="36"/>
        <v>8749000000</v>
      </c>
      <c r="L793" s="61">
        <f t="shared" si="37"/>
        <v>6688000000</v>
      </c>
      <c r="M793" s="61">
        <f t="shared" si="38"/>
        <v>2061000000</v>
      </c>
    </row>
    <row r="794" spans="1:13" x14ac:dyDescent="0.25">
      <c r="A794" t="s">
        <v>307</v>
      </c>
      <c r="B794" t="s">
        <v>9</v>
      </c>
      <c r="C794">
        <v>42004</v>
      </c>
      <c r="D794" s="61">
        <v>48500000000</v>
      </c>
      <c r="E794" s="61">
        <v>38166000000</v>
      </c>
      <c r="F794" s="61">
        <v>0</v>
      </c>
      <c r="G794" s="61">
        <v>0</v>
      </c>
      <c r="H794" s="61">
        <v>7972000000</v>
      </c>
      <c r="I794" t="s">
        <v>19</v>
      </c>
      <c r="J794" t="s">
        <v>75</v>
      </c>
      <c r="K794" s="61">
        <f t="shared" si="36"/>
        <v>10334000000</v>
      </c>
      <c r="L794" s="61">
        <f t="shared" si="37"/>
        <v>7972000000</v>
      </c>
      <c r="M794" s="61">
        <f t="shared" si="38"/>
        <v>2362000000</v>
      </c>
    </row>
    <row r="795" spans="1:13" x14ac:dyDescent="0.25">
      <c r="A795" t="s">
        <v>307</v>
      </c>
      <c r="B795" t="s">
        <v>10</v>
      </c>
      <c r="C795">
        <v>42369</v>
      </c>
      <c r="D795" s="61">
        <v>54289000000</v>
      </c>
      <c r="E795" s="61">
        <v>44269000000</v>
      </c>
      <c r="F795" s="61">
        <v>0</v>
      </c>
      <c r="G795" s="61">
        <v>0</v>
      </c>
      <c r="H795" s="61">
        <v>7673000000</v>
      </c>
      <c r="I795" t="s">
        <v>19</v>
      </c>
      <c r="J795" t="s">
        <v>75</v>
      </c>
      <c r="K795" s="61">
        <f t="shared" si="36"/>
        <v>10020000000</v>
      </c>
      <c r="L795" s="61">
        <f t="shared" si="37"/>
        <v>7673000000</v>
      </c>
      <c r="M795" s="61">
        <f t="shared" si="38"/>
        <v>2347000000</v>
      </c>
    </row>
    <row r="796" spans="1:13" x14ac:dyDescent="0.25">
      <c r="A796" t="s">
        <v>307</v>
      </c>
      <c r="B796" t="s">
        <v>11</v>
      </c>
      <c r="C796">
        <v>42735</v>
      </c>
      <c r="D796" s="61">
        <v>54379000000</v>
      </c>
      <c r="E796" s="61">
        <v>45007000000</v>
      </c>
      <c r="F796" s="61">
        <v>0</v>
      </c>
      <c r="G796" s="61">
        <v>0</v>
      </c>
      <c r="H796" s="61">
        <v>7631000000</v>
      </c>
      <c r="I796" t="s">
        <v>19</v>
      </c>
      <c r="J796" t="s">
        <v>75</v>
      </c>
      <c r="K796" s="61">
        <f t="shared" si="36"/>
        <v>9372000000</v>
      </c>
      <c r="L796" s="61">
        <f t="shared" si="37"/>
        <v>7631000000</v>
      </c>
      <c r="M796" s="61">
        <f t="shared" si="38"/>
        <v>1741000000</v>
      </c>
    </row>
    <row r="797" spans="1:13" x14ac:dyDescent="0.25">
      <c r="A797" t="s">
        <v>308</v>
      </c>
      <c r="B797" t="s">
        <v>6</v>
      </c>
      <c r="C797">
        <v>41274</v>
      </c>
      <c r="D797" s="61">
        <v>102874000000</v>
      </c>
      <c r="E797" s="61">
        <v>52513000000</v>
      </c>
      <c r="F797" s="61">
        <v>22389000000</v>
      </c>
      <c r="G797" s="61">
        <v>5816000000</v>
      </c>
      <c r="H797" s="61">
        <v>0</v>
      </c>
      <c r="I797" t="s">
        <v>16</v>
      </c>
      <c r="J797" t="s">
        <v>170</v>
      </c>
      <c r="K797" s="61">
        <f t="shared" si="36"/>
        <v>50361000000</v>
      </c>
      <c r="L797" s="61">
        <f t="shared" si="37"/>
        <v>28205000000</v>
      </c>
      <c r="M797" s="61">
        <f t="shared" si="38"/>
        <v>22156000000</v>
      </c>
    </row>
    <row r="798" spans="1:13" x14ac:dyDescent="0.25">
      <c r="A798" t="s">
        <v>308</v>
      </c>
      <c r="B798" t="s">
        <v>9</v>
      </c>
      <c r="C798">
        <v>41639</v>
      </c>
      <c r="D798" s="61">
        <v>98367000000</v>
      </c>
      <c r="E798" s="61">
        <v>49683000000</v>
      </c>
      <c r="F798" s="61">
        <v>22629000000</v>
      </c>
      <c r="G798" s="61">
        <v>5743000000</v>
      </c>
      <c r="H798" s="61">
        <v>0</v>
      </c>
      <c r="I798" t="s">
        <v>16</v>
      </c>
      <c r="J798" t="s">
        <v>170</v>
      </c>
      <c r="K798" s="61">
        <f t="shared" si="36"/>
        <v>48684000000</v>
      </c>
      <c r="L798" s="61">
        <f t="shared" si="37"/>
        <v>28372000000</v>
      </c>
      <c r="M798" s="61">
        <f t="shared" si="38"/>
        <v>20312000000</v>
      </c>
    </row>
    <row r="799" spans="1:13" x14ac:dyDescent="0.25">
      <c r="A799" t="s">
        <v>308</v>
      </c>
      <c r="B799" t="s">
        <v>10</v>
      </c>
      <c r="C799">
        <v>42004</v>
      </c>
      <c r="D799" s="61">
        <v>92793000000</v>
      </c>
      <c r="E799" s="61">
        <v>46386000000</v>
      </c>
      <c r="F799" s="61">
        <v>22438000000</v>
      </c>
      <c r="G799" s="61">
        <v>5437000000</v>
      </c>
      <c r="H799" s="61">
        <v>0</v>
      </c>
      <c r="I799" t="s">
        <v>16</v>
      </c>
      <c r="J799" t="s">
        <v>170</v>
      </c>
      <c r="K799" s="61">
        <f t="shared" si="36"/>
        <v>46407000000</v>
      </c>
      <c r="L799" s="61">
        <f t="shared" si="37"/>
        <v>27875000000</v>
      </c>
      <c r="M799" s="61">
        <f t="shared" si="38"/>
        <v>18532000000</v>
      </c>
    </row>
    <row r="800" spans="1:13" x14ac:dyDescent="0.25">
      <c r="A800" t="s">
        <v>308</v>
      </c>
      <c r="B800" t="s">
        <v>11</v>
      </c>
      <c r="C800">
        <v>42369</v>
      </c>
      <c r="D800" s="61">
        <v>81741000000</v>
      </c>
      <c r="E800" s="61">
        <v>41057000000</v>
      </c>
      <c r="F800" s="61">
        <v>19748000000</v>
      </c>
      <c r="G800" s="61">
        <v>5247000000</v>
      </c>
      <c r="H800" s="61">
        <v>0</v>
      </c>
      <c r="I800" t="s">
        <v>16</v>
      </c>
      <c r="J800" t="s">
        <v>170</v>
      </c>
      <c r="K800" s="61">
        <f t="shared" si="36"/>
        <v>40684000000</v>
      </c>
      <c r="L800" s="61">
        <f t="shared" si="37"/>
        <v>24995000000</v>
      </c>
      <c r="M800" s="61">
        <f t="shared" si="38"/>
        <v>15689000000</v>
      </c>
    </row>
    <row r="801" spans="1:13" x14ac:dyDescent="0.25">
      <c r="A801" t="s">
        <v>309</v>
      </c>
      <c r="B801" t="s">
        <v>6</v>
      </c>
      <c r="C801">
        <v>41274</v>
      </c>
      <c r="D801" s="61">
        <v>1293338000</v>
      </c>
      <c r="E801" s="61">
        <v>594190000</v>
      </c>
      <c r="F801" s="61">
        <v>354571000</v>
      </c>
      <c r="G801" s="61">
        <v>82014000</v>
      </c>
      <c r="H801" s="61">
        <v>0</v>
      </c>
      <c r="I801" t="s">
        <v>19</v>
      </c>
      <c r="J801" t="s">
        <v>24</v>
      </c>
      <c r="K801" s="61">
        <f t="shared" si="36"/>
        <v>699148000</v>
      </c>
      <c r="L801" s="61">
        <f t="shared" si="37"/>
        <v>436585000</v>
      </c>
      <c r="M801" s="61">
        <f t="shared" si="38"/>
        <v>262563000</v>
      </c>
    </row>
    <row r="802" spans="1:13" x14ac:dyDescent="0.25">
      <c r="A802" t="s">
        <v>309</v>
      </c>
      <c r="B802" t="s">
        <v>9</v>
      </c>
      <c r="C802">
        <v>41639</v>
      </c>
      <c r="D802" s="61">
        <v>1377058000</v>
      </c>
      <c r="E802" s="61">
        <v>620940000</v>
      </c>
      <c r="F802" s="61">
        <v>401353000</v>
      </c>
      <c r="G802" s="61">
        <v>88003000</v>
      </c>
      <c r="H802" s="61">
        <v>0</v>
      </c>
      <c r="I802" t="s">
        <v>19</v>
      </c>
      <c r="J802" t="s">
        <v>24</v>
      </c>
      <c r="K802" s="61">
        <f t="shared" si="36"/>
        <v>756118000</v>
      </c>
      <c r="L802" s="61">
        <f t="shared" si="37"/>
        <v>489356000</v>
      </c>
      <c r="M802" s="61">
        <f t="shared" si="38"/>
        <v>266762000</v>
      </c>
    </row>
    <row r="803" spans="1:13" x14ac:dyDescent="0.25">
      <c r="A803" t="s">
        <v>309</v>
      </c>
      <c r="B803" t="s">
        <v>10</v>
      </c>
      <c r="C803">
        <v>42004</v>
      </c>
      <c r="D803" s="61">
        <v>1485807000</v>
      </c>
      <c r="E803" s="61">
        <v>669691000</v>
      </c>
      <c r="F803" s="61">
        <v>457598000</v>
      </c>
      <c r="G803" s="61">
        <v>98263000</v>
      </c>
      <c r="H803" s="61">
        <v>0</v>
      </c>
      <c r="I803" t="s">
        <v>19</v>
      </c>
      <c r="J803" t="s">
        <v>24</v>
      </c>
      <c r="K803" s="61">
        <f t="shared" si="36"/>
        <v>816116000</v>
      </c>
      <c r="L803" s="61">
        <f t="shared" si="37"/>
        <v>555861000</v>
      </c>
      <c r="M803" s="61">
        <f t="shared" si="38"/>
        <v>260255000</v>
      </c>
    </row>
    <row r="804" spans="1:13" x14ac:dyDescent="0.25">
      <c r="A804" t="s">
        <v>309</v>
      </c>
      <c r="B804" t="s">
        <v>11</v>
      </c>
      <c r="C804">
        <v>42369</v>
      </c>
      <c r="D804" s="61">
        <v>1601892000</v>
      </c>
      <c r="E804" s="61">
        <v>711622000</v>
      </c>
      <c r="F804" s="61">
        <v>482465000</v>
      </c>
      <c r="G804" s="61">
        <v>99681000</v>
      </c>
      <c r="H804" s="61">
        <v>0</v>
      </c>
      <c r="I804" t="s">
        <v>19</v>
      </c>
      <c r="J804" t="s">
        <v>24</v>
      </c>
      <c r="K804" s="61">
        <f t="shared" si="36"/>
        <v>890270000</v>
      </c>
      <c r="L804" s="61">
        <f t="shared" si="37"/>
        <v>582146000</v>
      </c>
      <c r="M804" s="61">
        <f t="shared" si="38"/>
        <v>308124000</v>
      </c>
    </row>
    <row r="805" spans="1:13" x14ac:dyDescent="0.25">
      <c r="A805" t="s">
        <v>310</v>
      </c>
      <c r="B805" t="s">
        <v>6</v>
      </c>
      <c r="C805">
        <v>41274</v>
      </c>
      <c r="D805" s="61">
        <v>2821446000</v>
      </c>
      <c r="E805" s="61">
        <v>1645912000</v>
      </c>
      <c r="F805" s="61">
        <v>453535000</v>
      </c>
      <c r="G805" s="61">
        <v>233713000</v>
      </c>
      <c r="H805" s="61">
        <v>0</v>
      </c>
      <c r="I805" t="s">
        <v>53</v>
      </c>
      <c r="J805" t="s">
        <v>54</v>
      </c>
      <c r="K805" s="61">
        <f t="shared" si="36"/>
        <v>1175534000</v>
      </c>
      <c r="L805" s="61">
        <f t="shared" si="37"/>
        <v>687248000</v>
      </c>
      <c r="M805" s="61">
        <f t="shared" si="38"/>
        <v>488286000</v>
      </c>
    </row>
    <row r="806" spans="1:13" x14ac:dyDescent="0.25">
      <c r="A806" t="s">
        <v>310</v>
      </c>
      <c r="B806" t="s">
        <v>9</v>
      </c>
      <c r="C806">
        <v>41639</v>
      </c>
      <c r="D806" s="61">
        <v>2952896000</v>
      </c>
      <c r="E806" s="61">
        <v>1668691000</v>
      </c>
      <c r="F806" s="61">
        <v>505877000</v>
      </c>
      <c r="G806" s="61">
        <v>259838000</v>
      </c>
      <c r="H806" s="61">
        <v>0</v>
      </c>
      <c r="I806" t="s">
        <v>53</v>
      </c>
      <c r="J806" t="s">
        <v>54</v>
      </c>
      <c r="K806" s="61">
        <f t="shared" si="36"/>
        <v>1284205000</v>
      </c>
      <c r="L806" s="61">
        <f t="shared" si="37"/>
        <v>765715000</v>
      </c>
      <c r="M806" s="61">
        <f t="shared" si="38"/>
        <v>518490000</v>
      </c>
    </row>
    <row r="807" spans="1:13" x14ac:dyDescent="0.25">
      <c r="A807" t="s">
        <v>310</v>
      </c>
      <c r="B807" t="s">
        <v>10</v>
      </c>
      <c r="C807">
        <v>42004</v>
      </c>
      <c r="D807" s="61">
        <v>3088533000</v>
      </c>
      <c r="E807" s="61">
        <v>1726383000</v>
      </c>
      <c r="F807" s="61">
        <v>514891000</v>
      </c>
      <c r="G807" s="61">
        <v>253640000</v>
      </c>
      <c r="H807" s="61">
        <v>0</v>
      </c>
      <c r="I807" t="s">
        <v>53</v>
      </c>
      <c r="J807" t="s">
        <v>54</v>
      </c>
      <c r="K807" s="61">
        <f t="shared" si="36"/>
        <v>1362150000</v>
      </c>
      <c r="L807" s="61">
        <f t="shared" si="37"/>
        <v>768531000</v>
      </c>
      <c r="M807" s="61">
        <f t="shared" si="38"/>
        <v>593619000</v>
      </c>
    </row>
    <row r="808" spans="1:13" x14ac:dyDescent="0.25">
      <c r="A808" t="s">
        <v>310</v>
      </c>
      <c r="B808" t="s">
        <v>11</v>
      </c>
      <c r="C808">
        <v>42369</v>
      </c>
      <c r="D808" s="61">
        <v>3023189000</v>
      </c>
      <c r="E808" s="61">
        <v>1671590000</v>
      </c>
      <c r="F808" s="61">
        <v>509557000</v>
      </c>
      <c r="G808" s="61">
        <v>246101000</v>
      </c>
      <c r="H808" s="61">
        <v>0</v>
      </c>
      <c r="I808" t="s">
        <v>53</v>
      </c>
      <c r="J808" t="s">
        <v>54</v>
      </c>
      <c r="K808" s="61">
        <f t="shared" si="36"/>
        <v>1351599000</v>
      </c>
      <c r="L808" s="61">
        <f t="shared" si="37"/>
        <v>755658000</v>
      </c>
      <c r="M808" s="61">
        <f t="shared" si="38"/>
        <v>595941000</v>
      </c>
    </row>
    <row r="809" spans="1:13" x14ac:dyDescent="0.25">
      <c r="A809" t="s">
        <v>311</v>
      </c>
      <c r="B809" t="s">
        <v>6</v>
      </c>
      <c r="C809">
        <v>41637</v>
      </c>
      <c r="D809" s="61">
        <v>1421178000</v>
      </c>
      <c r="E809" s="61">
        <v>509291000</v>
      </c>
      <c r="F809" s="61">
        <v>397285000</v>
      </c>
      <c r="G809" s="61">
        <v>276743000</v>
      </c>
      <c r="H809" s="61">
        <v>0</v>
      </c>
      <c r="I809" t="s">
        <v>19</v>
      </c>
      <c r="J809" t="s">
        <v>312</v>
      </c>
      <c r="K809" s="61">
        <f t="shared" si="36"/>
        <v>911887000</v>
      </c>
      <c r="L809" s="61">
        <f t="shared" si="37"/>
        <v>674028000</v>
      </c>
      <c r="M809" s="61">
        <f t="shared" si="38"/>
        <v>237859000</v>
      </c>
    </row>
    <row r="810" spans="1:13" x14ac:dyDescent="0.25">
      <c r="A810" t="s">
        <v>311</v>
      </c>
      <c r="B810" t="s">
        <v>9</v>
      </c>
      <c r="C810">
        <v>42001</v>
      </c>
      <c r="D810" s="61">
        <v>1861358000</v>
      </c>
      <c r="E810" s="61">
        <v>563648000</v>
      </c>
      <c r="F810" s="61">
        <v>471921000</v>
      </c>
      <c r="G810" s="61">
        <v>388055000</v>
      </c>
      <c r="H810" s="61">
        <v>0</v>
      </c>
      <c r="I810" t="s">
        <v>19</v>
      </c>
      <c r="J810" t="s">
        <v>312</v>
      </c>
      <c r="K810" s="61">
        <f t="shared" si="36"/>
        <v>1297710000</v>
      </c>
      <c r="L810" s="61">
        <f t="shared" si="37"/>
        <v>859976000</v>
      </c>
      <c r="M810" s="61">
        <f t="shared" si="38"/>
        <v>437734000</v>
      </c>
    </row>
    <row r="811" spans="1:13" x14ac:dyDescent="0.25">
      <c r="A811" t="s">
        <v>311</v>
      </c>
      <c r="B811" t="s">
        <v>10</v>
      </c>
      <c r="C811">
        <v>42372</v>
      </c>
      <c r="D811" s="61">
        <v>2219762000</v>
      </c>
      <c r="E811" s="61">
        <v>670472000</v>
      </c>
      <c r="F811" s="61">
        <v>522046000</v>
      </c>
      <c r="G811" s="61">
        <v>401527000</v>
      </c>
      <c r="H811" s="61">
        <v>0</v>
      </c>
      <c r="I811" t="s">
        <v>19</v>
      </c>
      <c r="J811" t="s">
        <v>312</v>
      </c>
      <c r="K811" s="61">
        <f t="shared" si="36"/>
        <v>1549290000</v>
      </c>
      <c r="L811" s="61">
        <f t="shared" si="37"/>
        <v>923573000</v>
      </c>
      <c r="M811" s="61">
        <f t="shared" si="38"/>
        <v>625717000</v>
      </c>
    </row>
    <row r="812" spans="1:13" x14ac:dyDescent="0.25">
      <c r="A812" t="s">
        <v>311</v>
      </c>
      <c r="B812" t="s">
        <v>11</v>
      </c>
      <c r="C812">
        <v>42736</v>
      </c>
      <c r="D812" s="61">
        <v>2398373000</v>
      </c>
      <c r="E812" s="61">
        <v>731925000</v>
      </c>
      <c r="F812" s="61">
        <v>584491000</v>
      </c>
      <c r="G812" s="61">
        <v>504415000</v>
      </c>
      <c r="H812" s="61">
        <v>0</v>
      </c>
      <c r="I812" t="s">
        <v>19</v>
      </c>
      <c r="J812" t="s">
        <v>312</v>
      </c>
      <c r="K812" s="61">
        <f t="shared" si="36"/>
        <v>1666448000</v>
      </c>
      <c r="L812" s="61">
        <f t="shared" si="37"/>
        <v>1088906000</v>
      </c>
      <c r="M812" s="61">
        <f t="shared" si="38"/>
        <v>577542000</v>
      </c>
    </row>
    <row r="813" spans="1:13" x14ac:dyDescent="0.25">
      <c r="A813" t="s">
        <v>313</v>
      </c>
      <c r="B813" t="s">
        <v>6</v>
      </c>
      <c r="C813">
        <v>41636</v>
      </c>
      <c r="D813" s="61">
        <v>52708000000</v>
      </c>
      <c r="E813" s="61">
        <v>21187000000</v>
      </c>
      <c r="F813" s="61">
        <v>8088000000</v>
      </c>
      <c r="G813" s="61">
        <v>10611000000</v>
      </c>
      <c r="H813" s="61">
        <v>291000000</v>
      </c>
      <c r="I813" t="s">
        <v>16</v>
      </c>
      <c r="J813" t="s">
        <v>28</v>
      </c>
      <c r="K813" s="61">
        <f t="shared" si="36"/>
        <v>31521000000</v>
      </c>
      <c r="L813" s="61">
        <f t="shared" si="37"/>
        <v>18990000000</v>
      </c>
      <c r="M813" s="61">
        <f t="shared" si="38"/>
        <v>12531000000</v>
      </c>
    </row>
    <row r="814" spans="1:13" x14ac:dyDescent="0.25">
      <c r="A814" t="s">
        <v>313</v>
      </c>
      <c r="B814" t="s">
        <v>9</v>
      </c>
      <c r="C814">
        <v>42000</v>
      </c>
      <c r="D814" s="61">
        <v>55870000000</v>
      </c>
      <c r="E814" s="61">
        <v>20261000000</v>
      </c>
      <c r="F814" s="61">
        <v>8136000000</v>
      </c>
      <c r="G814" s="61">
        <v>11537000000</v>
      </c>
      <c r="H814" s="61">
        <v>294000000</v>
      </c>
      <c r="I814" t="s">
        <v>16</v>
      </c>
      <c r="J814" t="s">
        <v>28</v>
      </c>
      <c r="K814" s="61">
        <f t="shared" si="36"/>
        <v>35609000000</v>
      </c>
      <c r="L814" s="61">
        <f t="shared" si="37"/>
        <v>19967000000</v>
      </c>
      <c r="M814" s="61">
        <f t="shared" si="38"/>
        <v>15642000000</v>
      </c>
    </row>
    <row r="815" spans="1:13" x14ac:dyDescent="0.25">
      <c r="A815" t="s">
        <v>313</v>
      </c>
      <c r="B815" t="s">
        <v>10</v>
      </c>
      <c r="C815">
        <v>42364</v>
      </c>
      <c r="D815" s="61">
        <v>55355000000</v>
      </c>
      <c r="E815" s="61">
        <v>20676000000</v>
      </c>
      <c r="F815" s="61">
        <v>7930000000</v>
      </c>
      <c r="G815" s="61">
        <v>12128000000</v>
      </c>
      <c r="H815" s="61">
        <v>265000000</v>
      </c>
      <c r="I815" t="s">
        <v>16</v>
      </c>
      <c r="J815" t="s">
        <v>28</v>
      </c>
      <c r="K815" s="61">
        <f t="shared" si="36"/>
        <v>34679000000</v>
      </c>
      <c r="L815" s="61">
        <f t="shared" si="37"/>
        <v>20323000000</v>
      </c>
      <c r="M815" s="61">
        <f t="shared" si="38"/>
        <v>14356000000</v>
      </c>
    </row>
    <row r="816" spans="1:13" x14ac:dyDescent="0.25">
      <c r="A816" t="s">
        <v>313</v>
      </c>
      <c r="B816" t="s">
        <v>11</v>
      </c>
      <c r="C816">
        <v>42735</v>
      </c>
      <c r="D816" s="61">
        <v>59387000000</v>
      </c>
      <c r="E816" s="61">
        <v>23196000000</v>
      </c>
      <c r="F816" s="61">
        <v>8397000000</v>
      </c>
      <c r="G816" s="61">
        <v>12740000000</v>
      </c>
      <c r="H816" s="61">
        <v>294000000</v>
      </c>
      <c r="I816" t="s">
        <v>16</v>
      </c>
      <c r="J816" t="s">
        <v>28</v>
      </c>
      <c r="K816" s="61">
        <f t="shared" si="36"/>
        <v>36191000000</v>
      </c>
      <c r="L816" s="61">
        <f t="shared" si="37"/>
        <v>21431000000</v>
      </c>
      <c r="M816" s="61">
        <f t="shared" si="38"/>
        <v>14760000000</v>
      </c>
    </row>
    <row r="817" spans="1:13" x14ac:dyDescent="0.25">
      <c r="A817" t="s">
        <v>314</v>
      </c>
      <c r="B817" t="s">
        <v>6</v>
      </c>
      <c r="C817">
        <v>41486</v>
      </c>
      <c r="D817" s="61">
        <v>3946000000</v>
      </c>
      <c r="E817" s="61">
        <v>527000000</v>
      </c>
      <c r="F817" s="61">
        <v>1534000000</v>
      </c>
      <c r="G817" s="61">
        <v>647000000</v>
      </c>
      <c r="H817" s="61">
        <v>30000000</v>
      </c>
      <c r="I817" t="s">
        <v>16</v>
      </c>
      <c r="J817" t="s">
        <v>51</v>
      </c>
      <c r="K817" s="61">
        <f t="shared" si="36"/>
        <v>3419000000</v>
      </c>
      <c r="L817" s="61">
        <f t="shared" si="37"/>
        <v>2211000000</v>
      </c>
      <c r="M817" s="61">
        <f t="shared" si="38"/>
        <v>1208000000</v>
      </c>
    </row>
    <row r="818" spans="1:13" x14ac:dyDescent="0.25">
      <c r="A818" t="s">
        <v>314</v>
      </c>
      <c r="B818" t="s">
        <v>9</v>
      </c>
      <c r="C818">
        <v>41851</v>
      </c>
      <c r="D818" s="61">
        <v>4243000000</v>
      </c>
      <c r="E818" s="61">
        <v>603000000</v>
      </c>
      <c r="F818" s="61">
        <v>1601000000</v>
      </c>
      <c r="G818" s="61">
        <v>714000000</v>
      </c>
      <c r="H818" s="61">
        <v>25000000</v>
      </c>
      <c r="I818" t="s">
        <v>16</v>
      </c>
      <c r="J818" t="s">
        <v>51</v>
      </c>
      <c r="K818" s="61">
        <f t="shared" si="36"/>
        <v>3640000000</v>
      </c>
      <c r="L818" s="61">
        <f t="shared" si="37"/>
        <v>2340000000</v>
      </c>
      <c r="M818" s="61">
        <f t="shared" si="38"/>
        <v>1300000000</v>
      </c>
    </row>
    <row r="819" spans="1:13" x14ac:dyDescent="0.25">
      <c r="A819" t="s">
        <v>314</v>
      </c>
      <c r="B819" t="s">
        <v>10</v>
      </c>
      <c r="C819">
        <v>42216</v>
      </c>
      <c r="D819" s="61">
        <v>4192000000</v>
      </c>
      <c r="E819" s="61">
        <v>695000000</v>
      </c>
      <c r="F819" s="61">
        <v>1771000000</v>
      </c>
      <c r="G819" s="61">
        <v>798000000</v>
      </c>
      <c r="H819" s="61">
        <v>42000000</v>
      </c>
      <c r="I819" t="s">
        <v>16</v>
      </c>
      <c r="J819" t="s">
        <v>51</v>
      </c>
      <c r="K819" s="61">
        <f t="shared" si="36"/>
        <v>3497000000</v>
      </c>
      <c r="L819" s="61">
        <f t="shared" si="37"/>
        <v>2611000000</v>
      </c>
      <c r="M819" s="61">
        <f t="shared" si="38"/>
        <v>886000000</v>
      </c>
    </row>
    <row r="820" spans="1:13" x14ac:dyDescent="0.25">
      <c r="A820" t="s">
        <v>314</v>
      </c>
      <c r="B820" t="s">
        <v>11</v>
      </c>
      <c r="C820">
        <v>42582</v>
      </c>
      <c r="D820" s="61">
        <v>4694000000</v>
      </c>
      <c r="E820" s="61">
        <v>730000000</v>
      </c>
      <c r="F820" s="61">
        <v>1807000000</v>
      </c>
      <c r="G820" s="61">
        <v>881000000</v>
      </c>
      <c r="H820" s="61">
        <v>34000000</v>
      </c>
      <c r="I820" t="s">
        <v>16</v>
      </c>
      <c r="J820" t="s">
        <v>51</v>
      </c>
      <c r="K820" s="61">
        <f t="shared" si="36"/>
        <v>3964000000</v>
      </c>
      <c r="L820" s="61">
        <f t="shared" si="37"/>
        <v>2722000000</v>
      </c>
      <c r="M820" s="61">
        <f t="shared" si="38"/>
        <v>1242000000</v>
      </c>
    </row>
    <row r="821" spans="1:13" x14ac:dyDescent="0.25">
      <c r="A821" t="s">
        <v>315</v>
      </c>
      <c r="B821" t="s">
        <v>6</v>
      </c>
      <c r="C821">
        <v>41274</v>
      </c>
      <c r="D821" s="61">
        <v>21852000000</v>
      </c>
      <c r="E821" s="61">
        <v>15287000000</v>
      </c>
      <c r="F821" s="61">
        <v>3303000000</v>
      </c>
      <c r="G821" s="61">
        <v>0</v>
      </c>
      <c r="H821" s="61">
        <v>1473000000</v>
      </c>
      <c r="I821" t="s">
        <v>53</v>
      </c>
      <c r="J821" t="s">
        <v>90</v>
      </c>
      <c r="K821" s="61">
        <f t="shared" si="36"/>
        <v>6565000000</v>
      </c>
      <c r="L821" s="61">
        <f t="shared" si="37"/>
        <v>4776000000</v>
      </c>
      <c r="M821" s="61">
        <f t="shared" si="38"/>
        <v>1789000000</v>
      </c>
    </row>
    <row r="822" spans="1:13" x14ac:dyDescent="0.25">
      <c r="A822" t="s">
        <v>315</v>
      </c>
      <c r="B822" t="s">
        <v>9</v>
      </c>
      <c r="C822">
        <v>41639</v>
      </c>
      <c r="D822" s="61">
        <v>23483000000</v>
      </c>
      <c r="E822" s="61">
        <v>16282000000</v>
      </c>
      <c r="F822" s="61">
        <v>3557000000</v>
      </c>
      <c r="G822" s="61">
        <v>0</v>
      </c>
      <c r="H822" s="61">
        <v>1531000000</v>
      </c>
      <c r="I822" t="s">
        <v>53</v>
      </c>
      <c r="J822" t="s">
        <v>90</v>
      </c>
      <c r="K822" s="61">
        <f t="shared" si="36"/>
        <v>7201000000</v>
      </c>
      <c r="L822" s="61">
        <f t="shared" si="37"/>
        <v>5088000000</v>
      </c>
      <c r="M822" s="61">
        <f t="shared" si="38"/>
        <v>2113000000</v>
      </c>
    </row>
    <row r="823" spans="1:13" x14ac:dyDescent="0.25">
      <c r="A823" t="s">
        <v>315</v>
      </c>
      <c r="B823" t="s">
        <v>10</v>
      </c>
      <c r="C823">
        <v>42004</v>
      </c>
      <c r="D823" s="61">
        <v>23617000000</v>
      </c>
      <c r="E823" s="61">
        <v>16254000000</v>
      </c>
      <c r="F823" s="61">
        <v>3494000000</v>
      </c>
      <c r="G823" s="61">
        <v>0</v>
      </c>
      <c r="H823" s="61">
        <v>1406000000</v>
      </c>
      <c r="I823" t="s">
        <v>53</v>
      </c>
      <c r="J823" t="s">
        <v>90</v>
      </c>
      <c r="K823" s="61">
        <f t="shared" si="36"/>
        <v>7363000000</v>
      </c>
      <c r="L823" s="61">
        <f t="shared" si="37"/>
        <v>4900000000</v>
      </c>
      <c r="M823" s="61">
        <f t="shared" si="38"/>
        <v>2463000000</v>
      </c>
    </row>
    <row r="824" spans="1:13" x14ac:dyDescent="0.25">
      <c r="A824" t="s">
        <v>315</v>
      </c>
      <c r="B824" t="s">
        <v>11</v>
      </c>
      <c r="C824">
        <v>42369</v>
      </c>
      <c r="D824" s="61">
        <v>22365000000</v>
      </c>
      <c r="E824" s="61">
        <v>15468000000</v>
      </c>
      <c r="F824" s="61">
        <v>3219000000</v>
      </c>
      <c r="G824" s="61">
        <v>0</v>
      </c>
      <c r="H824" s="61">
        <v>1294000000</v>
      </c>
      <c r="I824" t="s">
        <v>53</v>
      </c>
      <c r="J824" t="s">
        <v>90</v>
      </c>
      <c r="K824" s="61">
        <f t="shared" si="36"/>
        <v>6897000000</v>
      </c>
      <c r="L824" s="61">
        <f t="shared" si="37"/>
        <v>4513000000</v>
      </c>
      <c r="M824" s="61">
        <f t="shared" si="38"/>
        <v>2384000000</v>
      </c>
    </row>
    <row r="825" spans="1:13" x14ac:dyDescent="0.25">
      <c r="A825" t="s">
        <v>316</v>
      </c>
      <c r="B825" t="s">
        <v>6</v>
      </c>
      <c r="C825">
        <v>41274</v>
      </c>
      <c r="D825" s="61">
        <v>6956200000</v>
      </c>
      <c r="E825" s="61">
        <v>0</v>
      </c>
      <c r="F825" s="61">
        <v>6279100000</v>
      </c>
      <c r="G825" s="61">
        <v>0</v>
      </c>
      <c r="H825" s="61">
        <v>0</v>
      </c>
      <c r="I825" t="s">
        <v>13</v>
      </c>
      <c r="J825" t="s">
        <v>317</v>
      </c>
      <c r="K825" s="61">
        <f t="shared" si="36"/>
        <v>6956200000</v>
      </c>
      <c r="L825" s="61">
        <f t="shared" si="37"/>
        <v>6279100000</v>
      </c>
      <c r="M825" s="61">
        <f t="shared" si="38"/>
        <v>677100000</v>
      </c>
    </row>
    <row r="826" spans="1:13" x14ac:dyDescent="0.25">
      <c r="A826" t="s">
        <v>316</v>
      </c>
      <c r="B826" t="s">
        <v>9</v>
      </c>
      <c r="C826">
        <v>41639</v>
      </c>
      <c r="D826" s="61">
        <v>7122300000</v>
      </c>
      <c r="E826" s="61">
        <v>0</v>
      </c>
      <c r="F826" s="61">
        <v>6463400000</v>
      </c>
      <c r="G826" s="61">
        <v>0</v>
      </c>
      <c r="H826" s="61">
        <v>0</v>
      </c>
      <c r="I826" t="s">
        <v>13</v>
      </c>
      <c r="J826" t="s">
        <v>317</v>
      </c>
      <c r="K826" s="61">
        <f t="shared" si="36"/>
        <v>7122300000</v>
      </c>
      <c r="L826" s="61">
        <f t="shared" si="37"/>
        <v>6463400000</v>
      </c>
      <c r="M826" s="61">
        <f t="shared" si="38"/>
        <v>658900000</v>
      </c>
    </row>
    <row r="827" spans="1:13" x14ac:dyDescent="0.25">
      <c r="A827" t="s">
        <v>316</v>
      </c>
      <c r="B827" t="s">
        <v>10</v>
      </c>
      <c r="C827">
        <v>42004</v>
      </c>
      <c r="D827" s="61">
        <v>7537100000</v>
      </c>
      <c r="E827" s="61">
        <v>0</v>
      </c>
      <c r="F827" s="61">
        <v>6748500000</v>
      </c>
      <c r="G827" s="61">
        <v>0</v>
      </c>
      <c r="H827" s="61">
        <v>0</v>
      </c>
      <c r="I827" t="s">
        <v>13</v>
      </c>
      <c r="J827" t="s">
        <v>317</v>
      </c>
      <c r="K827" s="61">
        <f t="shared" si="36"/>
        <v>7537100000</v>
      </c>
      <c r="L827" s="61">
        <f t="shared" si="37"/>
        <v>6748500000</v>
      </c>
      <c r="M827" s="61">
        <f t="shared" si="38"/>
        <v>788600000</v>
      </c>
    </row>
    <row r="828" spans="1:13" x14ac:dyDescent="0.25">
      <c r="A828" t="s">
        <v>316</v>
      </c>
      <c r="B828" t="s">
        <v>11</v>
      </c>
      <c r="C828">
        <v>42369</v>
      </c>
      <c r="D828" s="61">
        <v>7613800000</v>
      </c>
      <c r="E828" s="61">
        <v>0</v>
      </c>
      <c r="F828" s="61">
        <v>6742700000</v>
      </c>
      <c r="G828" s="61">
        <v>0</v>
      </c>
      <c r="H828" s="61">
        <v>0</v>
      </c>
      <c r="I828" t="s">
        <v>13</v>
      </c>
      <c r="J828" t="s">
        <v>317</v>
      </c>
      <c r="K828" s="61">
        <f t="shared" si="36"/>
        <v>7613800000</v>
      </c>
      <c r="L828" s="61">
        <f t="shared" si="37"/>
        <v>6742700000</v>
      </c>
      <c r="M828" s="61">
        <f t="shared" si="38"/>
        <v>871100000</v>
      </c>
    </row>
    <row r="829" spans="1:13" x14ac:dyDescent="0.25">
      <c r="A829" t="s">
        <v>318</v>
      </c>
      <c r="B829" t="s">
        <v>6</v>
      </c>
      <c r="C829">
        <v>41274</v>
      </c>
      <c r="D829" s="61">
        <v>3003955000</v>
      </c>
      <c r="E829" s="61">
        <v>1277113000</v>
      </c>
      <c r="F829" s="61">
        <v>850371000</v>
      </c>
      <c r="G829" s="61">
        <v>0</v>
      </c>
      <c r="H829" s="61">
        <v>316344000</v>
      </c>
      <c r="I829" t="s">
        <v>46</v>
      </c>
      <c r="J829" t="s">
        <v>47</v>
      </c>
      <c r="K829" s="61">
        <f t="shared" si="36"/>
        <v>1726842000</v>
      </c>
      <c r="L829" s="61">
        <f t="shared" si="37"/>
        <v>1166715000</v>
      </c>
      <c r="M829" s="61">
        <f t="shared" si="38"/>
        <v>560127000</v>
      </c>
    </row>
    <row r="830" spans="1:13" x14ac:dyDescent="0.25">
      <c r="A830" t="s">
        <v>318</v>
      </c>
      <c r="B830" t="s">
        <v>9</v>
      </c>
      <c r="C830">
        <v>41639</v>
      </c>
      <c r="D830" s="61">
        <v>3024623000</v>
      </c>
      <c r="E830" s="61">
        <v>1288878000</v>
      </c>
      <c r="F830" s="61">
        <v>924031000</v>
      </c>
      <c r="G830" s="61">
        <v>0</v>
      </c>
      <c r="H830" s="61">
        <v>322037000</v>
      </c>
      <c r="I830" t="s">
        <v>46</v>
      </c>
      <c r="J830" t="s">
        <v>47</v>
      </c>
      <c r="K830" s="61">
        <f t="shared" si="36"/>
        <v>1735745000</v>
      </c>
      <c r="L830" s="61">
        <f t="shared" si="37"/>
        <v>1246068000</v>
      </c>
      <c r="M830" s="61">
        <f t="shared" si="38"/>
        <v>489677000</v>
      </c>
    </row>
    <row r="831" spans="1:13" x14ac:dyDescent="0.25">
      <c r="A831" t="s">
        <v>318</v>
      </c>
      <c r="B831" t="s">
        <v>10</v>
      </c>
      <c r="C831">
        <v>42004</v>
      </c>
      <c r="D831" s="61">
        <v>3117693000</v>
      </c>
      <c r="E831" s="61">
        <v>1344636000</v>
      </c>
      <c r="F831" s="61">
        <v>869572000</v>
      </c>
      <c r="G831" s="61">
        <v>0</v>
      </c>
      <c r="H831" s="61">
        <v>353143000</v>
      </c>
      <c r="I831" t="s">
        <v>46</v>
      </c>
      <c r="J831" t="s">
        <v>47</v>
      </c>
      <c r="K831" s="61">
        <f t="shared" si="36"/>
        <v>1773057000</v>
      </c>
      <c r="L831" s="61">
        <f t="shared" si="37"/>
        <v>1222715000</v>
      </c>
      <c r="M831" s="61">
        <f t="shared" si="38"/>
        <v>550342000</v>
      </c>
    </row>
    <row r="832" spans="1:13" x14ac:dyDescent="0.25">
      <c r="A832" t="s">
        <v>318</v>
      </c>
      <c r="B832" t="s">
        <v>11</v>
      </c>
      <c r="C832">
        <v>42369</v>
      </c>
      <c r="D832" s="61">
        <v>3007976000</v>
      </c>
      <c r="E832" s="61">
        <v>1290025000</v>
      </c>
      <c r="F832" s="61">
        <v>844960000</v>
      </c>
      <c r="G832" s="61">
        <v>0</v>
      </c>
      <c r="H832" s="61">
        <v>345464000</v>
      </c>
      <c r="I832" t="s">
        <v>46</v>
      </c>
      <c r="J832" t="s">
        <v>47</v>
      </c>
      <c r="K832" s="61">
        <f t="shared" si="36"/>
        <v>1717951000</v>
      </c>
      <c r="L832" s="61">
        <f t="shared" si="37"/>
        <v>1190424000</v>
      </c>
      <c r="M832" s="61">
        <f t="shared" si="38"/>
        <v>527527000</v>
      </c>
    </row>
    <row r="833" spans="1:13" x14ac:dyDescent="0.25">
      <c r="A833" t="s">
        <v>319</v>
      </c>
      <c r="B833" t="s">
        <v>6</v>
      </c>
      <c r="C833">
        <v>41639</v>
      </c>
      <c r="D833" s="61">
        <v>2265100000</v>
      </c>
      <c r="E833" s="61">
        <v>670900000</v>
      </c>
      <c r="F833" s="61">
        <v>574000000</v>
      </c>
      <c r="G833" s="61">
        <v>167700000</v>
      </c>
      <c r="H833" s="61">
        <v>0</v>
      </c>
      <c r="I833" t="s">
        <v>19</v>
      </c>
      <c r="J833" t="s">
        <v>24</v>
      </c>
      <c r="K833" s="61">
        <f t="shared" si="36"/>
        <v>1594200000</v>
      </c>
      <c r="L833" s="61">
        <f t="shared" si="37"/>
        <v>741700000</v>
      </c>
      <c r="M833" s="61">
        <f t="shared" si="38"/>
        <v>852500000</v>
      </c>
    </row>
    <row r="834" spans="1:13" x14ac:dyDescent="0.25">
      <c r="A834" t="s">
        <v>319</v>
      </c>
      <c r="B834" t="s">
        <v>9</v>
      </c>
      <c r="C834">
        <v>42004</v>
      </c>
      <c r="D834" s="61">
        <v>2131700000</v>
      </c>
      <c r="E834" s="61">
        <v>717900000</v>
      </c>
      <c r="F834" s="61">
        <v>691000000</v>
      </c>
      <c r="G834" s="61">
        <v>178000000</v>
      </c>
      <c r="H834" s="61">
        <v>0</v>
      </c>
      <c r="I834" t="s">
        <v>19</v>
      </c>
      <c r="J834" t="s">
        <v>24</v>
      </c>
      <c r="K834" s="61">
        <f t="shared" ref="K834:K897" si="39">D834-E834</f>
        <v>1413800000</v>
      </c>
      <c r="L834" s="61">
        <f t="shared" ref="L834:L897" si="40">F834+G834+H834</f>
        <v>869000000</v>
      </c>
      <c r="M834" s="61">
        <f t="shared" si="38"/>
        <v>544800000</v>
      </c>
    </row>
    <row r="835" spans="1:13" x14ac:dyDescent="0.25">
      <c r="A835" t="s">
        <v>319</v>
      </c>
      <c r="B835" t="s">
        <v>10</v>
      </c>
      <c r="C835">
        <v>42369</v>
      </c>
      <c r="D835" s="61">
        <v>2384400000</v>
      </c>
      <c r="E835" s="61">
        <v>806500000</v>
      </c>
      <c r="F835" s="61">
        <v>640500000</v>
      </c>
      <c r="G835" s="61">
        <v>197400000</v>
      </c>
      <c r="H835" s="61">
        <v>0</v>
      </c>
      <c r="I835" t="s">
        <v>19</v>
      </c>
      <c r="J835" t="s">
        <v>24</v>
      </c>
      <c r="K835" s="61">
        <f t="shared" si="39"/>
        <v>1577900000</v>
      </c>
      <c r="L835" s="61">
        <f t="shared" si="40"/>
        <v>837900000</v>
      </c>
      <c r="M835" s="61">
        <f t="shared" ref="M835:M898" si="41">K835-L835</f>
        <v>740000000</v>
      </c>
    </row>
    <row r="836" spans="1:13" x14ac:dyDescent="0.25">
      <c r="A836" t="s">
        <v>319</v>
      </c>
      <c r="B836" t="s">
        <v>11</v>
      </c>
      <c r="C836">
        <v>42735</v>
      </c>
      <c r="D836" s="61">
        <v>2704400000</v>
      </c>
      <c r="E836" s="61">
        <v>814300000</v>
      </c>
      <c r="F836" s="61">
        <v>705300000</v>
      </c>
      <c r="G836" s="61">
        <v>239600000</v>
      </c>
      <c r="H836" s="61">
        <v>0</v>
      </c>
      <c r="I836" t="s">
        <v>19</v>
      </c>
      <c r="J836" t="s">
        <v>24</v>
      </c>
      <c r="K836" s="61">
        <f t="shared" si="39"/>
        <v>1890100000</v>
      </c>
      <c r="L836" s="61">
        <f t="shared" si="40"/>
        <v>944900000</v>
      </c>
      <c r="M836" s="61">
        <f t="shared" si="41"/>
        <v>945200000</v>
      </c>
    </row>
    <row r="837" spans="1:13" x14ac:dyDescent="0.25">
      <c r="A837" t="s">
        <v>320</v>
      </c>
      <c r="B837" t="s">
        <v>6</v>
      </c>
      <c r="C837">
        <v>41639</v>
      </c>
      <c r="D837" s="61">
        <v>14135000000</v>
      </c>
      <c r="E837" s="61">
        <v>8554000000</v>
      </c>
      <c r="F837" s="61">
        <v>2815000000</v>
      </c>
      <c r="G837" s="61">
        <v>0</v>
      </c>
      <c r="H837" s="61">
        <v>250000000</v>
      </c>
      <c r="I837" t="s">
        <v>7</v>
      </c>
      <c r="J837" t="s">
        <v>151</v>
      </c>
      <c r="K837" s="61">
        <f t="shared" si="39"/>
        <v>5581000000</v>
      </c>
      <c r="L837" s="61">
        <f t="shared" si="40"/>
        <v>3065000000</v>
      </c>
      <c r="M837" s="61">
        <f t="shared" si="41"/>
        <v>2516000000</v>
      </c>
    </row>
    <row r="838" spans="1:13" x14ac:dyDescent="0.25">
      <c r="A838" t="s">
        <v>320</v>
      </c>
      <c r="B838" t="s">
        <v>9</v>
      </c>
      <c r="C838">
        <v>42004</v>
      </c>
      <c r="D838" s="61">
        <v>14484000000</v>
      </c>
      <c r="E838" s="61">
        <v>8673000000</v>
      </c>
      <c r="F838" s="61">
        <v>2678000000</v>
      </c>
      <c r="G838" s="61">
        <v>0</v>
      </c>
      <c r="H838" s="61">
        <v>245000000</v>
      </c>
      <c r="I838" t="s">
        <v>7</v>
      </c>
      <c r="J838" t="s">
        <v>151</v>
      </c>
      <c r="K838" s="61">
        <f t="shared" si="39"/>
        <v>5811000000</v>
      </c>
      <c r="L838" s="61">
        <f t="shared" si="40"/>
        <v>2923000000</v>
      </c>
      <c r="M838" s="61">
        <f t="shared" si="41"/>
        <v>2888000000</v>
      </c>
    </row>
    <row r="839" spans="1:13" x14ac:dyDescent="0.25">
      <c r="A839" t="s">
        <v>320</v>
      </c>
      <c r="B839" t="s">
        <v>10</v>
      </c>
      <c r="C839">
        <v>42369</v>
      </c>
      <c r="D839" s="61">
        <v>13405000000</v>
      </c>
      <c r="E839" s="61">
        <v>7888000000</v>
      </c>
      <c r="F839" s="61">
        <v>2417000000</v>
      </c>
      <c r="G839" s="61">
        <v>0</v>
      </c>
      <c r="H839" s="61">
        <v>233000000</v>
      </c>
      <c r="I839" t="s">
        <v>7</v>
      </c>
      <c r="J839" t="s">
        <v>151</v>
      </c>
      <c r="K839" s="61">
        <f t="shared" si="39"/>
        <v>5517000000</v>
      </c>
      <c r="L839" s="61">
        <f t="shared" si="40"/>
        <v>2650000000</v>
      </c>
      <c r="M839" s="61">
        <f t="shared" si="41"/>
        <v>2867000000</v>
      </c>
    </row>
    <row r="840" spans="1:13" x14ac:dyDescent="0.25">
      <c r="A840" t="s">
        <v>320</v>
      </c>
      <c r="B840" t="s">
        <v>11</v>
      </c>
      <c r="C840">
        <v>42735</v>
      </c>
      <c r="D840" s="61">
        <v>13599000000</v>
      </c>
      <c r="E840" s="61">
        <v>7896000000</v>
      </c>
      <c r="F840" s="61">
        <v>2415000000</v>
      </c>
      <c r="G840" s="61">
        <v>0</v>
      </c>
      <c r="H840" s="61">
        <v>224000000</v>
      </c>
      <c r="I840" t="s">
        <v>7</v>
      </c>
      <c r="J840" t="s">
        <v>151</v>
      </c>
      <c r="K840" s="61">
        <f t="shared" si="39"/>
        <v>5703000000</v>
      </c>
      <c r="L840" s="61">
        <f t="shared" si="40"/>
        <v>2639000000</v>
      </c>
      <c r="M840" s="61">
        <f t="shared" si="41"/>
        <v>3064000000</v>
      </c>
    </row>
    <row r="841" spans="1:13" x14ac:dyDescent="0.25">
      <c r="A841" t="s">
        <v>321</v>
      </c>
      <c r="B841" t="s">
        <v>6</v>
      </c>
      <c r="C841">
        <v>41274</v>
      </c>
      <c r="D841" s="61">
        <v>4050400000</v>
      </c>
      <c r="E841" s="61">
        <v>0</v>
      </c>
      <c r="F841" s="61">
        <v>3207800000</v>
      </c>
      <c r="G841" s="61">
        <v>0</v>
      </c>
      <c r="H841" s="61">
        <v>0</v>
      </c>
      <c r="I841" t="s">
        <v>41</v>
      </c>
      <c r="J841" t="s">
        <v>67</v>
      </c>
      <c r="K841" s="61">
        <f t="shared" si="39"/>
        <v>4050400000</v>
      </c>
      <c r="L841" s="61">
        <f t="shared" si="40"/>
        <v>3207800000</v>
      </c>
      <c r="M841" s="61">
        <f t="shared" si="41"/>
        <v>842600000</v>
      </c>
    </row>
    <row r="842" spans="1:13" x14ac:dyDescent="0.25">
      <c r="A842" t="s">
        <v>321</v>
      </c>
      <c r="B842" t="s">
        <v>9</v>
      </c>
      <c r="C842">
        <v>41639</v>
      </c>
      <c r="D842" s="61">
        <v>4644600000</v>
      </c>
      <c r="E842" s="61">
        <v>0</v>
      </c>
      <c r="F842" s="61">
        <v>3524400000</v>
      </c>
      <c r="G842" s="61">
        <v>0</v>
      </c>
      <c r="H842" s="61">
        <v>0</v>
      </c>
      <c r="I842" t="s">
        <v>41</v>
      </c>
      <c r="J842" t="s">
        <v>67</v>
      </c>
      <c r="K842" s="61">
        <f t="shared" si="39"/>
        <v>4644600000</v>
      </c>
      <c r="L842" s="61">
        <f t="shared" si="40"/>
        <v>3524400000</v>
      </c>
      <c r="M842" s="61">
        <f t="shared" si="41"/>
        <v>1120200000</v>
      </c>
    </row>
    <row r="843" spans="1:13" x14ac:dyDescent="0.25">
      <c r="A843" t="s">
        <v>321</v>
      </c>
      <c r="B843" t="s">
        <v>10</v>
      </c>
      <c r="C843">
        <v>42004</v>
      </c>
      <c r="D843" s="61">
        <v>5147100000</v>
      </c>
      <c r="E843" s="61">
        <v>0</v>
      </c>
      <c r="F843" s="61">
        <v>3870200000</v>
      </c>
      <c r="G843" s="61">
        <v>0</v>
      </c>
      <c r="H843" s="61">
        <v>0</v>
      </c>
      <c r="I843" t="s">
        <v>41</v>
      </c>
      <c r="J843" t="s">
        <v>67</v>
      </c>
      <c r="K843" s="61">
        <f t="shared" si="39"/>
        <v>5147100000</v>
      </c>
      <c r="L843" s="61">
        <f t="shared" si="40"/>
        <v>3870200000</v>
      </c>
      <c r="M843" s="61">
        <f t="shared" si="41"/>
        <v>1276900000</v>
      </c>
    </row>
    <row r="844" spans="1:13" x14ac:dyDescent="0.25">
      <c r="A844" t="s">
        <v>321</v>
      </c>
      <c r="B844" t="s">
        <v>11</v>
      </c>
      <c r="C844">
        <v>42369</v>
      </c>
      <c r="D844" s="61">
        <v>5122900000</v>
      </c>
      <c r="E844" s="61">
        <v>0</v>
      </c>
      <c r="F844" s="61">
        <v>3764500000</v>
      </c>
      <c r="G844" s="61">
        <v>0</v>
      </c>
      <c r="H844" s="61">
        <v>0</v>
      </c>
      <c r="I844" t="s">
        <v>41</v>
      </c>
      <c r="J844" t="s">
        <v>67</v>
      </c>
      <c r="K844" s="61">
        <f t="shared" si="39"/>
        <v>5122900000</v>
      </c>
      <c r="L844" s="61">
        <f t="shared" si="40"/>
        <v>3764500000</v>
      </c>
      <c r="M844" s="61">
        <f t="shared" si="41"/>
        <v>1358400000</v>
      </c>
    </row>
    <row r="845" spans="1:13" x14ac:dyDescent="0.25">
      <c r="A845" t="s">
        <v>322</v>
      </c>
      <c r="B845" t="s">
        <v>6</v>
      </c>
      <c r="C845">
        <v>41274</v>
      </c>
      <c r="D845" s="61">
        <v>5054980000</v>
      </c>
      <c r="E845" s="61">
        <v>3230857000</v>
      </c>
      <c r="F845" s="61">
        <v>1064757000</v>
      </c>
      <c r="G845" s="61">
        <v>0</v>
      </c>
      <c r="H845" s="61">
        <v>229166000</v>
      </c>
      <c r="I845" t="s">
        <v>7</v>
      </c>
      <c r="J845" t="s">
        <v>323</v>
      </c>
      <c r="K845" s="61">
        <f t="shared" si="39"/>
        <v>1824123000</v>
      </c>
      <c r="L845" s="61">
        <f t="shared" si="40"/>
        <v>1293923000</v>
      </c>
      <c r="M845" s="61">
        <f t="shared" si="41"/>
        <v>530200000</v>
      </c>
    </row>
    <row r="846" spans="1:13" x14ac:dyDescent="0.25">
      <c r="A846" t="s">
        <v>322</v>
      </c>
      <c r="B846" t="s">
        <v>9</v>
      </c>
      <c r="C846">
        <v>41639</v>
      </c>
      <c r="D846" s="61">
        <v>5584571000</v>
      </c>
      <c r="E846" s="61">
        <v>3570801000</v>
      </c>
      <c r="F846" s="61">
        <v>1183682000</v>
      </c>
      <c r="G846" s="61">
        <v>0</v>
      </c>
      <c r="H846" s="61">
        <v>253380000</v>
      </c>
      <c r="I846" t="s">
        <v>7</v>
      </c>
      <c r="J846" t="s">
        <v>323</v>
      </c>
      <c r="K846" s="61">
        <f t="shared" si="39"/>
        <v>2013770000</v>
      </c>
      <c r="L846" s="61">
        <f t="shared" si="40"/>
        <v>1437062000</v>
      </c>
      <c r="M846" s="61">
        <f t="shared" si="41"/>
        <v>576708000</v>
      </c>
    </row>
    <row r="847" spans="1:13" x14ac:dyDescent="0.25">
      <c r="A847" t="s">
        <v>322</v>
      </c>
      <c r="B847" t="s">
        <v>10</v>
      </c>
      <c r="C847">
        <v>42004</v>
      </c>
      <c r="D847" s="61">
        <v>6165441000</v>
      </c>
      <c r="E847" s="61">
        <v>3898403000</v>
      </c>
      <c r="F847" s="61">
        <v>1341000000</v>
      </c>
      <c r="G847" s="61">
        <v>0</v>
      </c>
      <c r="H847" s="61">
        <v>294496000</v>
      </c>
      <c r="I847" t="s">
        <v>7</v>
      </c>
      <c r="J847" t="s">
        <v>323</v>
      </c>
      <c r="K847" s="61">
        <f t="shared" si="39"/>
        <v>2267038000</v>
      </c>
      <c r="L847" s="61">
        <f t="shared" si="40"/>
        <v>1635496000</v>
      </c>
      <c r="M847" s="61">
        <f t="shared" si="41"/>
        <v>631542000</v>
      </c>
    </row>
    <row r="848" spans="1:13" x14ac:dyDescent="0.25">
      <c r="A848" t="s">
        <v>322</v>
      </c>
      <c r="B848" t="s">
        <v>11</v>
      </c>
      <c r="C848">
        <v>42369</v>
      </c>
      <c r="D848" s="61">
        <v>6187646000</v>
      </c>
      <c r="E848" s="61">
        <v>3665578000</v>
      </c>
      <c r="F848" s="61">
        <v>1466761000</v>
      </c>
      <c r="G848" s="61">
        <v>0</v>
      </c>
      <c r="H848" s="61">
        <v>339613000</v>
      </c>
      <c r="I848" t="s">
        <v>7</v>
      </c>
      <c r="J848" t="s">
        <v>323</v>
      </c>
      <c r="K848" s="61">
        <f t="shared" si="39"/>
        <v>2522068000</v>
      </c>
      <c r="L848" s="61">
        <f t="shared" si="40"/>
        <v>1806374000</v>
      </c>
      <c r="M848" s="61">
        <f t="shared" si="41"/>
        <v>715694000</v>
      </c>
    </row>
    <row r="849" spans="1:13" x14ac:dyDescent="0.25">
      <c r="A849" t="s">
        <v>324</v>
      </c>
      <c r="B849" t="s">
        <v>6</v>
      </c>
      <c r="C849">
        <v>41544</v>
      </c>
      <c r="D849" s="61">
        <v>11818376000</v>
      </c>
      <c r="E849" s="61">
        <v>9976057000</v>
      </c>
      <c r="F849" s="61">
        <v>1173340000</v>
      </c>
      <c r="G849" s="61">
        <v>0</v>
      </c>
      <c r="H849" s="61">
        <v>0</v>
      </c>
      <c r="I849" t="s">
        <v>7</v>
      </c>
      <c r="J849" t="s">
        <v>158</v>
      </c>
      <c r="K849" s="61">
        <f t="shared" si="39"/>
        <v>1842319000</v>
      </c>
      <c r="L849" s="61">
        <f t="shared" si="40"/>
        <v>1173340000</v>
      </c>
      <c r="M849" s="61">
        <f t="shared" si="41"/>
        <v>668979000</v>
      </c>
    </row>
    <row r="850" spans="1:13" x14ac:dyDescent="0.25">
      <c r="A850" t="s">
        <v>324</v>
      </c>
      <c r="B850" t="s">
        <v>9</v>
      </c>
      <c r="C850">
        <v>41908</v>
      </c>
      <c r="D850" s="61">
        <v>12695157000</v>
      </c>
      <c r="E850" s="61">
        <v>10621373000</v>
      </c>
      <c r="F850" s="61">
        <v>1545716000</v>
      </c>
      <c r="G850" s="61">
        <v>0</v>
      </c>
      <c r="H850" s="61">
        <v>0</v>
      </c>
      <c r="I850" t="s">
        <v>7</v>
      </c>
      <c r="J850" t="s">
        <v>158</v>
      </c>
      <c r="K850" s="61">
        <f t="shared" si="39"/>
        <v>2073784000</v>
      </c>
      <c r="L850" s="61">
        <f t="shared" si="40"/>
        <v>1545716000</v>
      </c>
      <c r="M850" s="61">
        <f t="shared" si="41"/>
        <v>528068000</v>
      </c>
    </row>
    <row r="851" spans="1:13" x14ac:dyDescent="0.25">
      <c r="A851" t="s">
        <v>324</v>
      </c>
      <c r="B851" t="s">
        <v>10</v>
      </c>
      <c r="C851">
        <v>42279</v>
      </c>
      <c r="D851" s="61">
        <v>12114832000</v>
      </c>
      <c r="E851" s="61">
        <v>10146494000</v>
      </c>
      <c r="F851" s="61">
        <v>1522811000</v>
      </c>
      <c r="G851" s="61">
        <v>0</v>
      </c>
      <c r="H851" s="61">
        <v>0</v>
      </c>
      <c r="I851" t="s">
        <v>7</v>
      </c>
      <c r="J851" t="s">
        <v>158</v>
      </c>
      <c r="K851" s="61">
        <f t="shared" si="39"/>
        <v>1968338000</v>
      </c>
      <c r="L851" s="61">
        <f t="shared" si="40"/>
        <v>1522811000</v>
      </c>
      <c r="M851" s="61">
        <f t="shared" si="41"/>
        <v>445527000</v>
      </c>
    </row>
    <row r="852" spans="1:13" x14ac:dyDescent="0.25">
      <c r="A852" t="s">
        <v>324</v>
      </c>
      <c r="B852" t="s">
        <v>11</v>
      </c>
      <c r="C852">
        <v>42643</v>
      </c>
      <c r="D852" s="61">
        <v>10964157000</v>
      </c>
      <c r="E852" s="61">
        <v>9196326000</v>
      </c>
      <c r="F852" s="61">
        <v>1429233000</v>
      </c>
      <c r="G852" s="61">
        <v>0</v>
      </c>
      <c r="H852" s="61">
        <v>0</v>
      </c>
      <c r="I852" t="s">
        <v>7</v>
      </c>
      <c r="J852" t="s">
        <v>158</v>
      </c>
      <c r="K852" s="61">
        <f t="shared" si="39"/>
        <v>1767831000</v>
      </c>
      <c r="L852" s="61">
        <f t="shared" si="40"/>
        <v>1429233000</v>
      </c>
      <c r="M852" s="61">
        <f t="shared" si="41"/>
        <v>338598000</v>
      </c>
    </row>
    <row r="853" spans="1:13" x14ac:dyDescent="0.25">
      <c r="A853" t="s">
        <v>325</v>
      </c>
      <c r="B853" t="s">
        <v>6</v>
      </c>
      <c r="C853">
        <v>41274</v>
      </c>
      <c r="D853" s="61">
        <v>4365400000</v>
      </c>
      <c r="E853" s="61">
        <v>1656600000</v>
      </c>
      <c r="F853" s="61">
        <v>1252300000</v>
      </c>
      <c r="G853" s="61">
        <v>1101600000</v>
      </c>
      <c r="H853" s="61">
        <v>0</v>
      </c>
      <c r="I853" t="s">
        <v>16</v>
      </c>
      <c r="J853" t="s">
        <v>168</v>
      </c>
      <c r="K853" s="61">
        <f t="shared" si="39"/>
        <v>2708800000</v>
      </c>
      <c r="L853" s="61">
        <f t="shared" si="40"/>
        <v>2353900000</v>
      </c>
      <c r="M853" s="61">
        <f t="shared" si="41"/>
        <v>354900000</v>
      </c>
    </row>
    <row r="854" spans="1:13" x14ac:dyDescent="0.25">
      <c r="A854" t="s">
        <v>325</v>
      </c>
      <c r="B854" t="s">
        <v>9</v>
      </c>
      <c r="C854">
        <v>41639</v>
      </c>
      <c r="D854" s="61">
        <v>4669100000</v>
      </c>
      <c r="E854" s="61">
        <v>1727700000</v>
      </c>
      <c r="F854" s="61">
        <v>1293200000</v>
      </c>
      <c r="G854" s="61">
        <v>1043200000</v>
      </c>
      <c r="H854" s="61">
        <v>0</v>
      </c>
      <c r="I854" t="s">
        <v>16</v>
      </c>
      <c r="J854" t="s">
        <v>168</v>
      </c>
      <c r="K854" s="61">
        <f t="shared" si="39"/>
        <v>2941400000</v>
      </c>
      <c r="L854" s="61">
        <f t="shared" si="40"/>
        <v>2336400000</v>
      </c>
      <c r="M854" s="61">
        <f t="shared" si="41"/>
        <v>605000000</v>
      </c>
    </row>
    <row r="855" spans="1:13" x14ac:dyDescent="0.25">
      <c r="A855" t="s">
        <v>325</v>
      </c>
      <c r="B855" t="s">
        <v>10</v>
      </c>
      <c r="C855">
        <v>42004</v>
      </c>
      <c r="D855" s="61">
        <v>4627100000</v>
      </c>
      <c r="E855" s="61">
        <v>1768900000</v>
      </c>
      <c r="F855" s="61">
        <v>1254700000</v>
      </c>
      <c r="G855" s="61">
        <v>1006200000</v>
      </c>
      <c r="H855" s="61">
        <v>0</v>
      </c>
      <c r="I855" t="s">
        <v>16</v>
      </c>
      <c r="J855" t="s">
        <v>168</v>
      </c>
      <c r="K855" s="61">
        <f t="shared" si="39"/>
        <v>2858200000</v>
      </c>
      <c r="L855" s="61">
        <f t="shared" si="40"/>
        <v>2260900000</v>
      </c>
      <c r="M855" s="61">
        <f t="shared" si="41"/>
        <v>597300000</v>
      </c>
    </row>
    <row r="856" spans="1:13" x14ac:dyDescent="0.25">
      <c r="A856" t="s">
        <v>325</v>
      </c>
      <c r="B856" t="s">
        <v>11</v>
      </c>
      <c r="C856">
        <v>42369</v>
      </c>
      <c r="D856" s="61">
        <v>4857800000</v>
      </c>
      <c r="E856" s="61">
        <v>1779200000</v>
      </c>
      <c r="F856" s="61">
        <v>1172700000</v>
      </c>
      <c r="G856" s="61">
        <v>994500000</v>
      </c>
      <c r="H856" s="61">
        <v>0</v>
      </c>
      <c r="I856" t="s">
        <v>16</v>
      </c>
      <c r="J856" t="s">
        <v>168</v>
      </c>
      <c r="K856" s="61">
        <f t="shared" si="39"/>
        <v>3078600000</v>
      </c>
      <c r="L856" s="61">
        <f t="shared" si="40"/>
        <v>2167200000</v>
      </c>
      <c r="M856" s="61">
        <f t="shared" si="41"/>
        <v>911400000</v>
      </c>
    </row>
    <row r="857" spans="1:13" x14ac:dyDescent="0.25">
      <c r="A857" t="s">
        <v>326</v>
      </c>
      <c r="B857" t="s">
        <v>6</v>
      </c>
      <c r="C857">
        <v>41274</v>
      </c>
      <c r="D857" s="61">
        <v>93646000000</v>
      </c>
      <c r="E857" s="61">
        <v>0</v>
      </c>
      <c r="F857" s="61">
        <v>64729000000</v>
      </c>
      <c r="G857" s="61">
        <v>0</v>
      </c>
      <c r="H857" s="61">
        <v>3385000000</v>
      </c>
      <c r="I857" t="s">
        <v>41</v>
      </c>
      <c r="J857" t="s">
        <v>99</v>
      </c>
      <c r="K857" s="61">
        <f t="shared" si="39"/>
        <v>93646000000</v>
      </c>
      <c r="L857" s="61">
        <f t="shared" si="40"/>
        <v>68114000000</v>
      </c>
      <c r="M857" s="61">
        <f t="shared" si="41"/>
        <v>25532000000</v>
      </c>
    </row>
    <row r="858" spans="1:13" x14ac:dyDescent="0.25">
      <c r="A858" t="s">
        <v>326</v>
      </c>
      <c r="B858" t="s">
        <v>9</v>
      </c>
      <c r="C858">
        <v>41639</v>
      </c>
      <c r="D858" s="61">
        <v>97142000000</v>
      </c>
      <c r="E858" s="61">
        <v>0</v>
      </c>
      <c r="F858" s="61">
        <v>70467000000</v>
      </c>
      <c r="G858" s="61">
        <v>0</v>
      </c>
      <c r="H858" s="61">
        <v>225000000</v>
      </c>
      <c r="I858" t="s">
        <v>41</v>
      </c>
      <c r="J858" t="s">
        <v>99</v>
      </c>
      <c r="K858" s="61">
        <f t="shared" si="39"/>
        <v>97142000000</v>
      </c>
      <c r="L858" s="61">
        <f t="shared" si="40"/>
        <v>70692000000</v>
      </c>
      <c r="M858" s="61">
        <f t="shared" si="41"/>
        <v>26450000000</v>
      </c>
    </row>
    <row r="859" spans="1:13" x14ac:dyDescent="0.25">
      <c r="A859" t="s">
        <v>326</v>
      </c>
      <c r="B859" t="s">
        <v>10</v>
      </c>
      <c r="C859">
        <v>42004</v>
      </c>
      <c r="D859" s="61">
        <v>91973000000</v>
      </c>
      <c r="E859" s="61">
        <v>0</v>
      </c>
      <c r="F859" s="61">
        <v>61274000000</v>
      </c>
      <c r="G859" s="61">
        <v>0</v>
      </c>
      <c r="H859" s="61">
        <v>3139000000</v>
      </c>
      <c r="I859" t="s">
        <v>41</v>
      </c>
      <c r="J859" t="s">
        <v>99</v>
      </c>
      <c r="K859" s="61">
        <f t="shared" si="39"/>
        <v>91973000000</v>
      </c>
      <c r="L859" s="61">
        <f t="shared" si="40"/>
        <v>64413000000</v>
      </c>
      <c r="M859" s="61">
        <f t="shared" si="41"/>
        <v>27560000000</v>
      </c>
    </row>
    <row r="860" spans="1:13" x14ac:dyDescent="0.25">
      <c r="A860" t="s">
        <v>326</v>
      </c>
      <c r="B860" t="s">
        <v>11</v>
      </c>
      <c r="C860">
        <v>42369</v>
      </c>
      <c r="D860" s="61">
        <v>89716000000</v>
      </c>
      <c r="E860" s="61">
        <v>0</v>
      </c>
      <c r="F860" s="61">
        <v>59014000000</v>
      </c>
      <c r="G860" s="61">
        <v>0</v>
      </c>
      <c r="H860" s="61">
        <v>3827000000</v>
      </c>
      <c r="I860" t="s">
        <v>41</v>
      </c>
      <c r="J860" t="s">
        <v>99</v>
      </c>
      <c r="K860" s="61">
        <f t="shared" si="39"/>
        <v>89716000000</v>
      </c>
      <c r="L860" s="61">
        <f t="shared" si="40"/>
        <v>62841000000</v>
      </c>
      <c r="M860" s="61">
        <f t="shared" si="41"/>
        <v>26875000000</v>
      </c>
    </row>
    <row r="861" spans="1:13" x14ac:dyDescent="0.25">
      <c r="A861" t="s">
        <v>327</v>
      </c>
      <c r="B861" t="s">
        <v>6</v>
      </c>
      <c r="C861">
        <v>41307</v>
      </c>
      <c r="D861" s="61">
        <v>12134000000</v>
      </c>
      <c r="E861" s="61">
        <v>7432000000</v>
      </c>
      <c r="F861" s="61">
        <v>3357000000</v>
      </c>
      <c r="G861" s="61">
        <v>0</v>
      </c>
      <c r="H861" s="61">
        <v>0</v>
      </c>
      <c r="I861" t="s">
        <v>13</v>
      </c>
      <c r="J861" t="s">
        <v>328</v>
      </c>
      <c r="K861" s="61">
        <f t="shared" si="39"/>
        <v>4702000000</v>
      </c>
      <c r="L861" s="61">
        <f t="shared" si="40"/>
        <v>3357000000</v>
      </c>
      <c r="M861" s="61">
        <f t="shared" si="41"/>
        <v>1345000000</v>
      </c>
    </row>
    <row r="862" spans="1:13" x14ac:dyDescent="0.25">
      <c r="A862" t="s">
        <v>327</v>
      </c>
      <c r="B862" t="s">
        <v>9</v>
      </c>
      <c r="C862">
        <v>41671</v>
      </c>
      <c r="D862" s="61">
        <v>12540000000</v>
      </c>
      <c r="E862" s="61">
        <v>7737000000</v>
      </c>
      <c r="F862" s="61">
        <v>3453000000</v>
      </c>
      <c r="G862" s="61">
        <v>0</v>
      </c>
      <c r="H862" s="61">
        <v>0</v>
      </c>
      <c r="I862" t="s">
        <v>13</v>
      </c>
      <c r="J862" t="s">
        <v>328</v>
      </c>
      <c r="K862" s="61">
        <f t="shared" si="39"/>
        <v>4803000000</v>
      </c>
      <c r="L862" s="61">
        <f t="shared" si="40"/>
        <v>3453000000</v>
      </c>
      <c r="M862" s="61">
        <f t="shared" si="41"/>
        <v>1350000000</v>
      </c>
    </row>
    <row r="863" spans="1:13" x14ac:dyDescent="0.25">
      <c r="A863" t="s">
        <v>327</v>
      </c>
      <c r="B863" t="s">
        <v>10</v>
      </c>
      <c r="C863">
        <v>42035</v>
      </c>
      <c r="D863" s="61">
        <v>13506000000</v>
      </c>
      <c r="E863" s="61">
        <v>8406000000</v>
      </c>
      <c r="F863" s="61">
        <v>3777000000</v>
      </c>
      <c r="G863" s="61">
        <v>0</v>
      </c>
      <c r="H863" s="61">
        <v>0</v>
      </c>
      <c r="I863" t="s">
        <v>13</v>
      </c>
      <c r="J863" t="s">
        <v>328</v>
      </c>
      <c r="K863" s="61">
        <f t="shared" si="39"/>
        <v>5100000000</v>
      </c>
      <c r="L863" s="61">
        <f t="shared" si="40"/>
        <v>3777000000</v>
      </c>
      <c r="M863" s="61">
        <f t="shared" si="41"/>
        <v>1323000000</v>
      </c>
    </row>
    <row r="864" spans="1:13" x14ac:dyDescent="0.25">
      <c r="A864" t="s">
        <v>327</v>
      </c>
      <c r="B864" t="s">
        <v>11</v>
      </c>
      <c r="C864">
        <v>42399</v>
      </c>
      <c r="D864" s="61">
        <v>14437000000</v>
      </c>
      <c r="E864" s="61">
        <v>9168000000</v>
      </c>
      <c r="F864" s="61">
        <v>4168000000</v>
      </c>
      <c r="G864" s="61">
        <v>0</v>
      </c>
      <c r="H864" s="61">
        <v>0</v>
      </c>
      <c r="I864" t="s">
        <v>13</v>
      </c>
      <c r="J864" t="s">
        <v>328</v>
      </c>
      <c r="K864" s="61">
        <f t="shared" si="39"/>
        <v>5269000000</v>
      </c>
      <c r="L864" s="61">
        <f t="shared" si="40"/>
        <v>4168000000</v>
      </c>
      <c r="M864" s="61">
        <f t="shared" si="41"/>
        <v>1101000000</v>
      </c>
    </row>
    <row r="865" spans="1:13" x14ac:dyDescent="0.25">
      <c r="A865" t="s">
        <v>329</v>
      </c>
      <c r="B865" t="s">
        <v>6</v>
      </c>
      <c r="C865">
        <v>41272</v>
      </c>
      <c r="D865" s="61">
        <v>14197000000</v>
      </c>
      <c r="E865" s="61">
        <v>8763000000</v>
      </c>
      <c r="F865" s="61">
        <v>3872000000</v>
      </c>
      <c r="G865" s="61">
        <v>0</v>
      </c>
      <c r="H865" s="61">
        <v>0</v>
      </c>
      <c r="I865" t="s">
        <v>30</v>
      </c>
      <c r="J865" t="s">
        <v>118</v>
      </c>
      <c r="K865" s="61">
        <f t="shared" si="39"/>
        <v>5434000000</v>
      </c>
      <c r="L865" s="61">
        <f t="shared" si="40"/>
        <v>3872000000</v>
      </c>
      <c r="M865" s="61">
        <f t="shared" si="41"/>
        <v>1562000000</v>
      </c>
    </row>
    <row r="866" spans="1:13" x14ac:dyDescent="0.25">
      <c r="A866" t="s">
        <v>329</v>
      </c>
      <c r="B866" t="s">
        <v>9</v>
      </c>
      <c r="C866">
        <v>41636</v>
      </c>
      <c r="D866" s="61">
        <v>14792000000</v>
      </c>
      <c r="E866" s="61">
        <v>8689000000</v>
      </c>
      <c r="F866" s="61">
        <v>3266000000</v>
      </c>
      <c r="G866" s="61">
        <v>0</v>
      </c>
      <c r="H866" s="61">
        <v>0</v>
      </c>
      <c r="I866" t="s">
        <v>30</v>
      </c>
      <c r="J866" t="s">
        <v>118</v>
      </c>
      <c r="K866" s="61">
        <f t="shared" si="39"/>
        <v>6103000000</v>
      </c>
      <c r="L866" s="61">
        <f t="shared" si="40"/>
        <v>3266000000</v>
      </c>
      <c r="M866" s="61">
        <f t="shared" si="41"/>
        <v>2837000000</v>
      </c>
    </row>
    <row r="867" spans="1:13" x14ac:dyDescent="0.25">
      <c r="A867" t="s">
        <v>329</v>
      </c>
      <c r="B867" t="s">
        <v>10</v>
      </c>
      <c r="C867">
        <v>42007</v>
      </c>
      <c r="D867" s="61">
        <v>14580000000</v>
      </c>
      <c r="E867" s="61">
        <v>9517000000</v>
      </c>
      <c r="F867" s="61">
        <v>4039000000</v>
      </c>
      <c r="G867" s="61">
        <v>0</v>
      </c>
      <c r="H867" s="61">
        <v>0</v>
      </c>
      <c r="I867" t="s">
        <v>30</v>
      </c>
      <c r="J867" t="s">
        <v>118</v>
      </c>
      <c r="K867" s="61">
        <f t="shared" si="39"/>
        <v>5063000000</v>
      </c>
      <c r="L867" s="61">
        <f t="shared" si="40"/>
        <v>4039000000</v>
      </c>
      <c r="M867" s="61">
        <f t="shared" si="41"/>
        <v>1024000000</v>
      </c>
    </row>
    <row r="868" spans="1:13" x14ac:dyDescent="0.25">
      <c r="A868" t="s">
        <v>329</v>
      </c>
      <c r="B868" t="s">
        <v>11</v>
      </c>
      <c r="C868">
        <v>42371</v>
      </c>
      <c r="D868" s="61">
        <v>13525000000</v>
      </c>
      <c r="E868" s="61">
        <v>8844000000</v>
      </c>
      <c r="F868" s="61">
        <v>3590000000</v>
      </c>
      <c r="G868" s="61">
        <v>0</v>
      </c>
      <c r="H868" s="61">
        <v>0</v>
      </c>
      <c r="I868" t="s">
        <v>30</v>
      </c>
      <c r="J868" t="s">
        <v>118</v>
      </c>
      <c r="K868" s="61">
        <f t="shared" si="39"/>
        <v>4681000000</v>
      </c>
      <c r="L868" s="61">
        <f t="shared" si="40"/>
        <v>3590000000</v>
      </c>
      <c r="M868" s="61">
        <f t="shared" si="41"/>
        <v>1091000000</v>
      </c>
    </row>
    <row r="869" spans="1:13" x14ac:dyDescent="0.25">
      <c r="A869" t="s">
        <v>330</v>
      </c>
      <c r="B869" t="s">
        <v>6</v>
      </c>
      <c r="C869">
        <v>41547</v>
      </c>
      <c r="D869" s="61">
        <v>1287577000</v>
      </c>
      <c r="E869" s="61">
        <v>1073447000</v>
      </c>
      <c r="F869" s="61">
        <v>174085000</v>
      </c>
      <c r="G869" s="61">
        <v>0</v>
      </c>
      <c r="H869" s="61">
        <v>12784000</v>
      </c>
      <c r="I869" t="s">
        <v>41</v>
      </c>
      <c r="J869" t="s">
        <v>99</v>
      </c>
      <c r="K869" s="61">
        <f t="shared" si="39"/>
        <v>214130000</v>
      </c>
      <c r="L869" s="61">
        <f t="shared" si="40"/>
        <v>186869000</v>
      </c>
      <c r="M869" s="61">
        <f t="shared" si="41"/>
        <v>27261000</v>
      </c>
    </row>
    <row r="870" spans="1:13" x14ac:dyDescent="0.25">
      <c r="A870" t="s">
        <v>330</v>
      </c>
      <c r="B870" t="s">
        <v>9</v>
      </c>
      <c r="C870">
        <v>41912</v>
      </c>
      <c r="D870" s="61">
        <v>1463767000</v>
      </c>
      <c r="E870" s="61">
        <v>1200308000</v>
      </c>
      <c r="F870" s="61">
        <v>194491000</v>
      </c>
      <c r="G870" s="61">
        <v>0</v>
      </c>
      <c r="H870" s="61">
        <v>13279000</v>
      </c>
      <c r="I870" t="s">
        <v>41</v>
      </c>
      <c r="J870" t="s">
        <v>99</v>
      </c>
      <c r="K870" s="61">
        <f t="shared" si="39"/>
        <v>263459000</v>
      </c>
      <c r="L870" s="61">
        <f t="shared" si="40"/>
        <v>207770000</v>
      </c>
      <c r="M870" s="61">
        <f t="shared" si="41"/>
        <v>55689000</v>
      </c>
    </row>
    <row r="871" spans="1:13" x14ac:dyDescent="0.25">
      <c r="A871" t="s">
        <v>330</v>
      </c>
      <c r="B871" t="s">
        <v>10</v>
      </c>
      <c r="C871">
        <v>42277</v>
      </c>
      <c r="D871" s="61">
        <v>1627413000</v>
      </c>
      <c r="E871" s="61">
        <v>1354969000</v>
      </c>
      <c r="F871" s="61">
        <v>207519000</v>
      </c>
      <c r="G871" s="61">
        <v>0</v>
      </c>
      <c r="H871" s="61">
        <v>13338000</v>
      </c>
      <c r="I871" t="s">
        <v>41</v>
      </c>
      <c r="J871" t="s">
        <v>99</v>
      </c>
      <c r="K871" s="61">
        <f t="shared" si="39"/>
        <v>272444000</v>
      </c>
      <c r="L871" s="61">
        <f t="shared" si="40"/>
        <v>220857000</v>
      </c>
      <c r="M871" s="61">
        <f t="shared" si="41"/>
        <v>51587000</v>
      </c>
    </row>
    <row r="872" spans="1:13" x14ac:dyDescent="0.25">
      <c r="A872" t="s">
        <v>330</v>
      </c>
      <c r="B872" t="s">
        <v>11</v>
      </c>
      <c r="C872">
        <v>42643</v>
      </c>
      <c r="D872" s="61">
        <v>1822114000</v>
      </c>
      <c r="E872" s="61">
        <v>1524907000</v>
      </c>
      <c r="F872" s="61">
        <v>224088000</v>
      </c>
      <c r="G872" s="61">
        <v>0</v>
      </c>
      <c r="H872" s="61">
        <v>13794000</v>
      </c>
      <c r="I872" t="s">
        <v>41</v>
      </c>
      <c r="J872" t="s">
        <v>99</v>
      </c>
      <c r="K872" s="61">
        <f t="shared" si="39"/>
        <v>297207000</v>
      </c>
      <c r="L872" s="61">
        <f t="shared" si="40"/>
        <v>237882000</v>
      </c>
      <c r="M872" s="61">
        <f t="shared" si="41"/>
        <v>59325000</v>
      </c>
    </row>
    <row r="873" spans="1:13" x14ac:dyDescent="0.25">
      <c r="A873" t="s">
        <v>331</v>
      </c>
      <c r="B873" t="s">
        <v>6</v>
      </c>
      <c r="C873">
        <v>41274</v>
      </c>
      <c r="D873" s="61">
        <v>793373000</v>
      </c>
      <c r="E873" s="61">
        <v>206974000</v>
      </c>
      <c r="F873" s="61">
        <v>123524000</v>
      </c>
      <c r="G873" s="61">
        <v>0</v>
      </c>
      <c r="H873" s="61">
        <v>214827000</v>
      </c>
      <c r="I873" t="s">
        <v>46</v>
      </c>
      <c r="J873" t="s">
        <v>47</v>
      </c>
      <c r="K873" s="61">
        <f t="shared" si="39"/>
        <v>586399000</v>
      </c>
      <c r="L873" s="61">
        <f t="shared" si="40"/>
        <v>338351000</v>
      </c>
      <c r="M873" s="61">
        <f t="shared" si="41"/>
        <v>248048000</v>
      </c>
    </row>
    <row r="874" spans="1:13" x14ac:dyDescent="0.25">
      <c r="A874" t="s">
        <v>331</v>
      </c>
      <c r="B874" t="s">
        <v>9</v>
      </c>
      <c r="C874">
        <v>41639</v>
      </c>
      <c r="D874" s="61">
        <v>861527000</v>
      </c>
      <c r="E874" s="61">
        <v>221498000</v>
      </c>
      <c r="F874" s="61">
        <v>127470000</v>
      </c>
      <c r="G874" s="61">
        <v>0</v>
      </c>
      <c r="H874" s="61">
        <v>224713000</v>
      </c>
      <c r="I874" t="s">
        <v>46</v>
      </c>
      <c r="J874" t="s">
        <v>47</v>
      </c>
      <c r="K874" s="61">
        <f t="shared" si="39"/>
        <v>640029000</v>
      </c>
      <c r="L874" s="61">
        <f t="shared" si="40"/>
        <v>352183000</v>
      </c>
      <c r="M874" s="61">
        <f t="shared" si="41"/>
        <v>287846000</v>
      </c>
    </row>
    <row r="875" spans="1:13" x14ac:dyDescent="0.25">
      <c r="A875" t="s">
        <v>331</v>
      </c>
      <c r="B875" t="s">
        <v>10</v>
      </c>
      <c r="C875">
        <v>42004</v>
      </c>
      <c r="D875" s="61">
        <v>993897000</v>
      </c>
      <c r="E875" s="61">
        <v>258617000</v>
      </c>
      <c r="F875" s="61">
        <v>122201000</v>
      </c>
      <c r="G875" s="61">
        <v>0</v>
      </c>
      <c r="H875" s="61">
        <v>258074000</v>
      </c>
      <c r="I875" t="s">
        <v>46</v>
      </c>
      <c r="J875" t="s">
        <v>47</v>
      </c>
      <c r="K875" s="61">
        <f t="shared" si="39"/>
        <v>735280000</v>
      </c>
      <c r="L875" s="61">
        <f t="shared" si="40"/>
        <v>380275000</v>
      </c>
      <c r="M875" s="61">
        <f t="shared" si="41"/>
        <v>355005000</v>
      </c>
    </row>
    <row r="876" spans="1:13" x14ac:dyDescent="0.25">
      <c r="A876" t="s">
        <v>331</v>
      </c>
      <c r="B876" t="s">
        <v>11</v>
      </c>
      <c r="C876">
        <v>42369</v>
      </c>
      <c r="D876" s="61">
        <v>1166769000</v>
      </c>
      <c r="E876" s="61">
        <v>304477000</v>
      </c>
      <c r="F876" s="61">
        <v>122735000</v>
      </c>
      <c r="G876" s="61">
        <v>0</v>
      </c>
      <c r="H876" s="61">
        <v>344527000</v>
      </c>
      <c r="I876" t="s">
        <v>46</v>
      </c>
      <c r="J876" t="s">
        <v>47</v>
      </c>
      <c r="K876" s="61">
        <f t="shared" si="39"/>
        <v>862292000</v>
      </c>
      <c r="L876" s="61">
        <f t="shared" si="40"/>
        <v>467262000</v>
      </c>
      <c r="M876" s="61">
        <f t="shared" si="41"/>
        <v>395030000</v>
      </c>
    </row>
    <row r="877" spans="1:13" x14ac:dyDescent="0.25">
      <c r="A877" t="s">
        <v>332</v>
      </c>
      <c r="B877" t="s">
        <v>6</v>
      </c>
      <c r="C877">
        <v>41455</v>
      </c>
      <c r="D877" s="61">
        <v>2842781000</v>
      </c>
      <c r="E877" s="61">
        <v>1237452000</v>
      </c>
      <c r="F877" s="61">
        <v>387812000</v>
      </c>
      <c r="G877" s="61">
        <v>487832000</v>
      </c>
      <c r="H877" s="61">
        <v>0</v>
      </c>
      <c r="I877" t="s">
        <v>16</v>
      </c>
      <c r="J877" t="s">
        <v>62</v>
      </c>
      <c r="K877" s="61">
        <f t="shared" si="39"/>
        <v>1605329000</v>
      </c>
      <c r="L877" s="61">
        <f t="shared" si="40"/>
        <v>875644000</v>
      </c>
      <c r="M877" s="61">
        <f t="shared" si="41"/>
        <v>729685000</v>
      </c>
    </row>
    <row r="878" spans="1:13" x14ac:dyDescent="0.25">
      <c r="A878" t="s">
        <v>332</v>
      </c>
      <c r="B878" t="s">
        <v>9</v>
      </c>
      <c r="C878">
        <v>41820</v>
      </c>
      <c r="D878" s="61">
        <v>2929408000</v>
      </c>
      <c r="E878" s="61">
        <v>1232962000</v>
      </c>
      <c r="F878" s="61">
        <v>384907000</v>
      </c>
      <c r="G878" s="61">
        <v>539469000</v>
      </c>
      <c r="H878" s="61">
        <v>0</v>
      </c>
      <c r="I878" t="s">
        <v>16</v>
      </c>
      <c r="J878" t="s">
        <v>62</v>
      </c>
      <c r="K878" s="61">
        <f t="shared" si="39"/>
        <v>1696446000</v>
      </c>
      <c r="L878" s="61">
        <f t="shared" si="40"/>
        <v>924376000</v>
      </c>
      <c r="M878" s="61">
        <f t="shared" si="41"/>
        <v>772070000</v>
      </c>
    </row>
    <row r="879" spans="1:13" x14ac:dyDescent="0.25">
      <c r="A879" t="s">
        <v>332</v>
      </c>
      <c r="B879" t="s">
        <v>10</v>
      </c>
      <c r="C879">
        <v>42185</v>
      </c>
      <c r="D879" s="61">
        <v>2814049000</v>
      </c>
      <c r="E879" s="61">
        <v>1215229000</v>
      </c>
      <c r="F879" s="61">
        <v>406864000</v>
      </c>
      <c r="G879" s="61">
        <v>530616000</v>
      </c>
      <c r="H879" s="61">
        <v>0</v>
      </c>
      <c r="I879" t="s">
        <v>16</v>
      </c>
      <c r="J879" t="s">
        <v>62</v>
      </c>
      <c r="K879" s="61">
        <f t="shared" si="39"/>
        <v>1598820000</v>
      </c>
      <c r="L879" s="61">
        <f t="shared" si="40"/>
        <v>937480000</v>
      </c>
      <c r="M879" s="61">
        <f t="shared" si="41"/>
        <v>661340000</v>
      </c>
    </row>
    <row r="880" spans="1:13" x14ac:dyDescent="0.25">
      <c r="A880" t="s">
        <v>332</v>
      </c>
      <c r="B880" t="s">
        <v>11</v>
      </c>
      <c r="C880">
        <v>42551</v>
      </c>
      <c r="D880" s="61">
        <v>2984493000</v>
      </c>
      <c r="E880" s="61">
        <v>1163391000</v>
      </c>
      <c r="F880" s="61">
        <v>379399000</v>
      </c>
      <c r="G880" s="61">
        <v>481258000</v>
      </c>
      <c r="H880" s="61">
        <v>0</v>
      </c>
      <c r="I880" t="s">
        <v>16</v>
      </c>
      <c r="J880" t="s">
        <v>62</v>
      </c>
      <c r="K880" s="61">
        <f t="shared" si="39"/>
        <v>1821102000</v>
      </c>
      <c r="L880" s="61">
        <f t="shared" si="40"/>
        <v>860657000</v>
      </c>
      <c r="M880" s="61">
        <f t="shared" si="41"/>
        <v>960445000</v>
      </c>
    </row>
    <row r="881" spans="1:13" x14ac:dyDescent="0.25">
      <c r="A881" t="s">
        <v>333</v>
      </c>
      <c r="B881" t="s">
        <v>6</v>
      </c>
      <c r="C881">
        <v>41639</v>
      </c>
      <c r="D881" s="61">
        <v>19561000000</v>
      </c>
      <c r="E881" s="61">
        <v>12952000000</v>
      </c>
      <c r="F881" s="61">
        <v>3706000000</v>
      </c>
      <c r="G881" s="61">
        <v>0</v>
      </c>
      <c r="H881" s="61">
        <v>0</v>
      </c>
      <c r="I881" t="s">
        <v>30</v>
      </c>
      <c r="J881" t="s">
        <v>136</v>
      </c>
      <c r="K881" s="61">
        <f t="shared" si="39"/>
        <v>6609000000</v>
      </c>
      <c r="L881" s="61">
        <f t="shared" si="40"/>
        <v>3706000000</v>
      </c>
      <c r="M881" s="61">
        <f t="shared" si="41"/>
        <v>2903000000</v>
      </c>
    </row>
    <row r="882" spans="1:13" x14ac:dyDescent="0.25">
      <c r="A882" t="s">
        <v>333</v>
      </c>
      <c r="B882" t="s">
        <v>9</v>
      </c>
      <c r="C882">
        <v>42004</v>
      </c>
      <c r="D882" s="61">
        <v>19724000000</v>
      </c>
      <c r="E882" s="61">
        <v>13041000000</v>
      </c>
      <c r="F882" s="61">
        <v>4162000000</v>
      </c>
      <c r="G882" s="61">
        <v>0</v>
      </c>
      <c r="H882" s="61">
        <v>0</v>
      </c>
      <c r="I882" t="s">
        <v>30</v>
      </c>
      <c r="J882" t="s">
        <v>136</v>
      </c>
      <c r="K882" s="61">
        <f t="shared" si="39"/>
        <v>6683000000</v>
      </c>
      <c r="L882" s="61">
        <f t="shared" si="40"/>
        <v>4162000000</v>
      </c>
      <c r="M882" s="61">
        <f t="shared" si="41"/>
        <v>2521000000</v>
      </c>
    </row>
    <row r="883" spans="1:13" x14ac:dyDescent="0.25">
      <c r="A883" t="s">
        <v>333</v>
      </c>
      <c r="B883" t="s">
        <v>10</v>
      </c>
      <c r="C883">
        <v>42369</v>
      </c>
      <c r="D883" s="61">
        <v>18591000000</v>
      </c>
      <c r="E883" s="61">
        <v>11967000000</v>
      </c>
      <c r="F883" s="61">
        <v>5011000000</v>
      </c>
      <c r="G883" s="61">
        <v>0</v>
      </c>
      <c r="H883" s="61">
        <v>0</v>
      </c>
      <c r="I883" t="s">
        <v>30</v>
      </c>
      <c r="J883" t="s">
        <v>136</v>
      </c>
      <c r="K883" s="61">
        <f t="shared" si="39"/>
        <v>6624000000</v>
      </c>
      <c r="L883" s="61">
        <f t="shared" si="40"/>
        <v>5011000000</v>
      </c>
      <c r="M883" s="61">
        <f t="shared" si="41"/>
        <v>1613000000</v>
      </c>
    </row>
    <row r="884" spans="1:13" x14ac:dyDescent="0.25">
      <c r="A884" t="s">
        <v>333</v>
      </c>
      <c r="B884" t="s">
        <v>11</v>
      </c>
      <c r="C884">
        <v>42735</v>
      </c>
      <c r="D884" s="61">
        <v>18202000000</v>
      </c>
      <c r="E884" s="61">
        <v>11551000000</v>
      </c>
      <c r="F884" s="61">
        <v>3334000000</v>
      </c>
      <c r="G884" s="61">
        <v>0</v>
      </c>
      <c r="H884" s="61">
        <v>0</v>
      </c>
      <c r="I884" t="s">
        <v>30</v>
      </c>
      <c r="J884" t="s">
        <v>136</v>
      </c>
      <c r="K884" s="61">
        <f t="shared" si="39"/>
        <v>6651000000</v>
      </c>
      <c r="L884" s="61">
        <f t="shared" si="40"/>
        <v>3334000000</v>
      </c>
      <c r="M884" s="61">
        <f t="shared" si="41"/>
        <v>3317000000</v>
      </c>
    </row>
    <row r="885" spans="1:13" x14ac:dyDescent="0.25">
      <c r="A885" t="s">
        <v>334</v>
      </c>
      <c r="B885" t="s">
        <v>6</v>
      </c>
      <c r="C885">
        <v>41639</v>
      </c>
      <c r="D885" s="61">
        <v>14070000000</v>
      </c>
      <c r="E885" s="61">
        <v>7365000000</v>
      </c>
      <c r="F885" s="61">
        <v>1007000000</v>
      </c>
      <c r="G885" s="61">
        <v>0</v>
      </c>
      <c r="H885" s="61">
        <v>1806000000</v>
      </c>
      <c r="I885" t="s">
        <v>77</v>
      </c>
      <c r="J885" t="s">
        <v>335</v>
      </c>
      <c r="K885" s="61">
        <f t="shared" si="39"/>
        <v>6705000000</v>
      </c>
      <c r="L885" s="61">
        <f t="shared" si="40"/>
        <v>2813000000</v>
      </c>
      <c r="M885" s="61">
        <f t="shared" si="41"/>
        <v>3892000000</v>
      </c>
    </row>
    <row r="886" spans="1:13" x14ac:dyDescent="0.25">
      <c r="A886" t="s">
        <v>334</v>
      </c>
      <c r="B886" t="s">
        <v>9</v>
      </c>
      <c r="C886">
        <v>42004</v>
      </c>
      <c r="D886" s="61">
        <v>16226000000</v>
      </c>
      <c r="E886" s="61">
        <v>8435000000</v>
      </c>
      <c r="F886" s="61">
        <v>1029000000</v>
      </c>
      <c r="G886" s="61">
        <v>0</v>
      </c>
      <c r="H886" s="61">
        <v>2040000000</v>
      </c>
      <c r="I886" t="s">
        <v>77</v>
      </c>
      <c r="J886" t="s">
        <v>335</v>
      </c>
      <c r="K886" s="61">
        <f t="shared" si="39"/>
        <v>7791000000</v>
      </c>
      <c r="L886" s="61">
        <f t="shared" si="40"/>
        <v>3069000000</v>
      </c>
      <c r="M886" s="61">
        <f t="shared" si="41"/>
        <v>4722000000</v>
      </c>
    </row>
    <row r="887" spans="1:13" x14ac:dyDescent="0.25">
      <c r="A887" t="s">
        <v>334</v>
      </c>
      <c r="B887" t="s">
        <v>10</v>
      </c>
      <c r="C887">
        <v>42369</v>
      </c>
      <c r="D887" s="61">
        <v>14403000000</v>
      </c>
      <c r="E887" s="61">
        <v>6452000000</v>
      </c>
      <c r="F887" s="61">
        <v>1126000000</v>
      </c>
      <c r="G887" s="61">
        <v>0</v>
      </c>
      <c r="H887" s="61">
        <v>2309000000</v>
      </c>
      <c r="I887" t="s">
        <v>77</v>
      </c>
      <c r="J887" t="s">
        <v>335</v>
      </c>
      <c r="K887" s="61">
        <f t="shared" si="39"/>
        <v>7951000000</v>
      </c>
      <c r="L887" s="61">
        <f t="shared" si="40"/>
        <v>3435000000</v>
      </c>
      <c r="M887" s="61">
        <f t="shared" si="41"/>
        <v>4516000000</v>
      </c>
    </row>
    <row r="888" spans="1:13" x14ac:dyDescent="0.25">
      <c r="A888" t="s">
        <v>334</v>
      </c>
      <c r="B888" t="s">
        <v>11</v>
      </c>
      <c r="C888">
        <v>42735</v>
      </c>
      <c r="D888" s="61">
        <v>13058000000</v>
      </c>
      <c r="E888" s="61">
        <v>5801000000</v>
      </c>
      <c r="F888" s="61">
        <v>1089000000</v>
      </c>
      <c r="G888" s="61">
        <v>0</v>
      </c>
      <c r="H888" s="61">
        <v>2209000000</v>
      </c>
      <c r="I888" t="s">
        <v>77</v>
      </c>
      <c r="J888" t="s">
        <v>335</v>
      </c>
      <c r="K888" s="61">
        <f t="shared" si="39"/>
        <v>7257000000</v>
      </c>
      <c r="L888" s="61">
        <f t="shared" si="40"/>
        <v>3298000000</v>
      </c>
      <c r="M888" s="61">
        <f t="shared" si="41"/>
        <v>3959000000</v>
      </c>
    </row>
    <row r="889" spans="1:13" x14ac:dyDescent="0.25">
      <c r="A889" t="s">
        <v>336</v>
      </c>
      <c r="B889" t="s">
        <v>6</v>
      </c>
      <c r="C889">
        <v>41333</v>
      </c>
      <c r="D889" s="61">
        <v>10962818000</v>
      </c>
      <c r="E889" s="61">
        <v>9498456000</v>
      </c>
      <c r="F889" s="61">
        <v>731767000</v>
      </c>
      <c r="G889" s="61">
        <v>0</v>
      </c>
      <c r="H889" s="61">
        <v>0</v>
      </c>
      <c r="I889" t="s">
        <v>13</v>
      </c>
      <c r="J889" t="s">
        <v>73</v>
      </c>
      <c r="K889" s="61">
        <f t="shared" si="39"/>
        <v>1464362000</v>
      </c>
      <c r="L889" s="61">
        <f t="shared" si="40"/>
        <v>731767000</v>
      </c>
      <c r="M889" s="61">
        <f t="shared" si="41"/>
        <v>732595000</v>
      </c>
    </row>
    <row r="890" spans="1:13" x14ac:dyDescent="0.25">
      <c r="A890" t="s">
        <v>336</v>
      </c>
      <c r="B890" t="s">
        <v>9</v>
      </c>
      <c r="C890">
        <v>41698</v>
      </c>
      <c r="D890" s="61">
        <v>12574299000</v>
      </c>
      <c r="E890" s="61">
        <v>10925598000</v>
      </c>
      <c r="F890" s="61">
        <v>819048000</v>
      </c>
      <c r="G890" s="61">
        <v>0</v>
      </c>
      <c r="H890" s="61">
        <v>0</v>
      </c>
      <c r="I890" t="s">
        <v>13</v>
      </c>
      <c r="J890" t="s">
        <v>73</v>
      </c>
      <c r="K890" s="61">
        <f t="shared" si="39"/>
        <v>1648701000</v>
      </c>
      <c r="L890" s="61">
        <f t="shared" si="40"/>
        <v>819048000</v>
      </c>
      <c r="M890" s="61">
        <f t="shared" si="41"/>
        <v>829653000</v>
      </c>
    </row>
    <row r="891" spans="1:13" x14ac:dyDescent="0.25">
      <c r="A891" t="s">
        <v>336</v>
      </c>
      <c r="B891" t="s">
        <v>10</v>
      </c>
      <c r="C891">
        <v>42063</v>
      </c>
      <c r="D891" s="61">
        <v>14268716000</v>
      </c>
      <c r="E891" s="61">
        <v>12381189000</v>
      </c>
      <c r="F891" s="61">
        <v>890431000</v>
      </c>
      <c r="G891" s="61">
        <v>0</v>
      </c>
      <c r="H891" s="61">
        <v>0</v>
      </c>
      <c r="I891" t="s">
        <v>13</v>
      </c>
      <c r="J891" t="s">
        <v>73</v>
      </c>
      <c r="K891" s="61">
        <f t="shared" si="39"/>
        <v>1887527000</v>
      </c>
      <c r="L891" s="61">
        <f t="shared" si="40"/>
        <v>890431000</v>
      </c>
      <c r="M891" s="61">
        <f t="shared" si="41"/>
        <v>997096000</v>
      </c>
    </row>
    <row r="892" spans="1:13" x14ac:dyDescent="0.25">
      <c r="A892" t="s">
        <v>336</v>
      </c>
      <c r="B892" t="s">
        <v>11</v>
      </c>
      <c r="C892">
        <v>42429</v>
      </c>
      <c r="D892" s="61">
        <v>15149675000</v>
      </c>
      <c r="E892" s="61">
        <v>13130915000</v>
      </c>
      <c r="F892" s="61">
        <v>959899000</v>
      </c>
      <c r="G892" s="61">
        <v>0</v>
      </c>
      <c r="H892" s="61">
        <v>0</v>
      </c>
      <c r="I892" t="s">
        <v>13</v>
      </c>
      <c r="J892" t="s">
        <v>73</v>
      </c>
      <c r="K892" s="61">
        <f t="shared" si="39"/>
        <v>2018760000</v>
      </c>
      <c r="L892" s="61">
        <f t="shared" si="40"/>
        <v>959899000</v>
      </c>
      <c r="M892" s="61">
        <f t="shared" si="41"/>
        <v>1058861000</v>
      </c>
    </row>
    <row r="893" spans="1:13" x14ac:dyDescent="0.25">
      <c r="A893" t="s">
        <v>337</v>
      </c>
      <c r="B893" t="s">
        <v>6</v>
      </c>
      <c r="C893">
        <v>41274</v>
      </c>
      <c r="D893" s="61">
        <v>48017000000</v>
      </c>
      <c r="E893" s="61">
        <v>19053000000</v>
      </c>
      <c r="F893" s="61">
        <v>18185000000</v>
      </c>
      <c r="G893" s="61">
        <v>0</v>
      </c>
      <c r="H893" s="61">
        <v>0</v>
      </c>
      <c r="I893" t="s">
        <v>30</v>
      </c>
      <c r="J893" t="s">
        <v>208</v>
      </c>
      <c r="K893" s="61">
        <f t="shared" si="39"/>
        <v>28964000000</v>
      </c>
      <c r="L893" s="61">
        <f t="shared" si="40"/>
        <v>18185000000</v>
      </c>
      <c r="M893" s="61">
        <f t="shared" si="41"/>
        <v>10779000000</v>
      </c>
    </row>
    <row r="894" spans="1:13" x14ac:dyDescent="0.25">
      <c r="A894" t="s">
        <v>337</v>
      </c>
      <c r="B894" t="s">
        <v>9</v>
      </c>
      <c r="C894">
        <v>41639</v>
      </c>
      <c r="D894" s="61">
        <v>46854000000</v>
      </c>
      <c r="E894" s="61">
        <v>18421000000</v>
      </c>
      <c r="F894" s="61">
        <v>18205000000</v>
      </c>
      <c r="G894" s="61">
        <v>0</v>
      </c>
      <c r="H894" s="61">
        <v>0</v>
      </c>
      <c r="I894" t="s">
        <v>30</v>
      </c>
      <c r="J894" t="s">
        <v>208</v>
      </c>
      <c r="K894" s="61">
        <f t="shared" si="39"/>
        <v>28433000000</v>
      </c>
      <c r="L894" s="61">
        <f t="shared" si="40"/>
        <v>18205000000</v>
      </c>
      <c r="M894" s="61">
        <f t="shared" si="41"/>
        <v>10228000000</v>
      </c>
    </row>
    <row r="895" spans="1:13" x14ac:dyDescent="0.25">
      <c r="A895" t="s">
        <v>337</v>
      </c>
      <c r="B895" t="s">
        <v>10</v>
      </c>
      <c r="C895">
        <v>42004</v>
      </c>
      <c r="D895" s="61">
        <v>45998000000</v>
      </c>
      <c r="E895" s="61">
        <v>17889000000</v>
      </c>
      <c r="F895" s="61">
        <v>18401000000</v>
      </c>
      <c r="G895" s="61">
        <v>0</v>
      </c>
      <c r="H895" s="61">
        <v>0</v>
      </c>
      <c r="I895" t="s">
        <v>30</v>
      </c>
      <c r="J895" t="s">
        <v>208</v>
      </c>
      <c r="K895" s="61">
        <f t="shared" si="39"/>
        <v>28109000000</v>
      </c>
      <c r="L895" s="61">
        <f t="shared" si="40"/>
        <v>18401000000</v>
      </c>
      <c r="M895" s="61">
        <f t="shared" si="41"/>
        <v>9708000000</v>
      </c>
    </row>
    <row r="896" spans="1:13" x14ac:dyDescent="0.25">
      <c r="A896" t="s">
        <v>337</v>
      </c>
      <c r="B896" t="s">
        <v>11</v>
      </c>
      <c r="C896">
        <v>42369</v>
      </c>
      <c r="D896" s="61">
        <v>44294000000</v>
      </c>
      <c r="E896" s="61">
        <v>17482000000</v>
      </c>
      <c r="F896" s="61">
        <v>18084000000</v>
      </c>
      <c r="G896" s="61">
        <v>0</v>
      </c>
      <c r="H896" s="61">
        <v>0</v>
      </c>
      <c r="I896" t="s">
        <v>30</v>
      </c>
      <c r="J896" t="s">
        <v>208</v>
      </c>
      <c r="K896" s="61">
        <f t="shared" si="39"/>
        <v>26812000000</v>
      </c>
      <c r="L896" s="61">
        <f t="shared" si="40"/>
        <v>18084000000</v>
      </c>
      <c r="M896" s="61">
        <f t="shared" si="41"/>
        <v>8728000000</v>
      </c>
    </row>
    <row r="897" spans="1:13" x14ac:dyDescent="0.25">
      <c r="A897" t="s">
        <v>338</v>
      </c>
      <c r="B897" t="s">
        <v>6</v>
      </c>
      <c r="C897">
        <v>41363</v>
      </c>
      <c r="D897" s="61">
        <v>2181732000</v>
      </c>
      <c r="E897" s="61">
        <v>875166000</v>
      </c>
      <c r="F897" s="61">
        <v>621536000</v>
      </c>
      <c r="G897" s="61">
        <v>0</v>
      </c>
      <c r="H897" s="61">
        <v>54291000</v>
      </c>
      <c r="I897" t="s">
        <v>13</v>
      </c>
      <c r="J897" t="s">
        <v>283</v>
      </c>
      <c r="K897" s="61">
        <f t="shared" si="39"/>
        <v>1306566000</v>
      </c>
      <c r="L897" s="61">
        <f t="shared" si="40"/>
        <v>675827000</v>
      </c>
      <c r="M897" s="61">
        <f t="shared" si="41"/>
        <v>630739000</v>
      </c>
    </row>
    <row r="898" spans="1:13" x14ac:dyDescent="0.25">
      <c r="A898" t="s">
        <v>338</v>
      </c>
      <c r="B898" t="s">
        <v>9</v>
      </c>
      <c r="C898">
        <v>41727</v>
      </c>
      <c r="D898" s="61">
        <v>3310800000</v>
      </c>
      <c r="E898" s="61">
        <v>1294700000</v>
      </c>
      <c r="F898" s="61">
        <v>926900000</v>
      </c>
      <c r="G898" s="61">
        <v>0</v>
      </c>
      <c r="H898" s="61">
        <v>79700000</v>
      </c>
      <c r="I898" t="s">
        <v>13</v>
      </c>
      <c r="J898" t="s">
        <v>283</v>
      </c>
      <c r="K898" s="61">
        <f t="shared" ref="K898:K961" si="42">D898-E898</f>
        <v>2016100000</v>
      </c>
      <c r="L898" s="61">
        <f t="shared" ref="L898:L961" si="43">F898+G898+H898</f>
        <v>1006600000</v>
      </c>
      <c r="M898" s="61">
        <f t="shared" si="41"/>
        <v>1009500000</v>
      </c>
    </row>
    <row r="899" spans="1:13" x14ac:dyDescent="0.25">
      <c r="A899" t="s">
        <v>338</v>
      </c>
      <c r="B899" t="s">
        <v>10</v>
      </c>
      <c r="C899">
        <v>42091</v>
      </c>
      <c r="D899" s="61">
        <v>4371500000</v>
      </c>
      <c r="E899" s="61">
        <v>1723800000</v>
      </c>
      <c r="F899" s="61">
        <v>1251500000</v>
      </c>
      <c r="G899" s="61">
        <v>0</v>
      </c>
      <c r="H899" s="61">
        <v>138400000</v>
      </c>
      <c r="I899" t="s">
        <v>13</v>
      </c>
      <c r="J899" t="s">
        <v>283</v>
      </c>
      <c r="K899" s="61">
        <f t="shared" si="42"/>
        <v>2647700000</v>
      </c>
      <c r="L899" s="61">
        <f t="shared" si="43"/>
        <v>1389900000</v>
      </c>
      <c r="M899" s="61">
        <f t="shared" ref="M899:M962" si="44">K899-L899</f>
        <v>1257800000</v>
      </c>
    </row>
    <row r="900" spans="1:13" x14ac:dyDescent="0.25">
      <c r="A900" t="s">
        <v>338</v>
      </c>
      <c r="B900" t="s">
        <v>11</v>
      </c>
      <c r="C900">
        <v>42462</v>
      </c>
      <c r="D900" s="61">
        <v>4712100000</v>
      </c>
      <c r="E900" s="61">
        <v>1914900000</v>
      </c>
      <c r="F900" s="61">
        <v>1428000000</v>
      </c>
      <c r="G900" s="61">
        <v>0</v>
      </c>
      <c r="H900" s="61">
        <v>183200000</v>
      </c>
      <c r="I900" t="s">
        <v>13</v>
      </c>
      <c r="J900" t="s">
        <v>283</v>
      </c>
      <c r="K900" s="61">
        <f t="shared" si="42"/>
        <v>2797200000</v>
      </c>
      <c r="L900" s="61">
        <f t="shared" si="43"/>
        <v>1611200000</v>
      </c>
      <c r="M900" s="61">
        <f t="shared" si="44"/>
        <v>1186000000</v>
      </c>
    </row>
    <row r="901" spans="1:13" x14ac:dyDescent="0.25">
      <c r="A901" t="s">
        <v>339</v>
      </c>
      <c r="B901" t="s">
        <v>6</v>
      </c>
      <c r="C901">
        <v>41307</v>
      </c>
      <c r="D901" s="61">
        <v>96619000000</v>
      </c>
      <c r="E901" s="61">
        <v>76726000000</v>
      </c>
      <c r="F901" s="61">
        <v>15477000000</v>
      </c>
      <c r="G901" s="61">
        <v>0</v>
      </c>
      <c r="H901" s="61">
        <v>1652000000</v>
      </c>
      <c r="I901" t="s">
        <v>30</v>
      </c>
      <c r="J901" t="s">
        <v>340</v>
      </c>
      <c r="K901" s="61">
        <f t="shared" si="42"/>
        <v>19893000000</v>
      </c>
      <c r="L901" s="61">
        <f t="shared" si="43"/>
        <v>17129000000</v>
      </c>
      <c r="M901" s="61">
        <f t="shared" si="44"/>
        <v>2764000000</v>
      </c>
    </row>
    <row r="902" spans="1:13" x14ac:dyDescent="0.25">
      <c r="A902" t="s">
        <v>339</v>
      </c>
      <c r="B902" t="s">
        <v>9</v>
      </c>
      <c r="C902">
        <v>41671</v>
      </c>
      <c r="D902" s="61">
        <v>98375000000</v>
      </c>
      <c r="E902" s="61">
        <v>78138000000</v>
      </c>
      <c r="F902" s="61">
        <v>15809000000</v>
      </c>
      <c r="G902" s="61">
        <v>0</v>
      </c>
      <c r="H902" s="61">
        <v>1703000000</v>
      </c>
      <c r="I902" t="s">
        <v>30</v>
      </c>
      <c r="J902" t="s">
        <v>340</v>
      </c>
      <c r="K902" s="61">
        <f t="shared" si="42"/>
        <v>20237000000</v>
      </c>
      <c r="L902" s="61">
        <f t="shared" si="43"/>
        <v>17512000000</v>
      </c>
      <c r="M902" s="61">
        <f t="shared" si="44"/>
        <v>2725000000</v>
      </c>
    </row>
    <row r="903" spans="1:13" x14ac:dyDescent="0.25">
      <c r="A903" t="s">
        <v>339</v>
      </c>
      <c r="B903" t="s">
        <v>10</v>
      </c>
      <c r="C903">
        <v>42035</v>
      </c>
      <c r="D903" s="61">
        <v>108465000000</v>
      </c>
      <c r="E903" s="61">
        <v>85512000000</v>
      </c>
      <c r="F903" s="61">
        <v>17868000000</v>
      </c>
      <c r="G903" s="61">
        <v>0</v>
      </c>
      <c r="H903" s="61">
        <v>1948000000</v>
      </c>
      <c r="I903" t="s">
        <v>30</v>
      </c>
      <c r="J903" t="s">
        <v>340</v>
      </c>
      <c r="K903" s="61">
        <f t="shared" si="42"/>
        <v>22953000000</v>
      </c>
      <c r="L903" s="61">
        <f t="shared" si="43"/>
        <v>19816000000</v>
      </c>
      <c r="M903" s="61">
        <f t="shared" si="44"/>
        <v>3137000000</v>
      </c>
    </row>
    <row r="904" spans="1:13" x14ac:dyDescent="0.25">
      <c r="A904" t="s">
        <v>339</v>
      </c>
      <c r="B904" t="s">
        <v>11</v>
      </c>
      <c r="C904">
        <v>42399</v>
      </c>
      <c r="D904" s="61">
        <v>109830000000</v>
      </c>
      <c r="E904" s="61">
        <v>85496000000</v>
      </c>
      <c r="F904" s="61">
        <v>18669000000</v>
      </c>
      <c r="G904" s="61">
        <v>0</v>
      </c>
      <c r="H904" s="61">
        <v>2089000000</v>
      </c>
      <c r="I904" t="s">
        <v>30</v>
      </c>
      <c r="J904" t="s">
        <v>340</v>
      </c>
      <c r="K904" s="61">
        <f t="shared" si="42"/>
        <v>24334000000</v>
      </c>
      <c r="L904" s="61">
        <f t="shared" si="43"/>
        <v>20758000000</v>
      </c>
      <c r="M904" s="61">
        <f t="shared" si="44"/>
        <v>3576000000</v>
      </c>
    </row>
    <row r="905" spans="1:13" x14ac:dyDescent="0.25">
      <c r="A905" t="s">
        <v>341</v>
      </c>
      <c r="B905" t="s">
        <v>6</v>
      </c>
      <c r="C905">
        <v>41307</v>
      </c>
      <c r="D905" s="61">
        <v>19279000000</v>
      </c>
      <c r="E905" s="61">
        <v>12289000000</v>
      </c>
      <c r="F905" s="61">
        <v>4267000000</v>
      </c>
      <c r="G905" s="61">
        <v>0</v>
      </c>
      <c r="H905" s="61">
        <v>833000000</v>
      </c>
      <c r="I905" t="s">
        <v>13</v>
      </c>
      <c r="J905" t="s">
        <v>191</v>
      </c>
      <c r="K905" s="61">
        <f t="shared" si="42"/>
        <v>6990000000</v>
      </c>
      <c r="L905" s="61">
        <f t="shared" si="43"/>
        <v>5100000000</v>
      </c>
      <c r="M905" s="61">
        <f t="shared" si="44"/>
        <v>1890000000</v>
      </c>
    </row>
    <row r="906" spans="1:13" x14ac:dyDescent="0.25">
      <c r="A906" t="s">
        <v>341</v>
      </c>
      <c r="B906" t="s">
        <v>9</v>
      </c>
      <c r="C906">
        <v>41671</v>
      </c>
      <c r="D906" s="61">
        <v>19031000000</v>
      </c>
      <c r="E906" s="61">
        <v>12087000000</v>
      </c>
      <c r="F906" s="61">
        <v>4313000000</v>
      </c>
      <c r="G906" s="61">
        <v>0</v>
      </c>
      <c r="H906" s="61">
        <v>889000000</v>
      </c>
      <c r="I906" t="s">
        <v>13</v>
      </c>
      <c r="J906" t="s">
        <v>191</v>
      </c>
      <c r="K906" s="61">
        <f t="shared" si="42"/>
        <v>6944000000</v>
      </c>
      <c r="L906" s="61">
        <f t="shared" si="43"/>
        <v>5202000000</v>
      </c>
      <c r="M906" s="61">
        <f t="shared" si="44"/>
        <v>1742000000</v>
      </c>
    </row>
    <row r="907" spans="1:13" x14ac:dyDescent="0.25">
      <c r="A907" t="s">
        <v>341</v>
      </c>
      <c r="B907" t="s">
        <v>10</v>
      </c>
      <c r="C907">
        <v>42035</v>
      </c>
      <c r="D907" s="61">
        <v>19023000000</v>
      </c>
      <c r="E907" s="61">
        <v>12098000000</v>
      </c>
      <c r="F907" s="61">
        <v>4350000000</v>
      </c>
      <c r="G907" s="61">
        <v>0</v>
      </c>
      <c r="H907" s="61">
        <v>886000000</v>
      </c>
      <c r="I907" t="s">
        <v>13</v>
      </c>
      <c r="J907" t="s">
        <v>191</v>
      </c>
      <c r="K907" s="61">
        <f t="shared" si="42"/>
        <v>6925000000</v>
      </c>
      <c r="L907" s="61">
        <f t="shared" si="43"/>
        <v>5236000000</v>
      </c>
      <c r="M907" s="61">
        <f t="shared" si="44"/>
        <v>1689000000</v>
      </c>
    </row>
    <row r="908" spans="1:13" x14ac:dyDescent="0.25">
      <c r="A908" t="s">
        <v>341</v>
      </c>
      <c r="B908" t="s">
        <v>11</v>
      </c>
      <c r="C908">
        <v>42399</v>
      </c>
      <c r="D908" s="61">
        <v>19204000000</v>
      </c>
      <c r="E908" s="61">
        <v>12265000000</v>
      </c>
      <c r="F908" s="61">
        <v>4452000000</v>
      </c>
      <c r="G908" s="61">
        <v>0</v>
      </c>
      <c r="H908" s="61">
        <v>934000000</v>
      </c>
      <c r="I908" t="s">
        <v>13</v>
      </c>
      <c r="J908" t="s">
        <v>191</v>
      </c>
      <c r="K908" s="61">
        <f t="shared" si="42"/>
        <v>6939000000</v>
      </c>
      <c r="L908" s="61">
        <f t="shared" si="43"/>
        <v>5386000000</v>
      </c>
      <c r="M908" s="61">
        <f t="shared" si="44"/>
        <v>1553000000</v>
      </c>
    </row>
    <row r="909" spans="1:13" x14ac:dyDescent="0.25">
      <c r="A909" t="s">
        <v>342</v>
      </c>
      <c r="B909" t="s">
        <v>6</v>
      </c>
      <c r="C909">
        <v>41639</v>
      </c>
      <c r="D909" s="61">
        <v>2369300000</v>
      </c>
      <c r="E909" s="61">
        <v>805300000</v>
      </c>
      <c r="F909" s="61">
        <v>602100000</v>
      </c>
      <c r="G909" s="61">
        <v>0</v>
      </c>
      <c r="H909" s="61">
        <v>223300000</v>
      </c>
      <c r="I909" t="s">
        <v>7</v>
      </c>
      <c r="J909" t="s">
        <v>172</v>
      </c>
      <c r="K909" s="61">
        <f t="shared" si="42"/>
        <v>1564000000</v>
      </c>
      <c r="L909" s="61">
        <f t="shared" si="43"/>
        <v>825400000</v>
      </c>
      <c r="M909" s="61">
        <f t="shared" si="44"/>
        <v>738600000</v>
      </c>
    </row>
    <row r="910" spans="1:13" x14ac:dyDescent="0.25">
      <c r="A910" t="s">
        <v>342</v>
      </c>
      <c r="B910" t="s">
        <v>9</v>
      </c>
      <c r="C910">
        <v>42004</v>
      </c>
      <c r="D910" s="61">
        <v>2577100000</v>
      </c>
      <c r="E910" s="61">
        <v>877900000</v>
      </c>
      <c r="F910" s="61">
        <v>632000000</v>
      </c>
      <c r="G910" s="61">
        <v>0</v>
      </c>
      <c r="H910" s="61">
        <v>258100000</v>
      </c>
      <c r="I910" t="s">
        <v>7</v>
      </c>
      <c r="J910" t="s">
        <v>172</v>
      </c>
      <c r="K910" s="61">
        <f t="shared" si="42"/>
        <v>1699200000</v>
      </c>
      <c r="L910" s="61">
        <f t="shared" si="43"/>
        <v>890100000</v>
      </c>
      <c r="M910" s="61">
        <f t="shared" si="44"/>
        <v>809100000</v>
      </c>
    </row>
    <row r="911" spans="1:13" x14ac:dyDescent="0.25">
      <c r="A911" t="s">
        <v>342</v>
      </c>
      <c r="B911" t="s">
        <v>10</v>
      </c>
      <c r="C911">
        <v>42369</v>
      </c>
      <c r="D911" s="61">
        <v>2418800000</v>
      </c>
      <c r="E911" s="61">
        <v>759200000</v>
      </c>
      <c r="F911" s="61">
        <v>571200000</v>
      </c>
      <c r="G911" s="61">
        <v>0</v>
      </c>
      <c r="H911" s="61">
        <v>284600000</v>
      </c>
      <c r="I911" t="s">
        <v>7</v>
      </c>
      <c r="J911" t="s">
        <v>172</v>
      </c>
      <c r="K911" s="61">
        <f t="shared" si="42"/>
        <v>1659600000</v>
      </c>
      <c r="L911" s="61">
        <f t="shared" si="43"/>
        <v>855800000</v>
      </c>
      <c r="M911" s="61">
        <f t="shared" si="44"/>
        <v>803800000</v>
      </c>
    </row>
    <row r="912" spans="1:13" x14ac:dyDescent="0.25">
      <c r="A912" t="s">
        <v>342</v>
      </c>
      <c r="B912" t="s">
        <v>11</v>
      </c>
      <c r="C912">
        <v>42735</v>
      </c>
      <c r="D912" s="61">
        <v>2334200000</v>
      </c>
      <c r="E912" s="61">
        <v>691100000</v>
      </c>
      <c r="F912" s="61">
        <v>519600000</v>
      </c>
      <c r="G912" s="61">
        <v>0</v>
      </c>
      <c r="H912" s="61">
        <v>305000000</v>
      </c>
      <c r="I912" t="s">
        <v>7</v>
      </c>
      <c r="J912" t="s">
        <v>172</v>
      </c>
      <c r="K912" s="61">
        <f t="shared" si="42"/>
        <v>1643100000</v>
      </c>
      <c r="L912" s="61">
        <f t="shared" si="43"/>
        <v>824600000</v>
      </c>
      <c r="M912" s="61">
        <f t="shared" si="44"/>
        <v>818500000</v>
      </c>
    </row>
    <row r="913" spans="1:13" x14ac:dyDescent="0.25">
      <c r="A913" t="s">
        <v>343</v>
      </c>
      <c r="B913" t="s">
        <v>6</v>
      </c>
      <c r="C913">
        <v>41307</v>
      </c>
      <c r="D913" s="61">
        <v>10459000000</v>
      </c>
      <c r="E913" s="61">
        <v>6073000000</v>
      </c>
      <c r="F913" s="61">
        <v>2720000000</v>
      </c>
      <c r="G913" s="61">
        <v>0</v>
      </c>
      <c r="H913" s="61">
        <v>0</v>
      </c>
      <c r="I913" t="s">
        <v>13</v>
      </c>
      <c r="J913" t="s">
        <v>251</v>
      </c>
      <c r="K913" s="61">
        <f t="shared" si="42"/>
        <v>4386000000</v>
      </c>
      <c r="L913" s="61">
        <f t="shared" si="43"/>
        <v>2720000000</v>
      </c>
      <c r="M913" s="61">
        <f t="shared" si="44"/>
        <v>1666000000</v>
      </c>
    </row>
    <row r="914" spans="1:13" x14ac:dyDescent="0.25">
      <c r="A914" t="s">
        <v>343</v>
      </c>
      <c r="B914" t="s">
        <v>9</v>
      </c>
      <c r="C914">
        <v>41671</v>
      </c>
      <c r="D914" s="61">
        <v>10773000000</v>
      </c>
      <c r="E914" s="61">
        <v>6344000000</v>
      </c>
      <c r="F914" s="61">
        <v>2686000000</v>
      </c>
      <c r="G914" s="61">
        <v>0</v>
      </c>
      <c r="H914" s="61">
        <v>0</v>
      </c>
      <c r="I914" t="s">
        <v>13</v>
      </c>
      <c r="J914" t="s">
        <v>251</v>
      </c>
      <c r="K914" s="61">
        <f t="shared" si="42"/>
        <v>4429000000</v>
      </c>
      <c r="L914" s="61">
        <f t="shared" si="43"/>
        <v>2686000000</v>
      </c>
      <c r="M914" s="61">
        <f t="shared" si="44"/>
        <v>1743000000</v>
      </c>
    </row>
    <row r="915" spans="1:13" x14ac:dyDescent="0.25">
      <c r="A915" t="s">
        <v>343</v>
      </c>
      <c r="B915" t="s">
        <v>10</v>
      </c>
      <c r="C915">
        <v>42035</v>
      </c>
      <c r="D915" s="61">
        <v>11454000000</v>
      </c>
      <c r="E915" s="61">
        <v>6646000000</v>
      </c>
      <c r="F915" s="61">
        <v>2855000000</v>
      </c>
      <c r="G915" s="61">
        <v>0</v>
      </c>
      <c r="H915" s="61">
        <v>0</v>
      </c>
      <c r="I915" t="s">
        <v>13</v>
      </c>
      <c r="J915" t="s">
        <v>251</v>
      </c>
      <c r="K915" s="61">
        <f t="shared" si="42"/>
        <v>4808000000</v>
      </c>
      <c r="L915" s="61">
        <f t="shared" si="43"/>
        <v>2855000000</v>
      </c>
      <c r="M915" s="61">
        <f t="shared" si="44"/>
        <v>1953000000</v>
      </c>
    </row>
    <row r="916" spans="1:13" x14ac:dyDescent="0.25">
      <c r="A916" t="s">
        <v>343</v>
      </c>
      <c r="B916" t="s">
        <v>11</v>
      </c>
      <c r="C916">
        <v>42399</v>
      </c>
      <c r="D916" s="61">
        <v>12154000000</v>
      </c>
      <c r="E916" s="61">
        <v>6950000000</v>
      </c>
      <c r="F916" s="61">
        <v>3012000000</v>
      </c>
      <c r="G916" s="61">
        <v>0</v>
      </c>
      <c r="H916" s="61">
        <v>0</v>
      </c>
      <c r="I916" t="s">
        <v>13</v>
      </c>
      <c r="J916" t="s">
        <v>251</v>
      </c>
      <c r="K916" s="61">
        <f t="shared" si="42"/>
        <v>5204000000</v>
      </c>
      <c r="L916" s="61">
        <f t="shared" si="43"/>
        <v>3012000000</v>
      </c>
      <c r="M916" s="61">
        <f t="shared" si="44"/>
        <v>2192000000</v>
      </c>
    </row>
    <row r="917" spans="1:13" x14ac:dyDescent="0.25">
      <c r="A917" t="s">
        <v>344</v>
      </c>
      <c r="B917" t="s">
        <v>6</v>
      </c>
      <c r="C917">
        <v>41274</v>
      </c>
      <c r="D917" s="61">
        <v>3414500000</v>
      </c>
      <c r="E917" s="61">
        <v>2718900000</v>
      </c>
      <c r="F917" s="61">
        <v>346100000</v>
      </c>
      <c r="G917" s="61">
        <v>0</v>
      </c>
      <c r="H917" s="61">
        <v>25100000</v>
      </c>
      <c r="I917" t="s">
        <v>7</v>
      </c>
      <c r="J917" t="s">
        <v>158</v>
      </c>
      <c r="K917" s="61">
        <f t="shared" si="42"/>
        <v>695600000</v>
      </c>
      <c r="L917" s="61">
        <f t="shared" si="43"/>
        <v>371200000</v>
      </c>
      <c r="M917" s="61">
        <f t="shared" si="44"/>
        <v>324400000</v>
      </c>
    </row>
    <row r="918" spans="1:13" x14ac:dyDescent="0.25">
      <c r="A918" t="s">
        <v>344</v>
      </c>
      <c r="B918" t="s">
        <v>9</v>
      </c>
      <c r="C918">
        <v>41639</v>
      </c>
      <c r="D918" s="61">
        <v>3477200000</v>
      </c>
      <c r="E918" s="61">
        <v>2767300000</v>
      </c>
      <c r="F918" s="61">
        <v>346900000</v>
      </c>
      <c r="G918" s="61">
        <v>0</v>
      </c>
      <c r="H918" s="61">
        <v>25400000</v>
      </c>
      <c r="I918" t="s">
        <v>7</v>
      </c>
      <c r="J918" t="s">
        <v>158</v>
      </c>
      <c r="K918" s="61">
        <f t="shared" si="42"/>
        <v>709900000</v>
      </c>
      <c r="L918" s="61">
        <f t="shared" si="43"/>
        <v>372300000</v>
      </c>
      <c r="M918" s="61">
        <f t="shared" si="44"/>
        <v>337600000</v>
      </c>
    </row>
    <row r="919" spans="1:13" x14ac:dyDescent="0.25">
      <c r="A919" t="s">
        <v>344</v>
      </c>
      <c r="B919" t="s">
        <v>10</v>
      </c>
      <c r="C919">
        <v>42004</v>
      </c>
      <c r="D919" s="61">
        <v>3782300000</v>
      </c>
      <c r="E919" s="61">
        <v>2991900000</v>
      </c>
      <c r="F919" s="61">
        <v>439200000</v>
      </c>
      <c r="G919" s="61">
        <v>0</v>
      </c>
      <c r="H919" s="61">
        <v>19700000</v>
      </c>
      <c r="I919" t="s">
        <v>7</v>
      </c>
      <c r="J919" t="s">
        <v>158</v>
      </c>
      <c r="K919" s="61">
        <f t="shared" si="42"/>
        <v>790400000</v>
      </c>
      <c r="L919" s="61">
        <f t="shared" si="43"/>
        <v>458900000</v>
      </c>
      <c r="M919" s="61">
        <f t="shared" si="44"/>
        <v>331500000</v>
      </c>
    </row>
    <row r="920" spans="1:13" x14ac:dyDescent="0.25">
      <c r="A920" t="s">
        <v>344</v>
      </c>
      <c r="B920" t="s">
        <v>11</v>
      </c>
      <c r="C920">
        <v>42369</v>
      </c>
      <c r="D920" s="61">
        <v>3917200000</v>
      </c>
      <c r="E920" s="61">
        <v>2994000000</v>
      </c>
      <c r="F920" s="61">
        <v>411800000</v>
      </c>
      <c r="G920" s="61">
        <v>0</v>
      </c>
      <c r="H920" s="61">
        <v>20800000</v>
      </c>
      <c r="I920" t="s">
        <v>7</v>
      </c>
      <c r="J920" t="s">
        <v>158</v>
      </c>
      <c r="K920" s="61">
        <f t="shared" si="42"/>
        <v>923200000</v>
      </c>
      <c r="L920" s="61">
        <f t="shared" si="43"/>
        <v>432600000</v>
      </c>
      <c r="M920" s="61">
        <f t="shared" si="44"/>
        <v>490600000</v>
      </c>
    </row>
    <row r="921" spans="1:13" x14ac:dyDescent="0.25">
      <c r="A921" t="s">
        <v>345</v>
      </c>
      <c r="B921" t="s">
        <v>6</v>
      </c>
      <c r="C921">
        <v>41608</v>
      </c>
      <c r="D921" s="61">
        <v>5935095000</v>
      </c>
      <c r="E921" s="61">
        <v>4920664000</v>
      </c>
      <c r="F921" s="61">
        <v>328595000</v>
      </c>
      <c r="G921" s="61">
        <v>0</v>
      </c>
      <c r="H921" s="61">
        <v>0</v>
      </c>
      <c r="I921" t="s">
        <v>13</v>
      </c>
      <c r="J921" t="s">
        <v>195</v>
      </c>
      <c r="K921" s="61">
        <f t="shared" si="42"/>
        <v>1014431000</v>
      </c>
      <c r="L921" s="61">
        <f t="shared" si="43"/>
        <v>328595000</v>
      </c>
      <c r="M921" s="61">
        <f t="shared" si="44"/>
        <v>685836000</v>
      </c>
    </row>
    <row r="922" spans="1:13" x14ac:dyDescent="0.25">
      <c r="A922" t="s">
        <v>345</v>
      </c>
      <c r="B922" t="s">
        <v>9</v>
      </c>
      <c r="C922">
        <v>41973</v>
      </c>
      <c r="D922" s="61">
        <v>7779812000</v>
      </c>
      <c r="E922" s="61">
        <v>6336272000</v>
      </c>
      <c r="F922" s="61">
        <v>521502000</v>
      </c>
      <c r="G922" s="61">
        <v>0</v>
      </c>
      <c r="H922" s="61">
        <v>0</v>
      </c>
      <c r="I922" t="s">
        <v>13</v>
      </c>
      <c r="J922" t="s">
        <v>195</v>
      </c>
      <c r="K922" s="61">
        <f t="shared" si="42"/>
        <v>1443540000</v>
      </c>
      <c r="L922" s="61">
        <f t="shared" si="43"/>
        <v>521502000</v>
      </c>
      <c r="M922" s="61">
        <f t="shared" si="44"/>
        <v>922038000</v>
      </c>
    </row>
    <row r="923" spans="1:13" x14ac:dyDescent="0.25">
      <c r="A923" t="s">
        <v>345</v>
      </c>
      <c r="B923" t="s">
        <v>10</v>
      </c>
      <c r="C923">
        <v>42338</v>
      </c>
      <c r="D923" s="61">
        <v>9474008000</v>
      </c>
      <c r="E923" s="61">
        <v>7757571000</v>
      </c>
      <c r="F923" s="61">
        <v>630421000</v>
      </c>
      <c r="G923" s="61">
        <v>0</v>
      </c>
      <c r="H923" s="61">
        <v>0</v>
      </c>
      <c r="I923" t="s">
        <v>13</v>
      </c>
      <c r="J923" t="s">
        <v>195</v>
      </c>
      <c r="K923" s="61">
        <f t="shared" si="42"/>
        <v>1716437000</v>
      </c>
      <c r="L923" s="61">
        <f t="shared" si="43"/>
        <v>630421000</v>
      </c>
      <c r="M923" s="61">
        <f t="shared" si="44"/>
        <v>1086016000</v>
      </c>
    </row>
    <row r="924" spans="1:13" x14ac:dyDescent="0.25">
      <c r="A924" t="s">
        <v>345</v>
      </c>
      <c r="B924" t="s">
        <v>11</v>
      </c>
      <c r="C924">
        <v>42704</v>
      </c>
      <c r="D924" s="61">
        <v>10949999000</v>
      </c>
      <c r="E924" s="61">
        <v>8923519000</v>
      </c>
      <c r="F924" s="61">
        <v>764117000</v>
      </c>
      <c r="G924" s="61">
        <v>0</v>
      </c>
      <c r="H924" s="61">
        <v>0</v>
      </c>
      <c r="I924" t="s">
        <v>13</v>
      </c>
      <c r="J924" t="s">
        <v>195</v>
      </c>
      <c r="K924" s="61">
        <f t="shared" si="42"/>
        <v>2026480000</v>
      </c>
      <c r="L924" s="61">
        <f t="shared" si="43"/>
        <v>764117000</v>
      </c>
      <c r="M924" s="61">
        <f t="shared" si="44"/>
        <v>1262363000</v>
      </c>
    </row>
    <row r="925" spans="1:13" x14ac:dyDescent="0.25">
      <c r="A925" t="s">
        <v>346</v>
      </c>
      <c r="B925" t="s">
        <v>6</v>
      </c>
      <c r="C925">
        <v>41274</v>
      </c>
      <c r="D925" s="61">
        <v>5671400000</v>
      </c>
      <c r="E925" s="61">
        <v>3421700000</v>
      </c>
      <c r="F925" s="61">
        <v>1114600000</v>
      </c>
      <c r="G925" s="61">
        <v>0</v>
      </c>
      <c r="H925" s="61">
        <v>86300000</v>
      </c>
      <c r="I925" t="s">
        <v>19</v>
      </c>
      <c r="J925" t="s">
        <v>193</v>
      </c>
      <c r="K925" s="61">
        <f t="shared" si="42"/>
        <v>2249700000</v>
      </c>
      <c r="L925" s="61">
        <f t="shared" si="43"/>
        <v>1200900000</v>
      </c>
      <c r="M925" s="61">
        <f t="shared" si="44"/>
        <v>1048800000</v>
      </c>
    </row>
    <row r="926" spans="1:13" x14ac:dyDescent="0.25">
      <c r="A926" t="s">
        <v>346</v>
      </c>
      <c r="B926" t="s">
        <v>9</v>
      </c>
      <c r="C926">
        <v>41639</v>
      </c>
      <c r="D926" s="61">
        <v>5808300000</v>
      </c>
      <c r="E926" s="61">
        <v>3585100000</v>
      </c>
      <c r="F926" s="61">
        <v>1128800000</v>
      </c>
      <c r="G926" s="61">
        <v>0</v>
      </c>
      <c r="H926" s="61">
        <v>81700000</v>
      </c>
      <c r="I926" t="s">
        <v>19</v>
      </c>
      <c r="J926" t="s">
        <v>193</v>
      </c>
      <c r="K926" s="61">
        <f t="shared" si="42"/>
        <v>2223200000</v>
      </c>
      <c r="L926" s="61">
        <f t="shared" si="43"/>
        <v>1210500000</v>
      </c>
      <c r="M926" s="61">
        <f t="shared" si="44"/>
        <v>1012700000</v>
      </c>
    </row>
    <row r="927" spans="1:13" x14ac:dyDescent="0.25">
      <c r="A927" t="s">
        <v>346</v>
      </c>
      <c r="B927" t="s">
        <v>10</v>
      </c>
      <c r="C927">
        <v>42004</v>
      </c>
      <c r="D927" s="61">
        <v>6011600000</v>
      </c>
      <c r="E927" s="61">
        <v>3808500000</v>
      </c>
      <c r="F927" s="61">
        <v>1198200000</v>
      </c>
      <c r="G927" s="61">
        <v>0</v>
      </c>
      <c r="H927" s="61">
        <v>76700000</v>
      </c>
      <c r="I927" t="s">
        <v>19</v>
      </c>
      <c r="J927" t="s">
        <v>193</v>
      </c>
      <c r="K927" s="61">
        <f t="shared" si="42"/>
        <v>2203100000</v>
      </c>
      <c r="L927" s="61">
        <f t="shared" si="43"/>
        <v>1274900000</v>
      </c>
      <c r="M927" s="61">
        <f t="shared" si="44"/>
        <v>928200000</v>
      </c>
    </row>
    <row r="928" spans="1:13" x14ac:dyDescent="0.25">
      <c r="A928" t="s">
        <v>346</v>
      </c>
      <c r="B928" t="s">
        <v>11</v>
      </c>
      <c r="C928">
        <v>42369</v>
      </c>
      <c r="D928" s="61">
        <v>8680100000</v>
      </c>
      <c r="E928" s="61">
        <v>5776800000</v>
      </c>
      <c r="F928" s="61">
        <v>1622000000</v>
      </c>
      <c r="G928" s="61">
        <v>0</v>
      </c>
      <c r="H928" s="61">
        <v>164500000</v>
      </c>
      <c r="I928" t="s">
        <v>19</v>
      </c>
      <c r="J928" t="s">
        <v>193</v>
      </c>
      <c r="K928" s="61">
        <f t="shared" si="42"/>
        <v>2903300000</v>
      </c>
      <c r="L928" s="61">
        <f t="shared" si="43"/>
        <v>1786500000</v>
      </c>
      <c r="M928" s="61">
        <f t="shared" si="44"/>
        <v>1116800000</v>
      </c>
    </row>
    <row r="929" spans="1:13" x14ac:dyDescent="0.25">
      <c r="A929" t="s">
        <v>347</v>
      </c>
      <c r="B929" t="s">
        <v>6</v>
      </c>
      <c r="C929">
        <v>41274</v>
      </c>
      <c r="D929" s="61">
        <v>4122930000</v>
      </c>
      <c r="E929" s="61">
        <v>2398790000</v>
      </c>
      <c r="F929" s="61">
        <v>1219343000</v>
      </c>
      <c r="G929" s="61">
        <v>0</v>
      </c>
      <c r="H929" s="61">
        <v>64093000</v>
      </c>
      <c r="I929" t="s">
        <v>13</v>
      </c>
      <c r="J929" t="s">
        <v>348</v>
      </c>
      <c r="K929" s="61">
        <f t="shared" si="42"/>
        <v>1724140000</v>
      </c>
      <c r="L929" s="61">
        <f t="shared" si="43"/>
        <v>1283436000</v>
      </c>
      <c r="M929" s="61">
        <f t="shared" si="44"/>
        <v>440704000</v>
      </c>
    </row>
    <row r="930" spans="1:13" x14ac:dyDescent="0.25">
      <c r="A930" t="s">
        <v>347</v>
      </c>
      <c r="B930" t="s">
        <v>9</v>
      </c>
      <c r="C930">
        <v>41639</v>
      </c>
      <c r="D930" s="61">
        <v>5062528000</v>
      </c>
      <c r="E930" s="61">
        <v>2987126000</v>
      </c>
      <c r="F930" s="61">
        <v>1454080000</v>
      </c>
      <c r="G930" s="61">
        <v>0</v>
      </c>
      <c r="H930" s="61">
        <v>80969000</v>
      </c>
      <c r="I930" t="s">
        <v>13</v>
      </c>
      <c r="J930" t="s">
        <v>348</v>
      </c>
      <c r="K930" s="61">
        <f t="shared" si="42"/>
        <v>2075402000</v>
      </c>
      <c r="L930" s="61">
        <f t="shared" si="43"/>
        <v>1535049000</v>
      </c>
      <c r="M930" s="61">
        <f t="shared" si="44"/>
        <v>540353000</v>
      </c>
    </row>
    <row r="931" spans="1:13" x14ac:dyDescent="0.25">
      <c r="A931" t="s">
        <v>347</v>
      </c>
      <c r="B931" t="s">
        <v>10</v>
      </c>
      <c r="C931">
        <v>42004</v>
      </c>
      <c r="D931" s="61">
        <v>6740064000</v>
      </c>
      <c r="E931" s="61">
        <v>4088151000</v>
      </c>
      <c r="F931" s="61">
        <v>1866520000</v>
      </c>
      <c r="G931" s="61">
        <v>0</v>
      </c>
      <c r="H931" s="61">
        <v>120719000</v>
      </c>
      <c r="I931" t="s">
        <v>13</v>
      </c>
      <c r="J931" t="s">
        <v>348</v>
      </c>
      <c r="K931" s="61">
        <f t="shared" si="42"/>
        <v>2651913000</v>
      </c>
      <c r="L931" s="61">
        <f t="shared" si="43"/>
        <v>1987239000</v>
      </c>
      <c r="M931" s="61">
        <f t="shared" si="44"/>
        <v>664674000</v>
      </c>
    </row>
    <row r="932" spans="1:13" x14ac:dyDescent="0.25">
      <c r="A932" t="s">
        <v>347</v>
      </c>
      <c r="B932" t="s">
        <v>11</v>
      </c>
      <c r="C932">
        <v>42369</v>
      </c>
      <c r="D932" s="61">
        <v>7192633000</v>
      </c>
      <c r="E932" s="61">
        <v>4359104000</v>
      </c>
      <c r="F932" s="61">
        <v>1987271000</v>
      </c>
      <c r="G932" s="61">
        <v>0</v>
      </c>
      <c r="H932" s="61">
        <v>122120000</v>
      </c>
      <c r="I932" t="s">
        <v>13</v>
      </c>
      <c r="J932" t="s">
        <v>348</v>
      </c>
      <c r="K932" s="61">
        <f t="shared" si="42"/>
        <v>2833529000</v>
      </c>
      <c r="L932" s="61">
        <f t="shared" si="43"/>
        <v>2109391000</v>
      </c>
      <c r="M932" s="61">
        <f t="shared" si="44"/>
        <v>724138000</v>
      </c>
    </row>
    <row r="933" spans="1:13" x14ac:dyDescent="0.25">
      <c r="A933" t="s">
        <v>349</v>
      </c>
      <c r="B933" t="s">
        <v>6</v>
      </c>
      <c r="C933">
        <v>41274</v>
      </c>
      <c r="D933" s="61">
        <v>13107000000</v>
      </c>
      <c r="E933" s="61">
        <v>11799000000</v>
      </c>
      <c r="F933" s="61">
        <v>0</v>
      </c>
      <c r="G933" s="61">
        <v>0</v>
      </c>
      <c r="H933" s="61">
        <v>0</v>
      </c>
      <c r="I933" t="s">
        <v>7</v>
      </c>
      <c r="J933" t="s">
        <v>158</v>
      </c>
      <c r="K933" s="61">
        <f t="shared" si="42"/>
        <v>1308000000</v>
      </c>
      <c r="L933" s="61">
        <f t="shared" si="43"/>
        <v>0</v>
      </c>
      <c r="M933" s="61">
        <f t="shared" si="44"/>
        <v>1308000000</v>
      </c>
    </row>
    <row r="934" spans="1:13" x14ac:dyDescent="0.25">
      <c r="A934" t="s">
        <v>349</v>
      </c>
      <c r="B934" t="s">
        <v>9</v>
      </c>
      <c r="C934">
        <v>41639</v>
      </c>
      <c r="D934" s="61">
        <v>11420000000</v>
      </c>
      <c r="E934" s="61">
        <v>10303000000</v>
      </c>
      <c r="F934" s="61">
        <v>0</v>
      </c>
      <c r="G934" s="61">
        <v>0</v>
      </c>
      <c r="H934" s="61">
        <v>0</v>
      </c>
      <c r="I934" t="s">
        <v>7</v>
      </c>
      <c r="J934" t="s">
        <v>158</v>
      </c>
      <c r="K934" s="61">
        <f t="shared" si="42"/>
        <v>1117000000</v>
      </c>
      <c r="L934" s="61">
        <f t="shared" si="43"/>
        <v>0</v>
      </c>
      <c r="M934" s="61">
        <f t="shared" si="44"/>
        <v>1117000000</v>
      </c>
    </row>
    <row r="935" spans="1:13" x14ac:dyDescent="0.25">
      <c r="A935" t="s">
        <v>349</v>
      </c>
      <c r="B935" t="s">
        <v>10</v>
      </c>
      <c r="C935">
        <v>42004</v>
      </c>
      <c r="D935" s="61">
        <v>10986000000</v>
      </c>
      <c r="E935" s="61">
        <v>9974000000</v>
      </c>
      <c r="F935" s="61">
        <v>0</v>
      </c>
      <c r="G935" s="61">
        <v>0</v>
      </c>
      <c r="H935" s="61">
        <v>0</v>
      </c>
      <c r="I935" t="s">
        <v>7</v>
      </c>
      <c r="J935" t="s">
        <v>158</v>
      </c>
      <c r="K935" s="61">
        <f t="shared" si="42"/>
        <v>1012000000</v>
      </c>
      <c r="L935" s="61">
        <f t="shared" si="43"/>
        <v>0</v>
      </c>
      <c r="M935" s="61">
        <f t="shared" si="44"/>
        <v>1012000000</v>
      </c>
    </row>
    <row r="936" spans="1:13" x14ac:dyDescent="0.25">
      <c r="A936" t="s">
        <v>349</v>
      </c>
      <c r="B936" t="s">
        <v>11</v>
      </c>
      <c r="C936">
        <v>42369</v>
      </c>
      <c r="D936" s="61">
        <v>10466000000</v>
      </c>
      <c r="E936" s="61">
        <v>9576000000</v>
      </c>
      <c r="F936" s="61">
        <v>0</v>
      </c>
      <c r="G936" s="61">
        <v>0</v>
      </c>
      <c r="H936" s="61">
        <v>0</v>
      </c>
      <c r="I936" t="s">
        <v>7</v>
      </c>
      <c r="J936" t="s">
        <v>158</v>
      </c>
      <c r="K936" s="61">
        <f t="shared" si="42"/>
        <v>890000000</v>
      </c>
      <c r="L936" s="61">
        <f t="shared" si="43"/>
        <v>0</v>
      </c>
      <c r="M936" s="61">
        <f t="shared" si="44"/>
        <v>890000000</v>
      </c>
    </row>
    <row r="937" spans="1:13" x14ac:dyDescent="0.25">
      <c r="A937" t="s">
        <v>350</v>
      </c>
      <c r="B937" t="s">
        <v>6</v>
      </c>
      <c r="C937">
        <v>41455</v>
      </c>
      <c r="D937" s="61">
        <v>1282236000</v>
      </c>
      <c r="E937" s="61">
        <v>322516000</v>
      </c>
      <c r="F937" s="61">
        <v>151382000</v>
      </c>
      <c r="G937" s="61">
        <v>235184000</v>
      </c>
      <c r="H937" s="61">
        <v>0</v>
      </c>
      <c r="I937" t="s">
        <v>16</v>
      </c>
      <c r="J937" t="s">
        <v>28</v>
      </c>
      <c r="K937" s="61">
        <f t="shared" si="42"/>
        <v>959720000</v>
      </c>
      <c r="L937" s="61">
        <f t="shared" si="43"/>
        <v>386566000</v>
      </c>
      <c r="M937" s="61">
        <f t="shared" si="44"/>
        <v>573154000</v>
      </c>
    </row>
    <row r="938" spans="1:13" x14ac:dyDescent="0.25">
      <c r="A938" t="s">
        <v>350</v>
      </c>
      <c r="B938" t="s">
        <v>9</v>
      </c>
      <c r="C938">
        <v>41819</v>
      </c>
      <c r="D938" s="61">
        <v>1388386000</v>
      </c>
      <c r="E938" s="61">
        <v>338580000</v>
      </c>
      <c r="F938" s="61">
        <v>159642000</v>
      </c>
      <c r="G938" s="61">
        <v>250434000</v>
      </c>
      <c r="H938" s="61">
        <v>0</v>
      </c>
      <c r="I938" t="s">
        <v>16</v>
      </c>
      <c r="J938" t="s">
        <v>28</v>
      </c>
      <c r="K938" s="61">
        <f t="shared" si="42"/>
        <v>1049806000</v>
      </c>
      <c r="L938" s="61">
        <f t="shared" si="43"/>
        <v>410076000</v>
      </c>
      <c r="M938" s="61">
        <f t="shared" si="44"/>
        <v>639730000</v>
      </c>
    </row>
    <row r="939" spans="1:13" x14ac:dyDescent="0.25">
      <c r="A939" t="s">
        <v>350</v>
      </c>
      <c r="B939" t="s">
        <v>10</v>
      </c>
      <c r="C939">
        <v>42183</v>
      </c>
      <c r="D939" s="61">
        <v>1475139000</v>
      </c>
      <c r="E939" s="61">
        <v>355727000</v>
      </c>
      <c r="F939" s="61">
        <v>169952000</v>
      </c>
      <c r="G939" s="61">
        <v>266761000</v>
      </c>
      <c r="H939" s="61">
        <v>0</v>
      </c>
      <c r="I939" t="s">
        <v>16</v>
      </c>
      <c r="J939" t="s">
        <v>28</v>
      </c>
      <c r="K939" s="61">
        <f t="shared" si="42"/>
        <v>1119412000</v>
      </c>
      <c r="L939" s="61">
        <f t="shared" si="43"/>
        <v>436713000</v>
      </c>
      <c r="M939" s="61">
        <f t="shared" si="44"/>
        <v>682699000</v>
      </c>
    </row>
    <row r="940" spans="1:13" x14ac:dyDescent="0.25">
      <c r="A940" t="s">
        <v>350</v>
      </c>
      <c r="B940" t="s">
        <v>11</v>
      </c>
      <c r="C940">
        <v>42554</v>
      </c>
      <c r="D940" s="61">
        <v>1423936000</v>
      </c>
      <c r="E940" s="61">
        <v>343801000</v>
      </c>
      <c r="F940" s="61">
        <v>170120000</v>
      </c>
      <c r="G940" s="61">
        <v>276462000</v>
      </c>
      <c r="H940" s="61">
        <v>0</v>
      </c>
      <c r="I940" t="s">
        <v>16</v>
      </c>
      <c r="J940" t="s">
        <v>28</v>
      </c>
      <c r="K940" s="61">
        <f t="shared" si="42"/>
        <v>1080135000</v>
      </c>
      <c r="L940" s="61">
        <f t="shared" si="43"/>
        <v>446582000</v>
      </c>
      <c r="M940" s="61">
        <f t="shared" si="44"/>
        <v>633553000</v>
      </c>
    </row>
    <row r="941" spans="1:13" x14ac:dyDescent="0.25">
      <c r="A941" t="s">
        <v>351</v>
      </c>
      <c r="B941" t="s">
        <v>6</v>
      </c>
      <c r="C941">
        <v>41274</v>
      </c>
      <c r="D941" s="61">
        <v>22603400000</v>
      </c>
      <c r="E941" s="61">
        <v>4796500000</v>
      </c>
      <c r="F941" s="61">
        <v>6839500000</v>
      </c>
      <c r="G941" s="61">
        <v>5278100000</v>
      </c>
      <c r="H941" s="61">
        <v>0</v>
      </c>
      <c r="I941" t="s">
        <v>19</v>
      </c>
      <c r="J941" t="s">
        <v>20</v>
      </c>
      <c r="K941" s="61">
        <f t="shared" si="42"/>
        <v>17806900000</v>
      </c>
      <c r="L941" s="61">
        <f t="shared" si="43"/>
        <v>12117600000</v>
      </c>
      <c r="M941" s="61">
        <f t="shared" si="44"/>
        <v>5689300000</v>
      </c>
    </row>
    <row r="942" spans="1:13" x14ac:dyDescent="0.25">
      <c r="A942" t="s">
        <v>351</v>
      </c>
      <c r="B942" t="s">
        <v>9</v>
      </c>
      <c r="C942">
        <v>41639</v>
      </c>
      <c r="D942" s="61">
        <v>23113100000</v>
      </c>
      <c r="E942" s="61">
        <v>4908100000</v>
      </c>
      <c r="F942" s="61">
        <v>6606700000</v>
      </c>
      <c r="G942" s="61">
        <v>5531300000</v>
      </c>
      <c r="H942" s="61">
        <v>0</v>
      </c>
      <c r="I942" t="s">
        <v>19</v>
      </c>
      <c r="J942" t="s">
        <v>20</v>
      </c>
      <c r="K942" s="61">
        <f t="shared" si="42"/>
        <v>18205000000</v>
      </c>
      <c r="L942" s="61">
        <f t="shared" si="43"/>
        <v>12138000000</v>
      </c>
      <c r="M942" s="61">
        <f t="shared" si="44"/>
        <v>6067000000</v>
      </c>
    </row>
    <row r="943" spans="1:13" x14ac:dyDescent="0.25">
      <c r="A943" t="s">
        <v>351</v>
      </c>
      <c r="B943" t="s">
        <v>10</v>
      </c>
      <c r="C943">
        <v>42004</v>
      </c>
      <c r="D943" s="61">
        <v>19615600000</v>
      </c>
      <c r="E943" s="61">
        <v>4932500000</v>
      </c>
      <c r="F943" s="61">
        <v>6280300000</v>
      </c>
      <c r="G943" s="61">
        <v>4733600000</v>
      </c>
      <c r="H943" s="61">
        <v>0</v>
      </c>
      <c r="I943" t="s">
        <v>19</v>
      </c>
      <c r="J943" t="s">
        <v>20</v>
      </c>
      <c r="K943" s="61">
        <f t="shared" si="42"/>
        <v>14683100000</v>
      </c>
      <c r="L943" s="61">
        <f t="shared" si="43"/>
        <v>11013900000</v>
      </c>
      <c r="M943" s="61">
        <f t="shared" si="44"/>
        <v>3669200000</v>
      </c>
    </row>
    <row r="944" spans="1:13" x14ac:dyDescent="0.25">
      <c r="A944" t="s">
        <v>351</v>
      </c>
      <c r="B944" t="s">
        <v>11</v>
      </c>
      <c r="C944">
        <v>42369</v>
      </c>
      <c r="D944" s="61">
        <v>19958700000</v>
      </c>
      <c r="E944" s="61">
        <v>5037200000</v>
      </c>
      <c r="F944" s="61">
        <v>6432400000</v>
      </c>
      <c r="G944" s="61">
        <v>4796400000</v>
      </c>
      <c r="H944" s="61">
        <v>0</v>
      </c>
      <c r="I944" t="s">
        <v>19</v>
      </c>
      <c r="J944" t="s">
        <v>20</v>
      </c>
      <c r="K944" s="61">
        <f t="shared" si="42"/>
        <v>14921500000</v>
      </c>
      <c r="L944" s="61">
        <f t="shared" si="43"/>
        <v>11228800000</v>
      </c>
      <c r="M944" s="61">
        <f t="shared" si="44"/>
        <v>3692700000</v>
      </c>
    </row>
    <row r="945" spans="1:13" x14ac:dyDescent="0.25">
      <c r="A945" t="s">
        <v>352</v>
      </c>
      <c r="B945" t="s">
        <v>6</v>
      </c>
      <c r="C945">
        <v>41639</v>
      </c>
      <c r="D945" s="61">
        <v>45358000000</v>
      </c>
      <c r="E945" s="61">
        <v>41171000000</v>
      </c>
      <c r="F945" s="61">
        <v>318000000</v>
      </c>
      <c r="G945" s="61">
        <v>0</v>
      </c>
      <c r="H945" s="61">
        <v>0</v>
      </c>
      <c r="I945" t="s">
        <v>7</v>
      </c>
      <c r="J945" t="s">
        <v>85</v>
      </c>
      <c r="K945" s="61">
        <f t="shared" si="42"/>
        <v>4187000000</v>
      </c>
      <c r="L945" s="61">
        <f t="shared" si="43"/>
        <v>318000000</v>
      </c>
      <c r="M945" s="61">
        <f t="shared" si="44"/>
        <v>3869000000</v>
      </c>
    </row>
    <row r="946" spans="1:13" x14ac:dyDescent="0.25">
      <c r="A946" t="s">
        <v>352</v>
      </c>
      <c r="B946" t="s">
        <v>9</v>
      </c>
      <c r="C946">
        <v>42004</v>
      </c>
      <c r="D946" s="61">
        <v>39946000000</v>
      </c>
      <c r="E946" s="61">
        <v>35263000000</v>
      </c>
      <c r="F946" s="61">
        <v>-329000000</v>
      </c>
      <c r="G946" s="61">
        <v>0</v>
      </c>
      <c r="H946" s="61">
        <v>0</v>
      </c>
      <c r="I946" t="s">
        <v>7</v>
      </c>
      <c r="J946" t="s">
        <v>85</v>
      </c>
      <c r="K946" s="61">
        <f t="shared" si="42"/>
        <v>4683000000</v>
      </c>
      <c r="L946" s="61">
        <f t="shared" si="43"/>
        <v>-329000000</v>
      </c>
      <c r="M946" s="61">
        <f t="shared" si="44"/>
        <v>5012000000</v>
      </c>
    </row>
    <row r="947" spans="1:13" x14ac:dyDescent="0.25">
      <c r="A947" t="s">
        <v>352</v>
      </c>
      <c r="B947" t="s">
        <v>10</v>
      </c>
      <c r="C947">
        <v>42369</v>
      </c>
      <c r="D947" s="61">
        <v>40536000000</v>
      </c>
      <c r="E947" s="61">
        <v>36044000000</v>
      </c>
      <c r="F947" s="61">
        <v>-220000000</v>
      </c>
      <c r="G947" s="61">
        <v>0</v>
      </c>
      <c r="H947" s="61">
        <v>0</v>
      </c>
      <c r="I947" t="s">
        <v>7</v>
      </c>
      <c r="J947" t="s">
        <v>85</v>
      </c>
      <c r="K947" s="61">
        <f t="shared" si="42"/>
        <v>4492000000</v>
      </c>
      <c r="L947" s="61">
        <f t="shared" si="43"/>
        <v>-220000000</v>
      </c>
      <c r="M947" s="61">
        <f t="shared" si="44"/>
        <v>4712000000</v>
      </c>
    </row>
    <row r="948" spans="1:13" x14ac:dyDescent="0.25">
      <c r="A948" t="s">
        <v>352</v>
      </c>
      <c r="B948" t="s">
        <v>11</v>
      </c>
      <c r="C948">
        <v>42735</v>
      </c>
      <c r="D948" s="61">
        <v>47248000000</v>
      </c>
      <c r="E948" s="61">
        <v>42186000000</v>
      </c>
      <c r="F948" s="61">
        <v>-487000000</v>
      </c>
      <c r="G948" s="61">
        <v>0</v>
      </c>
      <c r="H948" s="61">
        <v>0</v>
      </c>
      <c r="I948" t="s">
        <v>7</v>
      </c>
      <c r="J948" t="s">
        <v>85</v>
      </c>
      <c r="K948" s="61">
        <f t="shared" si="42"/>
        <v>5062000000</v>
      </c>
      <c r="L948" s="61">
        <f t="shared" si="43"/>
        <v>-487000000</v>
      </c>
      <c r="M948" s="61">
        <f t="shared" si="44"/>
        <v>5549000000</v>
      </c>
    </row>
    <row r="949" spans="1:13" x14ac:dyDescent="0.25">
      <c r="A949" t="s">
        <v>353</v>
      </c>
      <c r="B949" t="s">
        <v>6</v>
      </c>
      <c r="C949">
        <v>41274</v>
      </c>
      <c r="D949" s="61">
        <v>3094500000</v>
      </c>
      <c r="E949" s="61">
        <v>2144200000</v>
      </c>
      <c r="F949" s="61">
        <v>98200000</v>
      </c>
      <c r="G949" s="61">
        <v>0</v>
      </c>
      <c r="H949" s="61">
        <v>332400000</v>
      </c>
      <c r="I949" t="s">
        <v>36</v>
      </c>
      <c r="J949" t="s">
        <v>39</v>
      </c>
      <c r="K949" s="61">
        <f t="shared" si="42"/>
        <v>950300000</v>
      </c>
      <c r="L949" s="61">
        <f t="shared" si="43"/>
        <v>430600000</v>
      </c>
      <c r="M949" s="61">
        <f t="shared" si="44"/>
        <v>519700000</v>
      </c>
    </row>
    <row r="950" spans="1:13" x14ac:dyDescent="0.25">
      <c r="A950" t="s">
        <v>353</v>
      </c>
      <c r="B950" t="s">
        <v>9</v>
      </c>
      <c r="C950">
        <v>41639</v>
      </c>
      <c r="D950" s="61">
        <v>3276800000</v>
      </c>
      <c r="E950" s="61">
        <v>2272400000</v>
      </c>
      <c r="F950" s="61">
        <v>99600000</v>
      </c>
      <c r="G950" s="61">
        <v>0</v>
      </c>
      <c r="H950" s="61">
        <v>370900000</v>
      </c>
      <c r="I950" t="s">
        <v>36</v>
      </c>
      <c r="J950" t="s">
        <v>39</v>
      </c>
      <c r="K950" s="61">
        <f t="shared" si="42"/>
        <v>1004400000</v>
      </c>
      <c r="L950" s="61">
        <f t="shared" si="43"/>
        <v>470500000</v>
      </c>
      <c r="M950" s="61">
        <f t="shared" si="44"/>
        <v>533900000</v>
      </c>
    </row>
    <row r="951" spans="1:13" x14ac:dyDescent="0.25">
      <c r="A951" t="s">
        <v>353</v>
      </c>
      <c r="B951" t="s">
        <v>10</v>
      </c>
      <c r="C951">
        <v>42004</v>
      </c>
      <c r="D951" s="61">
        <v>3350300000</v>
      </c>
      <c r="E951" s="61">
        <v>2317500000</v>
      </c>
      <c r="F951" s="61">
        <v>101100000</v>
      </c>
      <c r="G951" s="61">
        <v>0</v>
      </c>
      <c r="H951" s="61">
        <v>388100000</v>
      </c>
      <c r="I951" t="s">
        <v>36</v>
      </c>
      <c r="J951" t="s">
        <v>39</v>
      </c>
      <c r="K951" s="61">
        <f t="shared" si="42"/>
        <v>1032800000</v>
      </c>
      <c r="L951" s="61">
        <f t="shared" si="43"/>
        <v>489200000</v>
      </c>
      <c r="M951" s="61">
        <f t="shared" si="44"/>
        <v>543600000</v>
      </c>
    </row>
    <row r="952" spans="1:13" x14ac:dyDescent="0.25">
      <c r="A952" t="s">
        <v>353</v>
      </c>
      <c r="B952" t="s">
        <v>11</v>
      </c>
      <c r="C952">
        <v>42369</v>
      </c>
      <c r="D952" s="61">
        <v>3253600000</v>
      </c>
      <c r="E952" s="61">
        <v>2171600000</v>
      </c>
      <c r="F952" s="61">
        <v>103700000</v>
      </c>
      <c r="G952" s="61">
        <v>0</v>
      </c>
      <c r="H952" s="61">
        <v>401300000</v>
      </c>
      <c r="I952" t="s">
        <v>36</v>
      </c>
      <c r="J952" t="s">
        <v>39</v>
      </c>
      <c r="K952" s="61">
        <f t="shared" si="42"/>
        <v>1082000000</v>
      </c>
      <c r="L952" s="61">
        <f t="shared" si="43"/>
        <v>505000000</v>
      </c>
      <c r="M952" s="61">
        <f t="shared" si="44"/>
        <v>577000000</v>
      </c>
    </row>
    <row r="953" spans="1:13" x14ac:dyDescent="0.25">
      <c r="A953" t="s">
        <v>354</v>
      </c>
      <c r="B953" t="s">
        <v>6</v>
      </c>
      <c r="C953">
        <v>41306</v>
      </c>
      <c r="D953" s="61">
        <v>50521000000</v>
      </c>
      <c r="E953" s="61">
        <v>33194000000</v>
      </c>
      <c r="F953" s="61">
        <v>12244000000</v>
      </c>
      <c r="G953" s="61">
        <v>0</v>
      </c>
      <c r="H953" s="61">
        <v>1523000000</v>
      </c>
      <c r="I953" t="s">
        <v>13</v>
      </c>
      <c r="J953" t="s">
        <v>288</v>
      </c>
      <c r="K953" s="61">
        <f t="shared" si="42"/>
        <v>17327000000</v>
      </c>
      <c r="L953" s="61">
        <f t="shared" si="43"/>
        <v>13767000000</v>
      </c>
      <c r="M953" s="61">
        <f t="shared" si="44"/>
        <v>3560000000</v>
      </c>
    </row>
    <row r="954" spans="1:13" x14ac:dyDescent="0.25">
      <c r="A954" t="s">
        <v>354</v>
      </c>
      <c r="B954" t="s">
        <v>9</v>
      </c>
      <c r="C954">
        <v>41670</v>
      </c>
      <c r="D954" s="61">
        <v>53417000000</v>
      </c>
      <c r="E954" s="61">
        <v>34941000000</v>
      </c>
      <c r="F954" s="61">
        <v>12865000000</v>
      </c>
      <c r="G954" s="61">
        <v>0</v>
      </c>
      <c r="H954" s="61">
        <v>1462000000</v>
      </c>
      <c r="I954" t="s">
        <v>13</v>
      </c>
      <c r="J954" t="s">
        <v>288</v>
      </c>
      <c r="K954" s="61">
        <f t="shared" si="42"/>
        <v>18476000000</v>
      </c>
      <c r="L954" s="61">
        <f t="shared" si="43"/>
        <v>14327000000</v>
      </c>
      <c r="M954" s="61">
        <f t="shared" si="44"/>
        <v>4149000000</v>
      </c>
    </row>
    <row r="955" spans="1:13" x14ac:dyDescent="0.25">
      <c r="A955" t="s">
        <v>354</v>
      </c>
      <c r="B955" t="s">
        <v>10</v>
      </c>
      <c r="C955">
        <v>42034</v>
      </c>
      <c r="D955" s="61">
        <v>56223000000</v>
      </c>
      <c r="E955" s="61">
        <v>36665000000</v>
      </c>
      <c r="F955" s="61">
        <v>13281000000</v>
      </c>
      <c r="G955" s="61">
        <v>0</v>
      </c>
      <c r="H955" s="61">
        <v>1485000000</v>
      </c>
      <c r="I955" t="s">
        <v>13</v>
      </c>
      <c r="J955" t="s">
        <v>288</v>
      </c>
      <c r="K955" s="61">
        <f t="shared" si="42"/>
        <v>19558000000</v>
      </c>
      <c r="L955" s="61">
        <f t="shared" si="43"/>
        <v>14766000000</v>
      </c>
      <c r="M955" s="61">
        <f t="shared" si="44"/>
        <v>4792000000</v>
      </c>
    </row>
    <row r="956" spans="1:13" x14ac:dyDescent="0.25">
      <c r="A956" t="s">
        <v>354</v>
      </c>
      <c r="B956" t="s">
        <v>11</v>
      </c>
      <c r="C956">
        <v>42398</v>
      </c>
      <c r="D956" s="61">
        <v>59074000000</v>
      </c>
      <c r="E956" s="61">
        <v>38504000000</v>
      </c>
      <c r="F956" s="61">
        <v>14115000000</v>
      </c>
      <c r="G956" s="61">
        <v>0</v>
      </c>
      <c r="H956" s="61">
        <v>1484000000</v>
      </c>
      <c r="I956" t="s">
        <v>13</v>
      </c>
      <c r="J956" t="s">
        <v>288</v>
      </c>
      <c r="K956" s="61">
        <f t="shared" si="42"/>
        <v>20570000000</v>
      </c>
      <c r="L956" s="61">
        <f t="shared" si="43"/>
        <v>15599000000</v>
      </c>
      <c r="M956" s="61">
        <f t="shared" si="44"/>
        <v>4971000000</v>
      </c>
    </row>
    <row r="957" spans="1:13" x14ac:dyDescent="0.25">
      <c r="A957" t="s">
        <v>355</v>
      </c>
      <c r="B957" t="s">
        <v>6</v>
      </c>
      <c r="C957">
        <v>41455</v>
      </c>
      <c r="D957" s="61">
        <v>3598916000</v>
      </c>
      <c r="E957" s="61">
        <v>2195857000</v>
      </c>
      <c r="F957" s="61">
        <v>601300000</v>
      </c>
      <c r="G957" s="61">
        <v>683688000</v>
      </c>
      <c r="H957" s="61">
        <v>0</v>
      </c>
      <c r="I957" t="s">
        <v>16</v>
      </c>
      <c r="J957" t="s">
        <v>62</v>
      </c>
      <c r="K957" s="61">
        <f t="shared" si="42"/>
        <v>1403059000</v>
      </c>
      <c r="L957" s="61">
        <f t="shared" si="43"/>
        <v>1284988000</v>
      </c>
      <c r="M957" s="61">
        <f t="shared" si="44"/>
        <v>118071000</v>
      </c>
    </row>
    <row r="958" spans="1:13" x14ac:dyDescent="0.25">
      <c r="A958" t="s">
        <v>355</v>
      </c>
      <c r="B958" t="s">
        <v>9</v>
      </c>
      <c r="C958">
        <v>41819</v>
      </c>
      <c r="D958" s="61">
        <v>4607309000</v>
      </c>
      <c r="E958" s="61">
        <v>2599828000</v>
      </c>
      <c r="F958" s="61">
        <v>613341000</v>
      </c>
      <c r="G958" s="61">
        <v>716471000</v>
      </c>
      <c r="H958" s="61">
        <v>0</v>
      </c>
      <c r="I958" t="s">
        <v>16</v>
      </c>
      <c r="J958" t="s">
        <v>62</v>
      </c>
      <c r="K958" s="61">
        <f t="shared" si="42"/>
        <v>2007481000</v>
      </c>
      <c r="L958" s="61">
        <f t="shared" si="43"/>
        <v>1329812000</v>
      </c>
      <c r="M958" s="61">
        <f t="shared" si="44"/>
        <v>677669000</v>
      </c>
    </row>
    <row r="959" spans="1:13" x14ac:dyDescent="0.25">
      <c r="A959" t="s">
        <v>355</v>
      </c>
      <c r="B959" t="s">
        <v>10</v>
      </c>
      <c r="C959">
        <v>42183</v>
      </c>
      <c r="D959" s="61">
        <v>5259312000</v>
      </c>
      <c r="E959" s="61">
        <v>2974976000</v>
      </c>
      <c r="F959" s="61">
        <v>591611000</v>
      </c>
      <c r="G959" s="61">
        <v>825242000</v>
      </c>
      <c r="H959" s="61">
        <v>0</v>
      </c>
      <c r="I959" t="s">
        <v>16</v>
      </c>
      <c r="J959" t="s">
        <v>62</v>
      </c>
      <c r="K959" s="61">
        <f t="shared" si="42"/>
        <v>2284336000</v>
      </c>
      <c r="L959" s="61">
        <f t="shared" si="43"/>
        <v>1416853000</v>
      </c>
      <c r="M959" s="61">
        <f t="shared" si="44"/>
        <v>867483000</v>
      </c>
    </row>
    <row r="960" spans="1:13" x14ac:dyDescent="0.25">
      <c r="A960" t="s">
        <v>355</v>
      </c>
      <c r="B960" t="s">
        <v>11</v>
      </c>
      <c r="C960">
        <v>42547</v>
      </c>
      <c r="D960" s="61">
        <v>5885893000</v>
      </c>
      <c r="E960" s="61">
        <v>3266971000</v>
      </c>
      <c r="F960" s="61">
        <v>630954000</v>
      </c>
      <c r="G960" s="61">
        <v>913712000</v>
      </c>
      <c r="H960" s="61">
        <v>0</v>
      </c>
      <c r="I960" t="s">
        <v>16</v>
      </c>
      <c r="J960" t="s">
        <v>62</v>
      </c>
      <c r="K960" s="61">
        <f t="shared" si="42"/>
        <v>2618922000</v>
      </c>
      <c r="L960" s="61">
        <f t="shared" si="43"/>
        <v>1544666000</v>
      </c>
      <c r="M960" s="61">
        <f t="shared" si="44"/>
        <v>1074256000</v>
      </c>
    </row>
    <row r="961" spans="1:13" x14ac:dyDescent="0.25">
      <c r="A961" t="s">
        <v>356</v>
      </c>
      <c r="B961" t="s">
        <v>6</v>
      </c>
      <c r="C961">
        <v>41274</v>
      </c>
      <c r="D961" s="61">
        <v>7810610000</v>
      </c>
      <c r="E961" s="61">
        <v>7479746000</v>
      </c>
      <c r="F961" s="61">
        <v>360586000</v>
      </c>
      <c r="G961" s="61">
        <v>0</v>
      </c>
      <c r="H961" s="61">
        <v>116388000</v>
      </c>
      <c r="I961" t="s">
        <v>41</v>
      </c>
      <c r="J961" t="s">
        <v>357</v>
      </c>
      <c r="K961" s="61">
        <f t="shared" si="42"/>
        <v>330864000</v>
      </c>
      <c r="L961" s="61">
        <f t="shared" si="43"/>
        <v>476974000</v>
      </c>
      <c r="M961" s="61">
        <f t="shared" si="44"/>
        <v>-146110000</v>
      </c>
    </row>
    <row r="962" spans="1:13" x14ac:dyDescent="0.25">
      <c r="A962" t="s">
        <v>356</v>
      </c>
      <c r="B962" t="s">
        <v>9</v>
      </c>
      <c r="C962">
        <v>41639</v>
      </c>
      <c r="D962" s="61">
        <v>9531778000</v>
      </c>
      <c r="E962" s="61">
        <v>7567707000</v>
      </c>
      <c r="F962" s="61">
        <v>2177616000</v>
      </c>
      <c r="G962" s="61">
        <v>0</v>
      </c>
      <c r="H962" s="61">
        <v>167425000</v>
      </c>
      <c r="I962" t="s">
        <v>41</v>
      </c>
      <c r="J962" t="s">
        <v>357</v>
      </c>
      <c r="K962" s="61">
        <f t="shared" ref="K962:K1025" si="45">D962-E962</f>
        <v>1964071000</v>
      </c>
      <c r="L962" s="61">
        <f t="shared" ref="L962:L1025" si="46">F962+G962+H962</f>
        <v>2345041000</v>
      </c>
      <c r="M962" s="61">
        <f t="shared" si="44"/>
        <v>-380970000</v>
      </c>
    </row>
    <row r="963" spans="1:13" x14ac:dyDescent="0.25">
      <c r="A963" t="s">
        <v>356</v>
      </c>
      <c r="B963" t="s">
        <v>10</v>
      </c>
      <c r="C963">
        <v>42004</v>
      </c>
      <c r="D963" s="61">
        <v>10681897000</v>
      </c>
      <c r="E963" s="61">
        <v>8024286000</v>
      </c>
      <c r="F963" s="61">
        <v>2856642000</v>
      </c>
      <c r="G963" s="61">
        <v>0</v>
      </c>
      <c r="H963" s="61">
        <v>185993000</v>
      </c>
      <c r="I963" t="s">
        <v>41</v>
      </c>
      <c r="J963" t="s">
        <v>357</v>
      </c>
      <c r="K963" s="61">
        <f t="shared" si="45"/>
        <v>2657611000</v>
      </c>
      <c r="L963" s="61">
        <f t="shared" si="46"/>
        <v>3042635000</v>
      </c>
      <c r="M963" s="61">
        <f t="shared" ref="M963:M1026" si="47">K963-L963</f>
        <v>-385024000</v>
      </c>
    </row>
    <row r="964" spans="1:13" x14ac:dyDescent="0.25">
      <c r="A964" t="s">
        <v>356</v>
      </c>
      <c r="B964" t="s">
        <v>11</v>
      </c>
      <c r="C964">
        <v>42369</v>
      </c>
      <c r="D964" s="61">
        <v>10116502000</v>
      </c>
      <c r="E964" s="61">
        <v>7677233000</v>
      </c>
      <c r="F964" s="61">
        <v>2620072000</v>
      </c>
      <c r="G964" s="61">
        <v>0</v>
      </c>
      <c r="H964" s="61">
        <v>224133000</v>
      </c>
      <c r="I964" t="s">
        <v>41</v>
      </c>
      <c r="J964" t="s">
        <v>357</v>
      </c>
      <c r="K964" s="61">
        <f t="shared" si="45"/>
        <v>2439269000</v>
      </c>
      <c r="L964" s="61">
        <f t="shared" si="46"/>
        <v>2844205000</v>
      </c>
      <c r="M964" s="61">
        <f t="shared" si="47"/>
        <v>-404936000</v>
      </c>
    </row>
    <row r="965" spans="1:13" x14ac:dyDescent="0.25">
      <c r="A965" t="s">
        <v>358</v>
      </c>
      <c r="B965" t="s">
        <v>6</v>
      </c>
      <c r="C965">
        <v>41639</v>
      </c>
      <c r="D965" s="61">
        <v>17699000000</v>
      </c>
      <c r="E965" s="61">
        <v>8307000000</v>
      </c>
      <c r="F965" s="61">
        <v>7161000000</v>
      </c>
      <c r="G965" s="61">
        <v>0</v>
      </c>
      <c r="H965" s="61">
        <v>867000000</v>
      </c>
      <c r="I965" t="s">
        <v>7</v>
      </c>
      <c r="J965" t="s">
        <v>8</v>
      </c>
      <c r="K965" s="61">
        <f t="shared" si="45"/>
        <v>9392000000</v>
      </c>
      <c r="L965" s="61">
        <f t="shared" si="46"/>
        <v>8028000000</v>
      </c>
      <c r="M965" s="61">
        <f t="shared" si="47"/>
        <v>1364000000</v>
      </c>
    </row>
    <row r="966" spans="1:13" x14ac:dyDescent="0.25">
      <c r="A966" t="s">
        <v>358</v>
      </c>
      <c r="B966" t="s">
        <v>9</v>
      </c>
      <c r="C966">
        <v>42004</v>
      </c>
      <c r="D966" s="61">
        <v>18605000000</v>
      </c>
      <c r="E966" s="61">
        <v>7677000000</v>
      </c>
      <c r="F966" s="61">
        <v>7639000000</v>
      </c>
      <c r="G966" s="61">
        <v>0</v>
      </c>
      <c r="H966" s="61">
        <v>938000000</v>
      </c>
      <c r="I966" t="s">
        <v>7</v>
      </c>
      <c r="J966" t="s">
        <v>8</v>
      </c>
      <c r="K966" s="61">
        <f t="shared" si="45"/>
        <v>10928000000</v>
      </c>
      <c r="L966" s="61">
        <f t="shared" si="46"/>
        <v>8577000000</v>
      </c>
      <c r="M966" s="61">
        <f t="shared" si="47"/>
        <v>2351000000</v>
      </c>
    </row>
    <row r="967" spans="1:13" x14ac:dyDescent="0.25">
      <c r="A967" t="s">
        <v>358</v>
      </c>
      <c r="B967" t="s">
        <v>10</v>
      </c>
      <c r="C967">
        <v>42369</v>
      </c>
      <c r="D967" s="61">
        <v>19820000000</v>
      </c>
      <c r="E967" s="61">
        <v>6025000000</v>
      </c>
      <c r="F967" s="61">
        <v>8625000000</v>
      </c>
      <c r="G967" s="61">
        <v>0</v>
      </c>
      <c r="H967" s="61">
        <v>1015000000</v>
      </c>
      <c r="I967" t="s">
        <v>7</v>
      </c>
      <c r="J967" t="s">
        <v>8</v>
      </c>
      <c r="K967" s="61">
        <f t="shared" si="45"/>
        <v>13795000000</v>
      </c>
      <c r="L967" s="61">
        <f t="shared" si="46"/>
        <v>9640000000</v>
      </c>
      <c r="M967" s="61">
        <f t="shared" si="47"/>
        <v>4155000000</v>
      </c>
    </row>
    <row r="968" spans="1:13" x14ac:dyDescent="0.25">
      <c r="A968" t="s">
        <v>358</v>
      </c>
      <c r="B968" t="s">
        <v>11</v>
      </c>
      <c r="C968">
        <v>42735</v>
      </c>
      <c r="D968" s="61">
        <v>20425000000</v>
      </c>
      <c r="E968" s="61">
        <v>6132000000</v>
      </c>
      <c r="F968" s="61">
        <v>9312000000</v>
      </c>
      <c r="G968" s="61">
        <v>0</v>
      </c>
      <c r="H968" s="61">
        <v>1221000000</v>
      </c>
      <c r="I968" t="s">
        <v>7</v>
      </c>
      <c r="J968" t="s">
        <v>8</v>
      </c>
      <c r="K968" s="61">
        <f t="shared" si="45"/>
        <v>14293000000</v>
      </c>
      <c r="L968" s="61">
        <f t="shared" si="46"/>
        <v>10533000000</v>
      </c>
      <c r="M968" s="61">
        <f t="shared" si="47"/>
        <v>3760000000</v>
      </c>
    </row>
    <row r="969" spans="1:13" x14ac:dyDescent="0.25">
      <c r="A969" t="s">
        <v>359</v>
      </c>
      <c r="B969" t="s">
        <v>6</v>
      </c>
      <c r="C969">
        <v>41274</v>
      </c>
      <c r="D969" s="61">
        <v>6376000000</v>
      </c>
      <c r="E969" s="61">
        <v>3851000000</v>
      </c>
      <c r="F969" s="61">
        <v>1201000000</v>
      </c>
      <c r="G969" s="61">
        <v>0</v>
      </c>
      <c r="H969" s="61">
        <v>749000000</v>
      </c>
      <c r="I969" t="s">
        <v>176</v>
      </c>
      <c r="J969" t="s">
        <v>360</v>
      </c>
      <c r="K969" s="61">
        <f t="shared" si="45"/>
        <v>2525000000</v>
      </c>
      <c r="L969" s="61">
        <f t="shared" si="46"/>
        <v>1950000000</v>
      </c>
      <c r="M969" s="61">
        <f t="shared" si="47"/>
        <v>575000000</v>
      </c>
    </row>
    <row r="970" spans="1:13" x14ac:dyDescent="0.25">
      <c r="A970" t="s">
        <v>359</v>
      </c>
      <c r="B970" t="s">
        <v>9</v>
      </c>
      <c r="C970">
        <v>41639</v>
      </c>
      <c r="D970" s="61">
        <v>6313000000</v>
      </c>
      <c r="E970" s="61">
        <v>3685000000</v>
      </c>
      <c r="F970" s="61">
        <v>1162000000</v>
      </c>
      <c r="G970" s="61">
        <v>0</v>
      </c>
      <c r="H970" s="61">
        <v>800000000</v>
      </c>
      <c r="I970" t="s">
        <v>176</v>
      </c>
      <c r="J970" t="s">
        <v>360</v>
      </c>
      <c r="K970" s="61">
        <f t="shared" si="45"/>
        <v>2628000000</v>
      </c>
      <c r="L970" s="61">
        <f t="shared" si="46"/>
        <v>1962000000</v>
      </c>
      <c r="M970" s="61">
        <f t="shared" si="47"/>
        <v>666000000</v>
      </c>
    </row>
    <row r="971" spans="1:13" x14ac:dyDescent="0.25">
      <c r="A971" t="s">
        <v>359</v>
      </c>
      <c r="B971" t="s">
        <v>10</v>
      </c>
      <c r="C971">
        <v>42004</v>
      </c>
      <c r="D971" s="61">
        <v>6777000000</v>
      </c>
      <c r="E971" s="61">
        <v>3775000000</v>
      </c>
      <c r="F971" s="61">
        <v>1181000000</v>
      </c>
      <c r="G971" s="61">
        <v>0</v>
      </c>
      <c r="H971" s="61">
        <v>808000000</v>
      </c>
      <c r="I971" t="s">
        <v>176</v>
      </c>
      <c r="J971" t="s">
        <v>360</v>
      </c>
      <c r="K971" s="61">
        <f t="shared" si="45"/>
        <v>3002000000</v>
      </c>
      <c r="L971" s="61">
        <f t="shared" si="46"/>
        <v>1989000000</v>
      </c>
      <c r="M971" s="61">
        <f t="shared" si="47"/>
        <v>1013000000</v>
      </c>
    </row>
    <row r="972" spans="1:13" x14ac:dyDescent="0.25">
      <c r="A972" t="s">
        <v>359</v>
      </c>
      <c r="B972" t="s">
        <v>11</v>
      </c>
      <c r="C972">
        <v>42369</v>
      </c>
      <c r="D972" s="61">
        <v>8229000000</v>
      </c>
      <c r="E972" s="61">
        <v>4265000000</v>
      </c>
      <c r="F972" s="61">
        <v>1467000000</v>
      </c>
      <c r="G972" s="61">
        <v>0</v>
      </c>
      <c r="H972" s="61">
        <v>1166000000</v>
      </c>
      <c r="I972" t="s">
        <v>176</v>
      </c>
      <c r="J972" t="s">
        <v>360</v>
      </c>
      <c r="K972" s="61">
        <f t="shared" si="45"/>
        <v>3964000000</v>
      </c>
      <c r="L972" s="61">
        <f t="shared" si="46"/>
        <v>2633000000</v>
      </c>
      <c r="M972" s="61">
        <f t="shared" si="47"/>
        <v>1331000000</v>
      </c>
    </row>
    <row r="973" spans="1:13" x14ac:dyDescent="0.25">
      <c r="A973" t="s">
        <v>361</v>
      </c>
      <c r="B973" t="s">
        <v>6</v>
      </c>
      <c r="C973">
        <v>41274</v>
      </c>
      <c r="D973" s="61">
        <v>45352000000</v>
      </c>
      <c r="E973" s="61">
        <v>39595000000</v>
      </c>
      <c r="F973" s="61">
        <v>909000000</v>
      </c>
      <c r="G973" s="61">
        <v>172000000</v>
      </c>
      <c r="H973" s="61">
        <v>0</v>
      </c>
      <c r="I973" t="s">
        <v>53</v>
      </c>
      <c r="J973" t="s">
        <v>187</v>
      </c>
      <c r="K973" s="61">
        <f t="shared" si="45"/>
        <v>5757000000</v>
      </c>
      <c r="L973" s="61">
        <f t="shared" si="46"/>
        <v>1081000000</v>
      </c>
      <c r="M973" s="61">
        <f t="shared" si="47"/>
        <v>4676000000</v>
      </c>
    </row>
    <row r="974" spans="1:13" x14ac:dyDescent="0.25">
      <c r="A974" t="s">
        <v>361</v>
      </c>
      <c r="B974" t="s">
        <v>9</v>
      </c>
      <c r="C974">
        <v>41639</v>
      </c>
      <c r="D974" s="61">
        <v>44062000000</v>
      </c>
      <c r="E974" s="61">
        <v>37940000000</v>
      </c>
      <c r="F974" s="61">
        <v>870000000</v>
      </c>
      <c r="G974" s="61">
        <v>150000000</v>
      </c>
      <c r="H974" s="61">
        <v>0</v>
      </c>
      <c r="I974" t="s">
        <v>53</v>
      </c>
      <c r="J974" t="s">
        <v>187</v>
      </c>
      <c r="K974" s="61">
        <f t="shared" si="45"/>
        <v>6122000000</v>
      </c>
      <c r="L974" s="61">
        <f t="shared" si="46"/>
        <v>1020000000</v>
      </c>
      <c r="M974" s="61">
        <f t="shared" si="47"/>
        <v>5102000000</v>
      </c>
    </row>
    <row r="975" spans="1:13" x14ac:dyDescent="0.25">
      <c r="A975" t="s">
        <v>361</v>
      </c>
      <c r="B975" t="s">
        <v>10</v>
      </c>
      <c r="C975">
        <v>42004</v>
      </c>
      <c r="D975" s="61">
        <v>45608000000</v>
      </c>
      <c r="E975" s="61">
        <v>38939000000</v>
      </c>
      <c r="F975" s="61">
        <v>806000000</v>
      </c>
      <c r="G975" s="61">
        <v>127000000</v>
      </c>
      <c r="H975" s="61">
        <v>0</v>
      </c>
      <c r="I975" t="s">
        <v>53</v>
      </c>
      <c r="J975" t="s">
        <v>187</v>
      </c>
      <c r="K975" s="61">
        <f t="shared" si="45"/>
        <v>6669000000</v>
      </c>
      <c r="L975" s="61">
        <f t="shared" si="46"/>
        <v>933000000</v>
      </c>
      <c r="M975" s="61">
        <f t="shared" si="47"/>
        <v>5736000000</v>
      </c>
    </row>
    <row r="976" spans="1:13" x14ac:dyDescent="0.25">
      <c r="A976" t="s">
        <v>361</v>
      </c>
      <c r="B976" t="s">
        <v>11</v>
      </c>
      <c r="C976">
        <v>42369</v>
      </c>
      <c r="D976" s="61">
        <v>32735000000</v>
      </c>
      <c r="E976" s="61">
        <v>25683000000</v>
      </c>
      <c r="F976" s="61">
        <v>828000000</v>
      </c>
      <c r="G976" s="61">
        <v>102000000</v>
      </c>
      <c r="H976" s="61">
        <v>0</v>
      </c>
      <c r="I976" t="s">
        <v>53</v>
      </c>
      <c r="J976" t="s">
        <v>187</v>
      </c>
      <c r="K976" s="61">
        <f t="shared" si="45"/>
        <v>7052000000</v>
      </c>
      <c r="L976" s="61">
        <f t="shared" si="46"/>
        <v>930000000</v>
      </c>
      <c r="M976" s="61">
        <f t="shared" si="47"/>
        <v>6122000000</v>
      </c>
    </row>
    <row r="977" spans="1:13" x14ac:dyDescent="0.25">
      <c r="A977" t="s">
        <v>362</v>
      </c>
      <c r="B977" t="s">
        <v>6</v>
      </c>
      <c r="C977">
        <v>41307</v>
      </c>
      <c r="D977" s="61">
        <v>27686000000</v>
      </c>
      <c r="E977" s="61">
        <v>16538000000</v>
      </c>
      <c r="F977" s="61">
        <v>8482000000</v>
      </c>
      <c r="G977" s="61">
        <v>0</v>
      </c>
      <c r="H977" s="61">
        <v>0</v>
      </c>
      <c r="I977" t="s">
        <v>13</v>
      </c>
      <c r="J977" t="s">
        <v>328</v>
      </c>
      <c r="K977" s="61">
        <f t="shared" si="45"/>
        <v>11148000000</v>
      </c>
      <c r="L977" s="61">
        <f t="shared" si="46"/>
        <v>8482000000</v>
      </c>
      <c r="M977" s="61">
        <f t="shared" si="47"/>
        <v>2666000000</v>
      </c>
    </row>
    <row r="978" spans="1:13" x14ac:dyDescent="0.25">
      <c r="A978" t="s">
        <v>362</v>
      </c>
      <c r="B978" t="s">
        <v>9</v>
      </c>
      <c r="C978">
        <v>41671</v>
      </c>
      <c r="D978" s="61">
        <v>27931000000</v>
      </c>
      <c r="E978" s="61">
        <v>16725000000</v>
      </c>
      <c r="F978" s="61">
        <v>8440000000</v>
      </c>
      <c r="G978" s="61">
        <v>0</v>
      </c>
      <c r="H978" s="61">
        <v>0</v>
      </c>
      <c r="I978" t="s">
        <v>13</v>
      </c>
      <c r="J978" t="s">
        <v>328</v>
      </c>
      <c r="K978" s="61">
        <f t="shared" si="45"/>
        <v>11206000000</v>
      </c>
      <c r="L978" s="61">
        <f t="shared" si="46"/>
        <v>8440000000</v>
      </c>
      <c r="M978" s="61">
        <f t="shared" si="47"/>
        <v>2766000000</v>
      </c>
    </row>
    <row r="979" spans="1:13" x14ac:dyDescent="0.25">
      <c r="A979" t="s">
        <v>362</v>
      </c>
      <c r="B979" t="s">
        <v>10</v>
      </c>
      <c r="C979">
        <v>42035</v>
      </c>
      <c r="D979" s="61">
        <v>28105000000</v>
      </c>
      <c r="E979" s="61">
        <v>16863000000</v>
      </c>
      <c r="F979" s="61">
        <v>8355000000</v>
      </c>
      <c r="G979" s="61">
        <v>0</v>
      </c>
      <c r="H979" s="61">
        <v>0</v>
      </c>
      <c r="I979" t="s">
        <v>13</v>
      </c>
      <c r="J979" t="s">
        <v>328</v>
      </c>
      <c r="K979" s="61">
        <f t="shared" si="45"/>
        <v>11242000000</v>
      </c>
      <c r="L979" s="61">
        <f t="shared" si="46"/>
        <v>8355000000</v>
      </c>
      <c r="M979" s="61">
        <f t="shared" si="47"/>
        <v>2887000000</v>
      </c>
    </row>
    <row r="980" spans="1:13" x14ac:dyDescent="0.25">
      <c r="A980" t="s">
        <v>362</v>
      </c>
      <c r="B980" t="s">
        <v>11</v>
      </c>
      <c r="C980">
        <v>42399</v>
      </c>
      <c r="D980" s="61">
        <v>27079000000</v>
      </c>
      <c r="E980" s="61">
        <v>16496000000</v>
      </c>
      <c r="F980" s="61">
        <v>8256000000</v>
      </c>
      <c r="G980" s="61">
        <v>0</v>
      </c>
      <c r="H980" s="61">
        <v>0</v>
      </c>
      <c r="I980" t="s">
        <v>13</v>
      </c>
      <c r="J980" t="s">
        <v>328</v>
      </c>
      <c r="K980" s="61">
        <f t="shared" si="45"/>
        <v>10583000000</v>
      </c>
      <c r="L980" s="61">
        <f t="shared" si="46"/>
        <v>8256000000</v>
      </c>
      <c r="M980" s="61">
        <f t="shared" si="47"/>
        <v>2327000000</v>
      </c>
    </row>
    <row r="981" spans="1:13" x14ac:dyDescent="0.25">
      <c r="A981" t="s">
        <v>363</v>
      </c>
      <c r="B981" t="s">
        <v>6</v>
      </c>
      <c r="C981">
        <v>41639</v>
      </c>
      <c r="D981" s="61">
        <v>8312000000</v>
      </c>
      <c r="E981" s="61">
        <v>0</v>
      </c>
      <c r="F981" s="61">
        <v>3456000000</v>
      </c>
      <c r="G981" s="61">
        <v>0</v>
      </c>
      <c r="H981" s="61">
        <v>258000000</v>
      </c>
      <c r="I981" t="s">
        <v>16</v>
      </c>
      <c r="J981" t="s">
        <v>51</v>
      </c>
      <c r="K981" s="61">
        <f t="shared" si="45"/>
        <v>8312000000</v>
      </c>
      <c r="L981" s="61">
        <f t="shared" si="46"/>
        <v>3714000000</v>
      </c>
      <c r="M981" s="61">
        <f t="shared" si="47"/>
        <v>4598000000</v>
      </c>
    </row>
    <row r="982" spans="1:13" x14ac:dyDescent="0.25">
      <c r="A982" t="s">
        <v>363</v>
      </c>
      <c r="B982" t="s">
        <v>9</v>
      </c>
      <c r="C982">
        <v>42004</v>
      </c>
      <c r="D982" s="61">
        <v>9441000000</v>
      </c>
      <c r="E982" s="61">
        <v>0</v>
      </c>
      <c r="F982" s="61">
        <v>4014000000</v>
      </c>
      <c r="G982" s="61">
        <v>0</v>
      </c>
      <c r="H982" s="61">
        <v>321000000</v>
      </c>
      <c r="I982" t="s">
        <v>16</v>
      </c>
      <c r="J982" t="s">
        <v>51</v>
      </c>
      <c r="K982" s="61">
        <f t="shared" si="45"/>
        <v>9441000000</v>
      </c>
      <c r="L982" s="61">
        <f t="shared" si="46"/>
        <v>4335000000</v>
      </c>
      <c r="M982" s="61">
        <f t="shared" si="47"/>
        <v>5106000000</v>
      </c>
    </row>
    <row r="983" spans="1:13" x14ac:dyDescent="0.25">
      <c r="A983" t="s">
        <v>363</v>
      </c>
      <c r="B983" t="s">
        <v>10</v>
      </c>
      <c r="C983">
        <v>42369</v>
      </c>
      <c r="D983" s="61">
        <v>9667000000</v>
      </c>
      <c r="E983" s="61">
        <v>0</v>
      </c>
      <c r="F983" s="61">
        <v>4162000000</v>
      </c>
      <c r="G983" s="61">
        <v>0</v>
      </c>
      <c r="H983" s="61">
        <v>366000000</v>
      </c>
      <c r="I983" t="s">
        <v>16</v>
      </c>
      <c r="J983" t="s">
        <v>51</v>
      </c>
      <c r="K983" s="61">
        <f t="shared" si="45"/>
        <v>9667000000</v>
      </c>
      <c r="L983" s="61">
        <f t="shared" si="46"/>
        <v>4528000000</v>
      </c>
      <c r="M983" s="61">
        <f t="shared" si="47"/>
        <v>5139000000</v>
      </c>
    </row>
    <row r="984" spans="1:13" x14ac:dyDescent="0.25">
      <c r="A984" t="s">
        <v>363</v>
      </c>
      <c r="B984" t="s">
        <v>11</v>
      </c>
      <c r="C984">
        <v>42735</v>
      </c>
      <c r="D984" s="61">
        <v>10776000000</v>
      </c>
      <c r="E984" s="61">
        <v>0</v>
      </c>
      <c r="F984" s="61">
        <v>4525000000</v>
      </c>
      <c r="G984" s="61">
        <v>0</v>
      </c>
      <c r="H984" s="61">
        <v>373000000</v>
      </c>
      <c r="I984" t="s">
        <v>16</v>
      </c>
      <c r="J984" t="s">
        <v>51</v>
      </c>
      <c r="K984" s="61">
        <f t="shared" si="45"/>
        <v>10776000000</v>
      </c>
      <c r="L984" s="61">
        <f t="shared" si="46"/>
        <v>4898000000</v>
      </c>
      <c r="M984" s="61">
        <f t="shared" si="47"/>
        <v>5878000000</v>
      </c>
    </row>
    <row r="985" spans="1:13" x14ac:dyDescent="0.25">
      <c r="A985" t="s">
        <v>364</v>
      </c>
      <c r="B985" t="s">
        <v>6</v>
      </c>
      <c r="C985">
        <v>41274</v>
      </c>
      <c r="D985" s="61">
        <v>475888000</v>
      </c>
      <c r="E985" s="61">
        <v>117275000</v>
      </c>
      <c r="F985" s="61">
        <v>47115000</v>
      </c>
      <c r="G985" s="61">
        <v>0</v>
      </c>
      <c r="H985" s="61">
        <v>121211000</v>
      </c>
      <c r="I985" t="s">
        <v>46</v>
      </c>
      <c r="J985" t="s">
        <v>228</v>
      </c>
      <c r="K985" s="61">
        <f t="shared" si="45"/>
        <v>358613000</v>
      </c>
      <c r="L985" s="61">
        <f t="shared" si="46"/>
        <v>168326000</v>
      </c>
      <c r="M985" s="61">
        <f t="shared" si="47"/>
        <v>190287000</v>
      </c>
    </row>
    <row r="986" spans="1:13" x14ac:dyDescent="0.25">
      <c r="A986" t="s">
        <v>364</v>
      </c>
      <c r="B986" t="s">
        <v>9</v>
      </c>
      <c r="C986">
        <v>41639</v>
      </c>
      <c r="D986" s="61">
        <v>635490000</v>
      </c>
      <c r="E986" s="61">
        <v>172050000</v>
      </c>
      <c r="F986" s="61">
        <v>43720000</v>
      </c>
      <c r="G986" s="61">
        <v>0</v>
      </c>
      <c r="H986" s="61">
        <v>186979000</v>
      </c>
      <c r="I986" t="s">
        <v>46</v>
      </c>
      <c r="J986" t="s">
        <v>228</v>
      </c>
      <c r="K986" s="61">
        <f t="shared" si="45"/>
        <v>463440000</v>
      </c>
      <c r="L986" s="61">
        <f t="shared" si="46"/>
        <v>230699000</v>
      </c>
      <c r="M986" s="61">
        <f t="shared" si="47"/>
        <v>232741000</v>
      </c>
    </row>
    <row r="987" spans="1:13" x14ac:dyDescent="0.25">
      <c r="A987" t="s">
        <v>364</v>
      </c>
      <c r="B987" t="s">
        <v>10</v>
      </c>
      <c r="C987">
        <v>42004</v>
      </c>
      <c r="D987" s="61">
        <v>992332000</v>
      </c>
      <c r="E987" s="61">
        <v>275379000</v>
      </c>
      <c r="F987" s="61">
        <v>57664000</v>
      </c>
      <c r="G987" s="61">
        <v>0</v>
      </c>
      <c r="H987" s="61">
        <v>301812000</v>
      </c>
      <c r="I987" t="s">
        <v>46</v>
      </c>
      <c r="J987" t="s">
        <v>228</v>
      </c>
      <c r="K987" s="61">
        <f t="shared" si="45"/>
        <v>716953000</v>
      </c>
      <c r="L987" s="61">
        <f t="shared" si="46"/>
        <v>359476000</v>
      </c>
      <c r="M987" s="61">
        <f t="shared" si="47"/>
        <v>357477000</v>
      </c>
    </row>
    <row r="988" spans="1:13" x14ac:dyDescent="0.25">
      <c r="A988" t="s">
        <v>364</v>
      </c>
      <c r="B988" t="s">
        <v>11</v>
      </c>
      <c r="C988">
        <v>42369</v>
      </c>
      <c r="D988" s="61">
        <v>1042779000</v>
      </c>
      <c r="E988" s="61">
        <v>280901000</v>
      </c>
      <c r="F988" s="61">
        <v>53992000</v>
      </c>
      <c r="G988" s="61">
        <v>0</v>
      </c>
      <c r="H988" s="61">
        <v>294520000</v>
      </c>
      <c r="I988" t="s">
        <v>46</v>
      </c>
      <c r="J988" t="s">
        <v>228</v>
      </c>
      <c r="K988" s="61">
        <f t="shared" si="45"/>
        <v>761878000</v>
      </c>
      <c r="L988" s="61">
        <f t="shared" si="46"/>
        <v>348512000</v>
      </c>
      <c r="M988" s="61">
        <f t="shared" si="47"/>
        <v>413366000</v>
      </c>
    </row>
    <row r="989" spans="1:13" x14ac:dyDescent="0.25">
      <c r="A989" t="s">
        <v>365</v>
      </c>
      <c r="B989" t="s">
        <v>6</v>
      </c>
      <c r="C989">
        <v>41274</v>
      </c>
      <c r="D989" s="61">
        <v>797517000</v>
      </c>
      <c r="E989" s="61">
        <v>337533000</v>
      </c>
      <c r="F989" s="61">
        <v>20412000</v>
      </c>
      <c r="G989" s="61">
        <v>0</v>
      </c>
      <c r="H989" s="61">
        <v>277621000</v>
      </c>
      <c r="I989" t="s">
        <v>46</v>
      </c>
      <c r="J989" t="s">
        <v>259</v>
      </c>
      <c r="K989" s="61">
        <f t="shared" si="45"/>
        <v>459984000</v>
      </c>
      <c r="L989" s="61">
        <f t="shared" si="46"/>
        <v>298033000</v>
      </c>
      <c r="M989" s="61">
        <f t="shared" si="47"/>
        <v>161951000</v>
      </c>
    </row>
    <row r="990" spans="1:13" x14ac:dyDescent="0.25">
      <c r="A990" t="s">
        <v>365</v>
      </c>
      <c r="B990" t="s">
        <v>9</v>
      </c>
      <c r="C990">
        <v>41639</v>
      </c>
      <c r="D990" s="61">
        <v>1029475000</v>
      </c>
      <c r="E990" s="61">
        <v>423256000</v>
      </c>
      <c r="F990" s="61">
        <v>27772000</v>
      </c>
      <c r="G990" s="61">
        <v>0</v>
      </c>
      <c r="H990" s="61">
        <v>357165000</v>
      </c>
      <c r="I990" t="s">
        <v>46</v>
      </c>
      <c r="J990" t="s">
        <v>259</v>
      </c>
      <c r="K990" s="61">
        <f t="shared" si="45"/>
        <v>606219000</v>
      </c>
      <c r="L990" s="61">
        <f t="shared" si="46"/>
        <v>384937000</v>
      </c>
      <c r="M990" s="61">
        <f t="shared" si="47"/>
        <v>221282000</v>
      </c>
    </row>
    <row r="991" spans="1:13" x14ac:dyDescent="0.25">
      <c r="A991" t="s">
        <v>365</v>
      </c>
      <c r="B991" t="s">
        <v>10</v>
      </c>
      <c r="C991">
        <v>42004</v>
      </c>
      <c r="D991" s="61">
        <v>1105247000</v>
      </c>
      <c r="E991" s="61">
        <v>441929000</v>
      </c>
      <c r="F991" s="61">
        <v>29412000</v>
      </c>
      <c r="G991" s="61">
        <v>0</v>
      </c>
      <c r="H991" s="61">
        <v>378716000</v>
      </c>
      <c r="I991" t="s">
        <v>46</v>
      </c>
      <c r="J991" t="s">
        <v>259</v>
      </c>
      <c r="K991" s="61">
        <f t="shared" si="45"/>
        <v>663318000</v>
      </c>
      <c r="L991" s="61">
        <f t="shared" si="46"/>
        <v>408128000</v>
      </c>
      <c r="M991" s="61">
        <f t="shared" si="47"/>
        <v>255190000</v>
      </c>
    </row>
    <row r="992" spans="1:13" x14ac:dyDescent="0.25">
      <c r="A992" t="s">
        <v>365</v>
      </c>
      <c r="B992" t="s">
        <v>11</v>
      </c>
      <c r="C992">
        <v>42369</v>
      </c>
      <c r="D992" s="61">
        <v>1288149000</v>
      </c>
      <c r="E992" s="61">
        <v>497359000</v>
      </c>
      <c r="F992" s="61">
        <v>29870000</v>
      </c>
      <c r="G992" s="61">
        <v>0</v>
      </c>
      <c r="H992" s="61">
        <v>464472000</v>
      </c>
      <c r="I992" t="s">
        <v>46</v>
      </c>
      <c r="J992" t="s">
        <v>259</v>
      </c>
      <c r="K992" s="61">
        <f t="shared" si="45"/>
        <v>790790000</v>
      </c>
      <c r="L992" s="61">
        <f t="shared" si="46"/>
        <v>494342000</v>
      </c>
      <c r="M992" s="61">
        <f t="shared" si="47"/>
        <v>296448000</v>
      </c>
    </row>
    <row r="993" spans="1:13" x14ac:dyDescent="0.25">
      <c r="A993" t="s">
        <v>366</v>
      </c>
      <c r="B993" t="s">
        <v>6</v>
      </c>
      <c r="C993">
        <v>41274</v>
      </c>
      <c r="D993" s="61">
        <v>11814000000</v>
      </c>
      <c r="E993" s="61">
        <v>10190000000</v>
      </c>
      <c r="F993" s="61">
        <v>582000000</v>
      </c>
      <c r="G993" s="61">
        <v>0</v>
      </c>
      <c r="H993" s="61">
        <v>102000000</v>
      </c>
      <c r="I993" t="s">
        <v>13</v>
      </c>
      <c r="J993" t="s">
        <v>127</v>
      </c>
      <c r="K993" s="61">
        <f t="shared" si="45"/>
        <v>1624000000</v>
      </c>
      <c r="L993" s="61">
        <f t="shared" si="46"/>
        <v>684000000</v>
      </c>
      <c r="M993" s="61">
        <f t="shared" si="47"/>
        <v>940000000</v>
      </c>
    </row>
    <row r="994" spans="1:13" x14ac:dyDescent="0.25">
      <c r="A994" t="s">
        <v>366</v>
      </c>
      <c r="B994" t="s">
        <v>9</v>
      </c>
      <c r="C994">
        <v>41639</v>
      </c>
      <c r="D994" s="61">
        <v>12784000000</v>
      </c>
      <c r="E994" s="61">
        <v>11020000000</v>
      </c>
      <c r="F994" s="61">
        <v>649000000</v>
      </c>
      <c r="G994" s="61">
        <v>0</v>
      </c>
      <c r="H994" s="61">
        <v>127000000</v>
      </c>
      <c r="I994" t="s">
        <v>13</v>
      </c>
      <c r="J994" t="s">
        <v>127</v>
      </c>
      <c r="K994" s="61">
        <f t="shared" si="45"/>
        <v>1764000000</v>
      </c>
      <c r="L994" s="61">
        <f t="shared" si="46"/>
        <v>776000000</v>
      </c>
      <c r="M994" s="61">
        <f t="shared" si="47"/>
        <v>988000000</v>
      </c>
    </row>
    <row r="995" spans="1:13" x14ac:dyDescent="0.25">
      <c r="A995" t="s">
        <v>366</v>
      </c>
      <c r="B995" t="s">
        <v>10</v>
      </c>
      <c r="C995">
        <v>42004</v>
      </c>
      <c r="D995" s="61">
        <v>13796000000</v>
      </c>
      <c r="E995" s="61">
        <v>11830000000</v>
      </c>
      <c r="F995" s="61">
        <v>659000000</v>
      </c>
      <c r="G995" s="61">
        <v>0</v>
      </c>
      <c r="H995" s="61">
        <v>148000000</v>
      </c>
      <c r="I995" t="s">
        <v>13</v>
      </c>
      <c r="J995" t="s">
        <v>127</v>
      </c>
      <c r="K995" s="61">
        <f t="shared" si="45"/>
        <v>1966000000</v>
      </c>
      <c r="L995" s="61">
        <f t="shared" si="46"/>
        <v>807000000</v>
      </c>
      <c r="M995" s="61">
        <f t="shared" si="47"/>
        <v>1159000000</v>
      </c>
    </row>
    <row r="996" spans="1:13" x14ac:dyDescent="0.25">
      <c r="A996" t="s">
        <v>366</v>
      </c>
      <c r="B996" t="s">
        <v>11</v>
      </c>
      <c r="C996">
        <v>42369</v>
      </c>
      <c r="D996" s="61">
        <v>14486000000</v>
      </c>
      <c r="E996" s="61">
        <v>12363000000</v>
      </c>
      <c r="F996" s="61">
        <v>634000000</v>
      </c>
      <c r="G996" s="61">
        <v>0</v>
      </c>
      <c r="H996" s="61">
        <v>139000000</v>
      </c>
      <c r="I996" t="s">
        <v>13</v>
      </c>
      <c r="J996" t="s">
        <v>127</v>
      </c>
      <c r="K996" s="61">
        <f t="shared" si="45"/>
        <v>2123000000</v>
      </c>
      <c r="L996" s="61">
        <f t="shared" si="46"/>
        <v>773000000</v>
      </c>
      <c r="M996" s="61">
        <f t="shared" si="47"/>
        <v>1350000000</v>
      </c>
    </row>
    <row r="997" spans="1:13" x14ac:dyDescent="0.25">
      <c r="A997" t="s">
        <v>367</v>
      </c>
      <c r="B997" t="s">
        <v>6</v>
      </c>
      <c r="C997">
        <v>41639</v>
      </c>
      <c r="D997" s="61">
        <v>6761000000</v>
      </c>
      <c r="E997" s="61">
        <v>4802000000</v>
      </c>
      <c r="F997" s="61">
        <v>1347000000</v>
      </c>
      <c r="G997" s="61">
        <v>0</v>
      </c>
      <c r="H997" s="61">
        <v>0</v>
      </c>
      <c r="I997" t="s">
        <v>7</v>
      </c>
      <c r="J997" t="s">
        <v>58</v>
      </c>
      <c r="K997" s="61">
        <f t="shared" si="45"/>
        <v>1959000000</v>
      </c>
      <c r="L997" s="61">
        <f t="shared" si="46"/>
        <v>1347000000</v>
      </c>
      <c r="M997" s="61">
        <f t="shared" si="47"/>
        <v>612000000</v>
      </c>
    </row>
    <row r="998" spans="1:13" x14ac:dyDescent="0.25">
      <c r="A998" t="s">
        <v>367</v>
      </c>
      <c r="B998" t="s">
        <v>9</v>
      </c>
      <c r="C998">
        <v>42004</v>
      </c>
      <c r="D998" s="61">
        <v>7006000000</v>
      </c>
      <c r="E998" s="61">
        <v>4946000000</v>
      </c>
      <c r="F998" s="61">
        <v>1338000000</v>
      </c>
      <c r="G998" s="61">
        <v>0</v>
      </c>
      <c r="H998" s="61">
        <v>0</v>
      </c>
      <c r="I998" t="s">
        <v>7</v>
      </c>
      <c r="J998" t="s">
        <v>58</v>
      </c>
      <c r="K998" s="61">
        <f t="shared" si="45"/>
        <v>2060000000</v>
      </c>
      <c r="L998" s="61">
        <f t="shared" si="46"/>
        <v>1338000000</v>
      </c>
      <c r="M998" s="61">
        <f t="shared" si="47"/>
        <v>722000000</v>
      </c>
    </row>
    <row r="999" spans="1:13" x14ac:dyDescent="0.25">
      <c r="A999" t="s">
        <v>367</v>
      </c>
      <c r="B999" t="s">
        <v>10</v>
      </c>
      <c r="C999">
        <v>42369</v>
      </c>
      <c r="D999" s="61">
        <v>7142000000</v>
      </c>
      <c r="E999" s="61">
        <v>4889000000</v>
      </c>
      <c r="F999" s="61">
        <v>1339000000</v>
      </c>
      <c r="G999" s="61">
        <v>0</v>
      </c>
      <c r="H999" s="61">
        <v>0</v>
      </c>
      <c r="I999" t="s">
        <v>7</v>
      </c>
      <c r="J999" t="s">
        <v>58</v>
      </c>
      <c r="K999" s="61">
        <f t="shared" si="45"/>
        <v>2253000000</v>
      </c>
      <c r="L999" s="61">
        <f t="shared" si="46"/>
        <v>1339000000</v>
      </c>
      <c r="M999" s="61">
        <f t="shared" si="47"/>
        <v>914000000</v>
      </c>
    </row>
    <row r="1000" spans="1:13" x14ac:dyDescent="0.25">
      <c r="A1000" t="s">
        <v>367</v>
      </c>
      <c r="B1000" t="s">
        <v>11</v>
      </c>
      <c r="C1000">
        <v>42735</v>
      </c>
      <c r="D1000" s="61">
        <v>7357000000</v>
      </c>
      <c r="E1000" s="61">
        <v>4901000000</v>
      </c>
      <c r="F1000" s="61">
        <v>1403000000</v>
      </c>
      <c r="G1000" s="61">
        <v>0</v>
      </c>
      <c r="H1000" s="61">
        <v>0</v>
      </c>
      <c r="I1000" t="s">
        <v>7</v>
      </c>
      <c r="J1000" t="s">
        <v>58</v>
      </c>
      <c r="K1000" s="61">
        <f t="shared" si="45"/>
        <v>2456000000</v>
      </c>
      <c r="L1000" s="61">
        <f t="shared" si="46"/>
        <v>1403000000</v>
      </c>
      <c r="M1000" s="61">
        <f t="shared" si="47"/>
        <v>1053000000</v>
      </c>
    </row>
    <row r="1001" spans="1:13" x14ac:dyDescent="0.25">
      <c r="A1001" t="s">
        <v>368</v>
      </c>
      <c r="B1001" t="s">
        <v>6</v>
      </c>
      <c r="C1001">
        <v>41274</v>
      </c>
      <c r="D1001" s="61">
        <v>6420881000</v>
      </c>
      <c r="E1001" s="61">
        <v>3011684000</v>
      </c>
      <c r="F1001" s="61">
        <v>2388182000</v>
      </c>
      <c r="G1001" s="61">
        <v>0</v>
      </c>
      <c r="H1001" s="61">
        <v>0</v>
      </c>
      <c r="I1001" t="s">
        <v>13</v>
      </c>
      <c r="J1001" t="s">
        <v>280</v>
      </c>
      <c r="K1001" s="61">
        <f t="shared" si="45"/>
        <v>3409197000</v>
      </c>
      <c r="L1001" s="61">
        <f t="shared" si="46"/>
        <v>2388182000</v>
      </c>
      <c r="M1001" s="61">
        <f t="shared" si="47"/>
        <v>1021015000</v>
      </c>
    </row>
    <row r="1002" spans="1:13" x14ac:dyDescent="0.25">
      <c r="A1002" t="s">
        <v>368</v>
      </c>
      <c r="B1002" t="s">
        <v>9</v>
      </c>
      <c r="C1002">
        <v>41639</v>
      </c>
      <c r="D1002" s="61">
        <v>6484892000</v>
      </c>
      <c r="E1002" s="61">
        <v>3006009000</v>
      </c>
      <c r="F1002" s="61">
        <v>2310780000</v>
      </c>
      <c r="G1002" s="61">
        <v>0</v>
      </c>
      <c r="H1002" s="61">
        <v>0</v>
      </c>
      <c r="I1002" t="s">
        <v>13</v>
      </c>
      <c r="J1002" t="s">
        <v>280</v>
      </c>
      <c r="K1002" s="61">
        <f t="shared" si="45"/>
        <v>3478883000</v>
      </c>
      <c r="L1002" s="61">
        <f t="shared" si="46"/>
        <v>2310780000</v>
      </c>
      <c r="M1002" s="61">
        <f t="shared" si="47"/>
        <v>1168103000</v>
      </c>
    </row>
    <row r="1003" spans="1:13" x14ac:dyDescent="0.25">
      <c r="A1003" t="s">
        <v>368</v>
      </c>
      <c r="B1003" t="s">
        <v>10</v>
      </c>
      <c r="C1003">
        <v>42004</v>
      </c>
      <c r="D1003" s="61">
        <v>6023819000</v>
      </c>
      <c r="E1003" s="61">
        <v>3022797000</v>
      </c>
      <c r="F1003" s="61">
        <v>2347308000</v>
      </c>
      <c r="G1003" s="61">
        <v>0</v>
      </c>
      <c r="H1003" s="61">
        <v>0</v>
      </c>
      <c r="I1003" t="s">
        <v>13</v>
      </c>
      <c r="J1003" t="s">
        <v>280</v>
      </c>
      <c r="K1003" s="61">
        <f t="shared" si="45"/>
        <v>3001022000</v>
      </c>
      <c r="L1003" s="61">
        <f t="shared" si="46"/>
        <v>2347308000</v>
      </c>
      <c r="M1003" s="61">
        <f t="shared" si="47"/>
        <v>653714000</v>
      </c>
    </row>
    <row r="1004" spans="1:13" x14ac:dyDescent="0.25">
      <c r="A1004" t="s">
        <v>368</v>
      </c>
      <c r="B1004" t="s">
        <v>11</v>
      </c>
      <c r="C1004">
        <v>42369</v>
      </c>
      <c r="D1004" s="61">
        <v>5702613000</v>
      </c>
      <c r="E1004" s="61">
        <v>2896255000</v>
      </c>
      <c r="F1004" s="61">
        <v>2265436000</v>
      </c>
      <c r="G1004" s="61">
        <v>0</v>
      </c>
      <c r="H1004" s="61">
        <v>0</v>
      </c>
      <c r="I1004" t="s">
        <v>13</v>
      </c>
      <c r="J1004" t="s">
        <v>280</v>
      </c>
      <c r="K1004" s="61">
        <f t="shared" si="45"/>
        <v>2806358000</v>
      </c>
      <c r="L1004" s="61">
        <f t="shared" si="46"/>
        <v>2265436000</v>
      </c>
      <c r="M1004" s="61">
        <f t="shared" si="47"/>
        <v>540922000</v>
      </c>
    </row>
    <row r="1005" spans="1:13" x14ac:dyDescent="0.25">
      <c r="A1005" t="s">
        <v>369</v>
      </c>
      <c r="B1005" t="s">
        <v>6</v>
      </c>
      <c r="C1005">
        <v>41274</v>
      </c>
      <c r="D1005" s="61">
        <v>27567000000</v>
      </c>
      <c r="E1005" s="61">
        <v>16750700000</v>
      </c>
      <c r="F1005" s="61">
        <v>2211700000</v>
      </c>
      <c r="G1005" s="61">
        <v>0</v>
      </c>
      <c r="H1005" s="61">
        <v>0</v>
      </c>
      <c r="I1005" t="s">
        <v>13</v>
      </c>
      <c r="J1005" t="s">
        <v>149</v>
      </c>
      <c r="K1005" s="61">
        <f t="shared" si="45"/>
        <v>10816300000</v>
      </c>
      <c r="L1005" s="61">
        <f t="shared" si="46"/>
        <v>2211700000</v>
      </c>
      <c r="M1005" s="61">
        <f t="shared" si="47"/>
        <v>8604600000</v>
      </c>
    </row>
    <row r="1006" spans="1:13" x14ac:dyDescent="0.25">
      <c r="A1006" t="s">
        <v>369</v>
      </c>
      <c r="B1006" t="s">
        <v>9</v>
      </c>
      <c r="C1006">
        <v>41639</v>
      </c>
      <c r="D1006" s="61">
        <v>28105700000</v>
      </c>
      <c r="E1006" s="61">
        <v>17203000000</v>
      </c>
      <c r="F1006" s="61">
        <v>2138400000</v>
      </c>
      <c r="G1006" s="61">
        <v>0</v>
      </c>
      <c r="H1006" s="61">
        <v>0</v>
      </c>
      <c r="I1006" t="s">
        <v>13</v>
      </c>
      <c r="J1006" t="s">
        <v>149</v>
      </c>
      <c r="K1006" s="61">
        <f t="shared" si="45"/>
        <v>10902700000</v>
      </c>
      <c r="L1006" s="61">
        <f t="shared" si="46"/>
        <v>2138400000</v>
      </c>
      <c r="M1006" s="61">
        <f t="shared" si="47"/>
        <v>8764300000</v>
      </c>
    </row>
    <row r="1007" spans="1:13" x14ac:dyDescent="0.25">
      <c r="A1007" t="s">
        <v>369</v>
      </c>
      <c r="B1007" t="s">
        <v>10</v>
      </c>
      <c r="C1007">
        <v>42004</v>
      </c>
      <c r="D1007" s="61">
        <v>27441300000</v>
      </c>
      <c r="E1007" s="61">
        <v>16985600000</v>
      </c>
      <c r="F1007" s="61">
        <v>2506500000</v>
      </c>
      <c r="G1007" s="61">
        <v>0</v>
      </c>
      <c r="H1007" s="61">
        <v>0</v>
      </c>
      <c r="I1007" t="s">
        <v>13</v>
      </c>
      <c r="J1007" t="s">
        <v>149</v>
      </c>
      <c r="K1007" s="61">
        <f t="shared" si="45"/>
        <v>10455700000</v>
      </c>
      <c r="L1007" s="61">
        <f t="shared" si="46"/>
        <v>2506500000</v>
      </c>
      <c r="M1007" s="61">
        <f t="shared" si="47"/>
        <v>7949200000</v>
      </c>
    </row>
    <row r="1008" spans="1:13" x14ac:dyDescent="0.25">
      <c r="A1008" t="s">
        <v>369</v>
      </c>
      <c r="B1008" t="s">
        <v>11</v>
      </c>
      <c r="C1008">
        <v>42369</v>
      </c>
      <c r="D1008" s="61">
        <v>25413000000</v>
      </c>
      <c r="E1008" s="61">
        <v>15623800000</v>
      </c>
      <c r="F1008" s="61">
        <v>2643700000</v>
      </c>
      <c r="G1008" s="61">
        <v>0</v>
      </c>
      <c r="H1008" s="61">
        <v>0</v>
      </c>
      <c r="I1008" t="s">
        <v>13</v>
      </c>
      <c r="J1008" t="s">
        <v>149</v>
      </c>
      <c r="K1008" s="61">
        <f t="shared" si="45"/>
        <v>9789200000</v>
      </c>
      <c r="L1008" s="61">
        <f t="shared" si="46"/>
        <v>2643700000</v>
      </c>
      <c r="M1008" s="61">
        <f t="shared" si="47"/>
        <v>7145500000</v>
      </c>
    </row>
    <row r="1009" spans="1:13" x14ac:dyDescent="0.25">
      <c r="A1009" t="s">
        <v>370</v>
      </c>
      <c r="B1009" t="s">
        <v>6</v>
      </c>
      <c r="C1009">
        <v>41364</v>
      </c>
      <c r="D1009" s="61">
        <v>1581623000</v>
      </c>
      <c r="E1009" s="61">
        <v>743164000</v>
      </c>
      <c r="F1009" s="61">
        <v>261471000</v>
      </c>
      <c r="G1009" s="61">
        <v>254723000</v>
      </c>
      <c r="H1009" s="61">
        <v>111537000</v>
      </c>
      <c r="I1009" t="s">
        <v>16</v>
      </c>
      <c r="J1009" t="s">
        <v>28</v>
      </c>
      <c r="K1009" s="61">
        <f t="shared" si="45"/>
        <v>838459000</v>
      </c>
      <c r="L1009" s="61">
        <f t="shared" si="46"/>
        <v>627731000</v>
      </c>
      <c r="M1009" s="61">
        <f t="shared" si="47"/>
        <v>210728000</v>
      </c>
    </row>
    <row r="1010" spans="1:13" x14ac:dyDescent="0.25">
      <c r="A1010" t="s">
        <v>370</v>
      </c>
      <c r="B1010" t="s">
        <v>9</v>
      </c>
      <c r="C1010">
        <v>41729</v>
      </c>
      <c r="D1010" s="61">
        <v>1931217000</v>
      </c>
      <c r="E1010" s="61">
        <v>802474000</v>
      </c>
      <c r="F1010" s="61">
        <v>267278000</v>
      </c>
      <c r="G1010" s="61">
        <v>305043000</v>
      </c>
      <c r="H1010" s="61">
        <v>94534000</v>
      </c>
      <c r="I1010" t="s">
        <v>16</v>
      </c>
      <c r="J1010" t="s">
        <v>28</v>
      </c>
      <c r="K1010" s="61">
        <f t="shared" si="45"/>
        <v>1128743000</v>
      </c>
      <c r="L1010" s="61">
        <f t="shared" si="46"/>
        <v>666855000</v>
      </c>
      <c r="M1010" s="61">
        <f t="shared" si="47"/>
        <v>461888000</v>
      </c>
    </row>
    <row r="1011" spans="1:13" x14ac:dyDescent="0.25">
      <c r="A1011" t="s">
        <v>370</v>
      </c>
      <c r="B1011" t="s">
        <v>10</v>
      </c>
      <c r="C1011">
        <v>42094</v>
      </c>
      <c r="D1011" s="61">
        <v>2147036000</v>
      </c>
      <c r="E1011" s="61">
        <v>917472000</v>
      </c>
      <c r="F1011" s="61">
        <v>274815000</v>
      </c>
      <c r="G1011" s="61">
        <v>349543000</v>
      </c>
      <c r="H1011" s="61">
        <v>176746000</v>
      </c>
      <c r="I1011" t="s">
        <v>16</v>
      </c>
      <c r="J1011" t="s">
        <v>28</v>
      </c>
      <c r="K1011" s="61">
        <f t="shared" si="45"/>
        <v>1229564000</v>
      </c>
      <c r="L1011" s="61">
        <f t="shared" si="46"/>
        <v>801104000</v>
      </c>
      <c r="M1011" s="61">
        <f t="shared" si="47"/>
        <v>428460000</v>
      </c>
    </row>
    <row r="1012" spans="1:13" x14ac:dyDescent="0.25">
      <c r="A1012" t="s">
        <v>370</v>
      </c>
      <c r="B1012" t="s">
        <v>11</v>
      </c>
      <c r="C1012">
        <v>42460</v>
      </c>
      <c r="D1012" s="61">
        <v>2173334000</v>
      </c>
      <c r="E1012" s="61">
        <v>967870000</v>
      </c>
      <c r="F1012" s="61">
        <v>301670000</v>
      </c>
      <c r="G1012" s="61">
        <v>372596000</v>
      </c>
      <c r="H1012" s="61">
        <v>174896000</v>
      </c>
      <c r="I1012" t="s">
        <v>16</v>
      </c>
      <c r="J1012" t="s">
        <v>28</v>
      </c>
      <c r="K1012" s="61">
        <f t="shared" si="45"/>
        <v>1205464000</v>
      </c>
      <c r="L1012" s="61">
        <f t="shared" si="46"/>
        <v>849162000</v>
      </c>
      <c r="M1012" s="61">
        <f t="shared" si="47"/>
        <v>356302000</v>
      </c>
    </row>
    <row r="1013" spans="1:13" x14ac:dyDescent="0.25">
      <c r="A1013" t="s">
        <v>371</v>
      </c>
      <c r="B1013" t="s">
        <v>6</v>
      </c>
      <c r="C1013">
        <v>41364</v>
      </c>
      <c r="D1013" s="61">
        <v>122196000000</v>
      </c>
      <c r="E1013" s="61">
        <v>115315000000</v>
      </c>
      <c r="F1013" s="61">
        <v>4110000000</v>
      </c>
      <c r="G1013" s="61">
        <v>433000000</v>
      </c>
      <c r="H1013" s="61">
        <v>0</v>
      </c>
      <c r="I1013" t="s">
        <v>19</v>
      </c>
      <c r="J1013" t="s">
        <v>22</v>
      </c>
      <c r="K1013" s="61">
        <f t="shared" si="45"/>
        <v>6881000000</v>
      </c>
      <c r="L1013" s="61">
        <f t="shared" si="46"/>
        <v>4543000000</v>
      </c>
      <c r="M1013" s="61">
        <f t="shared" si="47"/>
        <v>2338000000</v>
      </c>
    </row>
    <row r="1014" spans="1:13" x14ac:dyDescent="0.25">
      <c r="A1014" t="s">
        <v>371</v>
      </c>
      <c r="B1014" t="s">
        <v>9</v>
      </c>
      <c r="C1014">
        <v>41729</v>
      </c>
      <c r="D1014" s="61">
        <v>137392000000</v>
      </c>
      <c r="E1014" s="61">
        <v>129040000000</v>
      </c>
      <c r="F1014" s="61">
        <v>5388000000</v>
      </c>
      <c r="G1014" s="61">
        <v>457000000</v>
      </c>
      <c r="H1014" s="61">
        <v>0</v>
      </c>
      <c r="I1014" t="s">
        <v>19</v>
      </c>
      <c r="J1014" t="s">
        <v>22</v>
      </c>
      <c r="K1014" s="61">
        <f t="shared" si="45"/>
        <v>8352000000</v>
      </c>
      <c r="L1014" s="61">
        <f t="shared" si="46"/>
        <v>5845000000</v>
      </c>
      <c r="M1014" s="61">
        <f t="shared" si="47"/>
        <v>2507000000</v>
      </c>
    </row>
    <row r="1015" spans="1:13" x14ac:dyDescent="0.25">
      <c r="A1015" t="s">
        <v>371</v>
      </c>
      <c r="B1015" t="s">
        <v>10</v>
      </c>
      <c r="C1015">
        <v>42094</v>
      </c>
      <c r="D1015" s="61">
        <v>179045000000</v>
      </c>
      <c r="E1015" s="61">
        <v>167634000000</v>
      </c>
      <c r="F1015" s="61">
        <v>7901000000</v>
      </c>
      <c r="G1015" s="61">
        <v>392000000</v>
      </c>
      <c r="H1015" s="61">
        <v>0</v>
      </c>
      <c r="I1015" t="s">
        <v>19</v>
      </c>
      <c r="J1015" t="s">
        <v>22</v>
      </c>
      <c r="K1015" s="61">
        <f t="shared" si="45"/>
        <v>11411000000</v>
      </c>
      <c r="L1015" s="61">
        <f t="shared" si="46"/>
        <v>8293000000</v>
      </c>
      <c r="M1015" s="61">
        <f t="shared" si="47"/>
        <v>3118000000</v>
      </c>
    </row>
    <row r="1016" spans="1:13" x14ac:dyDescent="0.25">
      <c r="A1016" t="s">
        <v>371</v>
      </c>
      <c r="B1016" t="s">
        <v>11</v>
      </c>
      <c r="C1016">
        <v>42460</v>
      </c>
      <c r="D1016" s="61">
        <v>190884000000</v>
      </c>
      <c r="E1016" s="61">
        <v>179468000000</v>
      </c>
      <c r="F1016" s="61">
        <v>7276000000</v>
      </c>
      <c r="G1016" s="61">
        <v>392000000</v>
      </c>
      <c r="H1016" s="61">
        <v>0</v>
      </c>
      <c r="I1016" t="s">
        <v>19</v>
      </c>
      <c r="J1016" t="s">
        <v>22</v>
      </c>
      <c r="K1016" s="61">
        <f t="shared" si="45"/>
        <v>11416000000</v>
      </c>
      <c r="L1016" s="61">
        <f t="shared" si="46"/>
        <v>7668000000</v>
      </c>
      <c r="M1016" s="61">
        <f t="shared" si="47"/>
        <v>3748000000</v>
      </c>
    </row>
    <row r="1017" spans="1:13" x14ac:dyDescent="0.25">
      <c r="A1017" t="s">
        <v>372</v>
      </c>
      <c r="B1017" t="s">
        <v>6</v>
      </c>
      <c r="C1017">
        <v>41274</v>
      </c>
      <c r="D1017" s="61">
        <v>2730300000</v>
      </c>
      <c r="E1017" s="61">
        <v>795000000</v>
      </c>
      <c r="F1017" s="61">
        <v>752200000</v>
      </c>
      <c r="G1017" s="61">
        <v>0</v>
      </c>
      <c r="H1017" s="61">
        <v>93500000</v>
      </c>
      <c r="I1017" t="s">
        <v>41</v>
      </c>
      <c r="J1017" t="s">
        <v>373</v>
      </c>
      <c r="K1017" s="61">
        <f t="shared" si="45"/>
        <v>1935300000</v>
      </c>
      <c r="L1017" s="61">
        <f t="shared" si="46"/>
        <v>845700000</v>
      </c>
      <c r="M1017" s="61">
        <f t="shared" si="47"/>
        <v>1089600000</v>
      </c>
    </row>
    <row r="1018" spans="1:13" x14ac:dyDescent="0.25">
      <c r="A1018" t="s">
        <v>372</v>
      </c>
      <c r="B1018" t="s">
        <v>9</v>
      </c>
      <c r="C1018">
        <v>41639</v>
      </c>
      <c r="D1018" s="61">
        <v>2972500000</v>
      </c>
      <c r="E1018" s="61">
        <v>822400000</v>
      </c>
      <c r="F1018" s="61">
        <v>822100000</v>
      </c>
      <c r="G1018" s="61">
        <v>0</v>
      </c>
      <c r="H1018" s="61">
        <v>93400000</v>
      </c>
      <c r="I1018" t="s">
        <v>41</v>
      </c>
      <c r="J1018" t="s">
        <v>373</v>
      </c>
      <c r="K1018" s="61">
        <f t="shared" si="45"/>
        <v>2150100000</v>
      </c>
      <c r="L1018" s="61">
        <f t="shared" si="46"/>
        <v>915500000</v>
      </c>
      <c r="M1018" s="61">
        <f t="shared" si="47"/>
        <v>1234600000</v>
      </c>
    </row>
    <row r="1019" spans="1:13" x14ac:dyDescent="0.25">
      <c r="A1019" t="s">
        <v>372</v>
      </c>
      <c r="B1019" t="s">
        <v>10</v>
      </c>
      <c r="C1019">
        <v>42004</v>
      </c>
      <c r="D1019" s="61">
        <v>3334300000</v>
      </c>
      <c r="E1019" s="61">
        <v>930300000</v>
      </c>
      <c r="F1019" s="61">
        <v>869300000</v>
      </c>
      <c r="G1019" s="61">
        <v>0</v>
      </c>
      <c r="H1019" s="61">
        <v>95600000</v>
      </c>
      <c r="I1019" t="s">
        <v>41</v>
      </c>
      <c r="J1019" t="s">
        <v>373</v>
      </c>
      <c r="K1019" s="61">
        <f t="shared" si="45"/>
        <v>2404000000</v>
      </c>
      <c r="L1019" s="61">
        <f t="shared" si="46"/>
        <v>964900000</v>
      </c>
      <c r="M1019" s="61">
        <f t="shared" si="47"/>
        <v>1439100000</v>
      </c>
    </row>
    <row r="1020" spans="1:13" x14ac:dyDescent="0.25">
      <c r="A1020" t="s">
        <v>372</v>
      </c>
      <c r="B1020" t="s">
        <v>11</v>
      </c>
      <c r="C1020">
        <v>42369</v>
      </c>
      <c r="D1020" s="61">
        <v>3484500000</v>
      </c>
      <c r="E1020" s="61">
        <v>976300000</v>
      </c>
      <c r="F1020" s="61">
        <v>921300000</v>
      </c>
      <c r="G1020" s="61">
        <v>0</v>
      </c>
      <c r="H1020" s="61">
        <v>113500000</v>
      </c>
      <c r="I1020" t="s">
        <v>41</v>
      </c>
      <c r="J1020" t="s">
        <v>373</v>
      </c>
      <c r="K1020" s="61">
        <f t="shared" si="45"/>
        <v>2508200000</v>
      </c>
      <c r="L1020" s="61">
        <f t="shared" si="46"/>
        <v>1034800000</v>
      </c>
      <c r="M1020" s="61">
        <f t="shared" si="47"/>
        <v>1473400000</v>
      </c>
    </row>
    <row r="1021" spans="1:13" x14ac:dyDescent="0.25">
      <c r="A1021" t="s">
        <v>374</v>
      </c>
      <c r="B1021" t="s">
        <v>6</v>
      </c>
      <c r="C1021">
        <v>41274</v>
      </c>
      <c r="D1021" s="61">
        <v>35015000000</v>
      </c>
      <c r="E1021" s="61">
        <v>21939000000</v>
      </c>
      <c r="F1021" s="61">
        <v>9176000000</v>
      </c>
      <c r="G1021" s="61">
        <v>0</v>
      </c>
      <c r="H1021" s="61">
        <v>217000000</v>
      </c>
      <c r="I1021" t="s">
        <v>30</v>
      </c>
      <c r="J1021" t="s">
        <v>118</v>
      </c>
      <c r="K1021" s="61">
        <f t="shared" si="45"/>
        <v>13076000000</v>
      </c>
      <c r="L1021" s="61">
        <f t="shared" si="46"/>
        <v>9393000000</v>
      </c>
      <c r="M1021" s="61">
        <f t="shared" si="47"/>
        <v>3683000000</v>
      </c>
    </row>
    <row r="1022" spans="1:13" x14ac:dyDescent="0.25">
      <c r="A1022" t="s">
        <v>374</v>
      </c>
      <c r="B1022" t="s">
        <v>9</v>
      </c>
      <c r="C1022">
        <v>41639</v>
      </c>
      <c r="D1022" s="61">
        <v>35299000000</v>
      </c>
      <c r="E1022" s="61">
        <v>22189000000</v>
      </c>
      <c r="F1022" s="61">
        <v>8679000000</v>
      </c>
      <c r="G1022" s="61">
        <v>0</v>
      </c>
      <c r="H1022" s="61">
        <v>217000000</v>
      </c>
      <c r="I1022" t="s">
        <v>30</v>
      </c>
      <c r="J1022" t="s">
        <v>118</v>
      </c>
      <c r="K1022" s="61">
        <f t="shared" si="45"/>
        <v>13110000000</v>
      </c>
      <c r="L1022" s="61">
        <f t="shared" si="46"/>
        <v>8896000000</v>
      </c>
      <c r="M1022" s="61">
        <f t="shared" si="47"/>
        <v>4214000000</v>
      </c>
    </row>
    <row r="1023" spans="1:13" x14ac:dyDescent="0.25">
      <c r="A1023" t="s">
        <v>374</v>
      </c>
      <c r="B1023" t="s">
        <v>10</v>
      </c>
      <c r="C1023">
        <v>42004</v>
      </c>
      <c r="D1023" s="61">
        <v>34244000000</v>
      </c>
      <c r="E1023" s="61">
        <v>21647000000</v>
      </c>
      <c r="F1023" s="61">
        <v>8457000000</v>
      </c>
      <c r="G1023" s="61">
        <v>0</v>
      </c>
      <c r="H1023" s="61">
        <v>206000000</v>
      </c>
      <c r="I1023" t="s">
        <v>30</v>
      </c>
      <c r="J1023" t="s">
        <v>118</v>
      </c>
      <c r="K1023" s="61">
        <f t="shared" si="45"/>
        <v>12597000000</v>
      </c>
      <c r="L1023" s="61">
        <f t="shared" si="46"/>
        <v>8663000000</v>
      </c>
      <c r="M1023" s="61">
        <f t="shared" si="47"/>
        <v>3934000000</v>
      </c>
    </row>
    <row r="1024" spans="1:13" x14ac:dyDescent="0.25">
      <c r="A1024" t="s">
        <v>374</v>
      </c>
      <c r="B1024" t="s">
        <v>11</v>
      </c>
      <c r="C1024">
        <v>42369</v>
      </c>
      <c r="D1024" s="61">
        <v>29636000000</v>
      </c>
      <c r="E1024" s="61">
        <v>18124000000</v>
      </c>
      <c r="F1024" s="61">
        <v>7577000000</v>
      </c>
      <c r="G1024" s="61">
        <v>0</v>
      </c>
      <c r="H1024" s="61">
        <v>181000000</v>
      </c>
      <c r="I1024" t="s">
        <v>30</v>
      </c>
      <c r="J1024" t="s">
        <v>118</v>
      </c>
      <c r="K1024" s="61">
        <f t="shared" si="45"/>
        <v>11512000000</v>
      </c>
      <c r="L1024" s="61">
        <f t="shared" si="46"/>
        <v>7758000000</v>
      </c>
      <c r="M1024" s="61">
        <f t="shared" si="47"/>
        <v>3754000000</v>
      </c>
    </row>
    <row r="1025" spans="1:13" x14ac:dyDescent="0.25">
      <c r="A1025" t="s">
        <v>375</v>
      </c>
      <c r="B1025" t="s">
        <v>6</v>
      </c>
      <c r="C1025">
        <v>41274</v>
      </c>
      <c r="D1025" s="61">
        <v>68150000000</v>
      </c>
      <c r="E1025" s="61">
        <v>37987000000</v>
      </c>
      <c r="F1025" s="61">
        <v>9098000000</v>
      </c>
      <c r="G1025" s="61">
        <v>0</v>
      </c>
      <c r="H1025" s="61">
        <v>17755000000</v>
      </c>
      <c r="I1025" t="s">
        <v>41</v>
      </c>
      <c r="J1025" t="s">
        <v>42</v>
      </c>
      <c r="K1025" s="61">
        <f t="shared" si="45"/>
        <v>30163000000</v>
      </c>
      <c r="L1025" s="61">
        <f t="shared" si="46"/>
        <v>26853000000</v>
      </c>
      <c r="M1025" s="61">
        <f t="shared" si="47"/>
        <v>3310000000</v>
      </c>
    </row>
    <row r="1026" spans="1:13" x14ac:dyDescent="0.25">
      <c r="A1026" t="s">
        <v>375</v>
      </c>
      <c r="B1026" t="s">
        <v>9</v>
      </c>
      <c r="C1026">
        <v>41639</v>
      </c>
      <c r="D1026" s="61">
        <v>68199000000</v>
      </c>
      <c r="E1026" s="61">
        <v>38107000000</v>
      </c>
      <c r="F1026" s="61">
        <v>9438000000</v>
      </c>
      <c r="G1026" s="61">
        <v>0</v>
      </c>
      <c r="H1026" s="61">
        <v>16602000000</v>
      </c>
      <c r="I1026" t="s">
        <v>41</v>
      </c>
      <c r="J1026" t="s">
        <v>42</v>
      </c>
      <c r="K1026" s="61">
        <f t="shared" ref="K1026:K1089" si="48">D1026-E1026</f>
        <v>30092000000</v>
      </c>
      <c r="L1026" s="61">
        <f t="shared" ref="L1026:L1089" si="49">F1026+G1026+H1026</f>
        <v>26040000000</v>
      </c>
      <c r="M1026" s="61">
        <f t="shared" si="47"/>
        <v>4052000000</v>
      </c>
    </row>
    <row r="1027" spans="1:13" x14ac:dyDescent="0.25">
      <c r="A1027" t="s">
        <v>375</v>
      </c>
      <c r="B1027" t="s">
        <v>10</v>
      </c>
      <c r="C1027">
        <v>42004</v>
      </c>
      <c r="D1027" s="61">
        <v>73316000000</v>
      </c>
      <c r="E1027" s="61">
        <v>39102000000</v>
      </c>
      <c r="F1027" s="61">
        <v>8319000000</v>
      </c>
      <c r="G1027" s="61">
        <v>0</v>
      </c>
      <c r="H1027" s="61">
        <v>17091000000</v>
      </c>
      <c r="I1027" t="s">
        <v>41</v>
      </c>
      <c r="J1027" t="s">
        <v>42</v>
      </c>
      <c r="K1027" s="61">
        <f t="shared" si="48"/>
        <v>34214000000</v>
      </c>
      <c r="L1027" s="61">
        <f t="shared" si="49"/>
        <v>25410000000</v>
      </c>
      <c r="M1027" s="61">
        <f t="shared" ref="M1027:M1090" si="50">K1027-L1027</f>
        <v>8804000000</v>
      </c>
    </row>
    <row r="1028" spans="1:13" x14ac:dyDescent="0.25">
      <c r="A1028" t="s">
        <v>375</v>
      </c>
      <c r="B1028" t="s">
        <v>11</v>
      </c>
      <c r="C1028">
        <v>42369</v>
      </c>
      <c r="D1028" s="61">
        <v>69951000000</v>
      </c>
      <c r="E1028" s="61">
        <v>38714000000</v>
      </c>
      <c r="F1028" s="61">
        <v>6998000000</v>
      </c>
      <c r="G1028" s="61">
        <v>0</v>
      </c>
      <c r="H1028" s="61">
        <v>16769000000</v>
      </c>
      <c r="I1028" t="s">
        <v>41</v>
      </c>
      <c r="J1028" t="s">
        <v>42</v>
      </c>
      <c r="K1028" s="61">
        <f t="shared" si="48"/>
        <v>31237000000</v>
      </c>
      <c r="L1028" s="61">
        <f t="shared" si="49"/>
        <v>23767000000</v>
      </c>
      <c r="M1028" s="61">
        <f t="shared" si="50"/>
        <v>7470000000</v>
      </c>
    </row>
    <row r="1029" spans="1:13" x14ac:dyDescent="0.25">
      <c r="A1029" t="s">
        <v>376</v>
      </c>
      <c r="B1029" t="s">
        <v>6</v>
      </c>
      <c r="C1029">
        <v>41274</v>
      </c>
      <c r="D1029" s="61">
        <v>5787980000</v>
      </c>
      <c r="E1029" s="61">
        <v>4297922000</v>
      </c>
      <c r="F1029" s="61">
        <v>1110550000</v>
      </c>
      <c r="G1029" s="61">
        <v>0</v>
      </c>
      <c r="H1029" s="61">
        <v>0</v>
      </c>
      <c r="I1029" t="s">
        <v>13</v>
      </c>
      <c r="J1029" t="s">
        <v>377</v>
      </c>
      <c r="K1029" s="61">
        <f t="shared" si="48"/>
        <v>1490058000</v>
      </c>
      <c r="L1029" s="61">
        <f t="shared" si="49"/>
        <v>1110550000</v>
      </c>
      <c r="M1029" s="61">
        <f t="shared" si="50"/>
        <v>379508000</v>
      </c>
    </row>
    <row r="1030" spans="1:13" x14ac:dyDescent="0.25">
      <c r="A1030" t="s">
        <v>376</v>
      </c>
      <c r="B1030" t="s">
        <v>9</v>
      </c>
      <c r="C1030">
        <v>41639</v>
      </c>
      <c r="D1030" s="61">
        <v>7348754000</v>
      </c>
      <c r="E1030" s="61">
        <v>5427945000</v>
      </c>
      <c r="F1030" s="61">
        <v>1373878000</v>
      </c>
      <c r="G1030" s="61">
        <v>0</v>
      </c>
      <c r="H1030" s="61">
        <v>0</v>
      </c>
      <c r="I1030" t="s">
        <v>13</v>
      </c>
      <c r="J1030" t="s">
        <v>377</v>
      </c>
      <c r="K1030" s="61">
        <f t="shared" si="48"/>
        <v>1920809000</v>
      </c>
      <c r="L1030" s="61">
        <f t="shared" si="49"/>
        <v>1373878000</v>
      </c>
      <c r="M1030" s="61">
        <f t="shared" si="50"/>
        <v>546931000</v>
      </c>
    </row>
    <row r="1031" spans="1:13" x14ac:dyDescent="0.25">
      <c r="A1031" t="s">
        <v>376</v>
      </c>
      <c r="B1031" t="s">
        <v>10</v>
      </c>
      <c r="C1031">
        <v>42004</v>
      </c>
      <c r="D1031" s="61">
        <v>7803446000</v>
      </c>
      <c r="E1031" s="61">
        <v>5649254000</v>
      </c>
      <c r="F1031" s="61">
        <v>1381396000</v>
      </c>
      <c r="G1031" s="61">
        <v>0</v>
      </c>
      <c r="H1031" s="61">
        <v>0</v>
      </c>
      <c r="I1031" t="s">
        <v>13</v>
      </c>
      <c r="J1031" t="s">
        <v>377</v>
      </c>
      <c r="K1031" s="61">
        <f t="shared" si="48"/>
        <v>2154192000</v>
      </c>
      <c r="L1031" s="61">
        <f t="shared" si="49"/>
        <v>1381396000</v>
      </c>
      <c r="M1031" s="61">
        <f t="shared" si="50"/>
        <v>772796000</v>
      </c>
    </row>
    <row r="1032" spans="1:13" x14ac:dyDescent="0.25">
      <c r="A1032" t="s">
        <v>376</v>
      </c>
      <c r="B1032" t="s">
        <v>11</v>
      </c>
      <c r="C1032">
        <v>42369</v>
      </c>
      <c r="D1032" s="61">
        <v>8071563000</v>
      </c>
      <c r="E1032" s="61">
        <v>5660877000</v>
      </c>
      <c r="F1032" s="61">
        <v>1573120000</v>
      </c>
      <c r="G1032" s="61">
        <v>0</v>
      </c>
      <c r="H1032" s="61">
        <v>0</v>
      </c>
      <c r="I1032" t="s">
        <v>13</v>
      </c>
      <c r="J1032" t="s">
        <v>377</v>
      </c>
      <c r="K1032" s="61">
        <f t="shared" si="48"/>
        <v>2410686000</v>
      </c>
      <c r="L1032" s="61">
        <f t="shared" si="49"/>
        <v>1573120000</v>
      </c>
      <c r="M1032" s="61">
        <f t="shared" si="50"/>
        <v>837566000</v>
      </c>
    </row>
    <row r="1033" spans="1:13" x14ac:dyDescent="0.25">
      <c r="A1033" t="s">
        <v>378</v>
      </c>
      <c r="B1033" t="s">
        <v>6</v>
      </c>
      <c r="C1033">
        <v>41274</v>
      </c>
      <c r="D1033" s="61">
        <v>3901300000</v>
      </c>
      <c r="E1033" s="61">
        <v>1503800000</v>
      </c>
      <c r="F1033" s="61">
        <v>1457300000</v>
      </c>
      <c r="G1033" s="61">
        <v>100100000</v>
      </c>
      <c r="H1033" s="61">
        <v>0</v>
      </c>
      <c r="I1033" t="s">
        <v>30</v>
      </c>
      <c r="J1033" t="s">
        <v>118</v>
      </c>
      <c r="K1033" s="61">
        <f t="shared" si="48"/>
        <v>2397500000</v>
      </c>
      <c r="L1033" s="61">
        <f t="shared" si="49"/>
        <v>1557400000</v>
      </c>
      <c r="M1033" s="61">
        <f t="shared" si="50"/>
        <v>840100000</v>
      </c>
    </row>
    <row r="1034" spans="1:13" x14ac:dyDescent="0.25">
      <c r="A1034" t="s">
        <v>378</v>
      </c>
      <c r="B1034" t="s">
        <v>9</v>
      </c>
      <c r="C1034">
        <v>41639</v>
      </c>
      <c r="D1034" s="61">
        <v>4200700000</v>
      </c>
      <c r="E1034" s="61">
        <v>1528500000</v>
      </c>
      <c r="F1034" s="61">
        <v>1548600000</v>
      </c>
      <c r="G1034" s="61">
        <v>100200000</v>
      </c>
      <c r="H1034" s="61">
        <v>0</v>
      </c>
      <c r="I1034" t="s">
        <v>30</v>
      </c>
      <c r="J1034" t="s">
        <v>118</v>
      </c>
      <c r="K1034" s="61">
        <f t="shared" si="48"/>
        <v>2672200000</v>
      </c>
      <c r="L1034" s="61">
        <f t="shared" si="49"/>
        <v>1648800000</v>
      </c>
      <c r="M1034" s="61">
        <f t="shared" si="50"/>
        <v>1023400000</v>
      </c>
    </row>
    <row r="1035" spans="1:13" x14ac:dyDescent="0.25">
      <c r="A1035" t="s">
        <v>378</v>
      </c>
      <c r="B1035" t="s">
        <v>10</v>
      </c>
      <c r="C1035">
        <v>42004</v>
      </c>
      <c r="D1035" s="61">
        <v>4409300000</v>
      </c>
      <c r="E1035" s="61">
        <v>1700600000</v>
      </c>
      <c r="F1035" s="61">
        <v>1617600000</v>
      </c>
      <c r="G1035" s="61">
        <v>115100000</v>
      </c>
      <c r="H1035" s="61">
        <v>0</v>
      </c>
      <c r="I1035" t="s">
        <v>30</v>
      </c>
      <c r="J1035" t="s">
        <v>118</v>
      </c>
      <c r="K1035" s="61">
        <f t="shared" si="48"/>
        <v>2708700000</v>
      </c>
      <c r="L1035" s="61">
        <f t="shared" si="49"/>
        <v>1732700000</v>
      </c>
      <c r="M1035" s="61">
        <f t="shared" si="50"/>
        <v>976000000</v>
      </c>
    </row>
    <row r="1036" spans="1:13" x14ac:dyDescent="0.25">
      <c r="A1036" t="s">
        <v>378</v>
      </c>
      <c r="B1036" t="s">
        <v>11</v>
      </c>
      <c r="C1036">
        <v>42369</v>
      </c>
      <c r="D1036" s="61">
        <v>4071300000</v>
      </c>
      <c r="E1036" s="61">
        <v>1455300000</v>
      </c>
      <c r="F1036" s="61">
        <v>1532400000</v>
      </c>
      <c r="G1036" s="61">
        <v>108400000</v>
      </c>
      <c r="H1036" s="61">
        <v>0</v>
      </c>
      <c r="I1036" t="s">
        <v>30</v>
      </c>
      <c r="J1036" t="s">
        <v>118</v>
      </c>
      <c r="K1036" s="61">
        <f t="shared" si="48"/>
        <v>2616000000</v>
      </c>
      <c r="L1036" s="61">
        <f t="shared" si="49"/>
        <v>1640800000</v>
      </c>
      <c r="M1036" s="61">
        <f t="shared" si="50"/>
        <v>975200000</v>
      </c>
    </row>
    <row r="1037" spans="1:13" x14ac:dyDescent="0.25">
      <c r="A1037" t="s">
        <v>379</v>
      </c>
      <c r="B1037" t="s">
        <v>6</v>
      </c>
      <c r="C1037">
        <v>41608</v>
      </c>
      <c r="D1037" s="61">
        <v>4123400000</v>
      </c>
      <c r="E1037" s="61">
        <v>2457600000</v>
      </c>
      <c r="F1037" s="61">
        <v>1090300000</v>
      </c>
      <c r="G1037" s="61">
        <v>0</v>
      </c>
      <c r="H1037" s="61">
        <v>0</v>
      </c>
      <c r="I1037" t="s">
        <v>30</v>
      </c>
      <c r="J1037" t="s">
        <v>118</v>
      </c>
      <c r="K1037" s="61">
        <f t="shared" si="48"/>
        <v>1665800000</v>
      </c>
      <c r="L1037" s="61">
        <f t="shared" si="49"/>
        <v>1090300000</v>
      </c>
      <c r="M1037" s="61">
        <f t="shared" si="50"/>
        <v>575500000</v>
      </c>
    </row>
    <row r="1038" spans="1:13" x14ac:dyDescent="0.25">
      <c r="A1038" t="s">
        <v>379</v>
      </c>
      <c r="B1038" t="s">
        <v>9</v>
      </c>
      <c r="C1038">
        <v>41973</v>
      </c>
      <c r="D1038" s="61">
        <v>4243200000</v>
      </c>
      <c r="E1038" s="61">
        <v>2513000000</v>
      </c>
      <c r="F1038" s="61">
        <v>1122000000</v>
      </c>
      <c r="G1038" s="61">
        <v>0</v>
      </c>
      <c r="H1038" s="61">
        <v>0</v>
      </c>
      <c r="I1038" t="s">
        <v>30</v>
      </c>
      <c r="J1038" t="s">
        <v>118</v>
      </c>
      <c r="K1038" s="61">
        <f t="shared" si="48"/>
        <v>1730200000</v>
      </c>
      <c r="L1038" s="61">
        <f t="shared" si="49"/>
        <v>1122000000</v>
      </c>
      <c r="M1038" s="61">
        <f t="shared" si="50"/>
        <v>608200000</v>
      </c>
    </row>
    <row r="1039" spans="1:13" x14ac:dyDescent="0.25">
      <c r="A1039" t="s">
        <v>379</v>
      </c>
      <c r="B1039" t="s">
        <v>10</v>
      </c>
      <c r="C1039">
        <v>42338</v>
      </c>
      <c r="D1039" s="61">
        <v>4296300000</v>
      </c>
      <c r="E1039" s="61">
        <v>2559000000</v>
      </c>
      <c r="F1039" s="61">
        <v>1127400000</v>
      </c>
      <c r="G1039" s="61">
        <v>0</v>
      </c>
      <c r="H1039" s="61">
        <v>0</v>
      </c>
      <c r="I1039" t="s">
        <v>30</v>
      </c>
      <c r="J1039" t="s">
        <v>118</v>
      </c>
      <c r="K1039" s="61">
        <f t="shared" si="48"/>
        <v>1737300000</v>
      </c>
      <c r="L1039" s="61">
        <f t="shared" si="49"/>
        <v>1127400000</v>
      </c>
      <c r="M1039" s="61">
        <f t="shared" si="50"/>
        <v>609900000</v>
      </c>
    </row>
    <row r="1040" spans="1:13" x14ac:dyDescent="0.25">
      <c r="A1040" t="s">
        <v>379</v>
      </c>
      <c r="B1040" t="s">
        <v>11</v>
      </c>
      <c r="C1040">
        <v>42704</v>
      </c>
      <c r="D1040" s="61">
        <v>4411500000</v>
      </c>
      <c r="E1040" s="61">
        <v>2579800000</v>
      </c>
      <c r="F1040" s="61">
        <v>1175000000</v>
      </c>
      <c r="G1040" s="61">
        <v>0</v>
      </c>
      <c r="H1040" s="61">
        <v>0</v>
      </c>
      <c r="I1040" t="s">
        <v>30</v>
      </c>
      <c r="J1040" t="s">
        <v>118</v>
      </c>
      <c r="K1040" s="61">
        <f t="shared" si="48"/>
        <v>1831700000</v>
      </c>
      <c r="L1040" s="61">
        <f t="shared" si="49"/>
        <v>1175000000</v>
      </c>
      <c r="M1040" s="61">
        <f t="shared" si="50"/>
        <v>656700000</v>
      </c>
    </row>
    <row r="1041" spans="1:13" x14ac:dyDescent="0.25">
      <c r="A1041" t="s">
        <v>380</v>
      </c>
      <c r="B1041" t="s">
        <v>6</v>
      </c>
      <c r="C1041">
        <v>41274</v>
      </c>
      <c r="D1041" s="61">
        <v>2031901000</v>
      </c>
      <c r="E1041" s="61">
        <v>1704767000</v>
      </c>
      <c r="F1041" s="61">
        <v>135824000</v>
      </c>
      <c r="G1041" s="61">
        <v>0</v>
      </c>
      <c r="H1041" s="61">
        <v>0</v>
      </c>
      <c r="I1041" t="s">
        <v>53</v>
      </c>
      <c r="J1041" t="s">
        <v>381</v>
      </c>
      <c r="K1041" s="61">
        <f t="shared" si="48"/>
        <v>327134000</v>
      </c>
      <c r="L1041" s="61">
        <f t="shared" si="49"/>
        <v>135824000</v>
      </c>
      <c r="M1041" s="61">
        <f t="shared" si="50"/>
        <v>191310000</v>
      </c>
    </row>
    <row r="1042" spans="1:13" x14ac:dyDescent="0.25">
      <c r="A1042" t="s">
        <v>380</v>
      </c>
      <c r="B1042" t="s">
        <v>9</v>
      </c>
      <c r="C1042">
        <v>41639</v>
      </c>
      <c r="D1042" s="61">
        <v>2155551000</v>
      </c>
      <c r="E1042" s="61">
        <v>1791594000</v>
      </c>
      <c r="F1042" s="61">
        <v>145298000</v>
      </c>
      <c r="G1042" s="61">
        <v>0</v>
      </c>
      <c r="H1042" s="61">
        <v>0</v>
      </c>
      <c r="I1042" t="s">
        <v>53</v>
      </c>
      <c r="J1042" t="s">
        <v>381</v>
      </c>
      <c r="K1042" s="61">
        <f t="shared" si="48"/>
        <v>363957000</v>
      </c>
      <c r="L1042" s="61">
        <f t="shared" si="49"/>
        <v>145298000</v>
      </c>
      <c r="M1042" s="61">
        <f t="shared" si="50"/>
        <v>218659000</v>
      </c>
    </row>
    <row r="1043" spans="1:13" x14ac:dyDescent="0.25">
      <c r="A1043" t="s">
        <v>380</v>
      </c>
      <c r="B1043" t="s">
        <v>10</v>
      </c>
      <c r="C1043">
        <v>42004</v>
      </c>
      <c r="D1043" s="61">
        <v>2957951000</v>
      </c>
      <c r="E1043" s="61">
        <v>2435591000</v>
      </c>
      <c r="F1043" s="61">
        <v>164596000</v>
      </c>
      <c r="G1043" s="61">
        <v>0</v>
      </c>
      <c r="H1043" s="61">
        <v>0</v>
      </c>
      <c r="I1043" t="s">
        <v>53</v>
      </c>
      <c r="J1043" t="s">
        <v>381</v>
      </c>
      <c r="K1043" s="61">
        <f t="shared" si="48"/>
        <v>522360000</v>
      </c>
      <c r="L1043" s="61">
        <f t="shared" si="49"/>
        <v>164596000</v>
      </c>
      <c r="M1043" s="61">
        <f t="shared" si="50"/>
        <v>357764000</v>
      </c>
    </row>
    <row r="1044" spans="1:13" x14ac:dyDescent="0.25">
      <c r="A1044" t="s">
        <v>380</v>
      </c>
      <c r="B1044" t="s">
        <v>11</v>
      </c>
      <c r="C1044">
        <v>42369</v>
      </c>
      <c r="D1044" s="61">
        <v>3539570000</v>
      </c>
      <c r="E1044" s="61">
        <v>2817803000</v>
      </c>
      <c r="F1044" s="61">
        <v>233887000</v>
      </c>
      <c r="G1044" s="61">
        <v>0</v>
      </c>
      <c r="H1044" s="61">
        <v>0</v>
      </c>
      <c r="I1044" t="s">
        <v>53</v>
      </c>
      <c r="J1044" t="s">
        <v>381</v>
      </c>
      <c r="K1044" s="61">
        <f t="shared" si="48"/>
        <v>721767000</v>
      </c>
      <c r="L1044" s="61">
        <f t="shared" si="49"/>
        <v>233887000</v>
      </c>
      <c r="M1044" s="61">
        <f t="shared" si="50"/>
        <v>487880000</v>
      </c>
    </row>
    <row r="1045" spans="1:13" x14ac:dyDescent="0.25">
      <c r="A1045" t="s">
        <v>382</v>
      </c>
      <c r="B1045" t="s">
        <v>6</v>
      </c>
      <c r="C1045">
        <v>41274</v>
      </c>
      <c r="D1045" s="61">
        <v>11924000000</v>
      </c>
      <c r="E1045" s="61">
        <v>0</v>
      </c>
      <c r="F1045" s="61">
        <v>7134000000</v>
      </c>
      <c r="G1045" s="61">
        <v>0</v>
      </c>
      <c r="H1045" s="61">
        <v>2961000000</v>
      </c>
      <c r="I1045" t="s">
        <v>41</v>
      </c>
      <c r="J1045" t="s">
        <v>383</v>
      </c>
      <c r="K1045" s="61">
        <f t="shared" si="48"/>
        <v>11924000000</v>
      </c>
      <c r="L1045" s="61">
        <f t="shared" si="49"/>
        <v>10095000000</v>
      </c>
      <c r="M1045" s="61">
        <f t="shared" si="50"/>
        <v>1829000000</v>
      </c>
    </row>
    <row r="1046" spans="1:13" x14ac:dyDescent="0.25">
      <c r="A1046" t="s">
        <v>382</v>
      </c>
      <c r="B1046" t="s">
        <v>9</v>
      </c>
      <c r="C1046">
        <v>41639</v>
      </c>
      <c r="D1046" s="61">
        <v>12261000000</v>
      </c>
      <c r="E1046" s="61">
        <v>0</v>
      </c>
      <c r="F1046" s="61">
        <v>7226000000</v>
      </c>
      <c r="G1046" s="61">
        <v>0</v>
      </c>
      <c r="H1046" s="61">
        <v>2958000000</v>
      </c>
      <c r="I1046" t="s">
        <v>41</v>
      </c>
      <c r="J1046" t="s">
        <v>383</v>
      </c>
      <c r="K1046" s="61">
        <f t="shared" si="48"/>
        <v>12261000000</v>
      </c>
      <c r="L1046" s="61">
        <f t="shared" si="49"/>
        <v>10184000000</v>
      </c>
      <c r="M1046" s="61">
        <f t="shared" si="50"/>
        <v>2077000000</v>
      </c>
    </row>
    <row r="1047" spans="1:13" x14ac:dyDescent="0.25">
      <c r="A1047" t="s">
        <v>382</v>
      </c>
      <c r="B1047" t="s">
        <v>10</v>
      </c>
      <c r="C1047">
        <v>42004</v>
      </c>
      <c r="D1047" s="61">
        <v>12951000000</v>
      </c>
      <c r="E1047" s="61">
        <v>0</v>
      </c>
      <c r="F1047" s="61">
        <v>7515000000</v>
      </c>
      <c r="G1047" s="61">
        <v>0</v>
      </c>
      <c r="H1047" s="61">
        <v>3135000000</v>
      </c>
      <c r="I1047" t="s">
        <v>41</v>
      </c>
      <c r="J1047" t="s">
        <v>383</v>
      </c>
      <c r="K1047" s="61">
        <f t="shared" si="48"/>
        <v>12951000000</v>
      </c>
      <c r="L1047" s="61">
        <f t="shared" si="49"/>
        <v>10650000000</v>
      </c>
      <c r="M1047" s="61">
        <f t="shared" si="50"/>
        <v>2301000000</v>
      </c>
    </row>
    <row r="1048" spans="1:13" x14ac:dyDescent="0.25">
      <c r="A1048" t="s">
        <v>382</v>
      </c>
      <c r="B1048" t="s">
        <v>11</v>
      </c>
      <c r="C1048">
        <v>42369</v>
      </c>
      <c r="D1048" s="61">
        <v>12893000000</v>
      </c>
      <c r="E1048" s="61">
        <v>0</v>
      </c>
      <c r="F1048" s="61">
        <v>7334000000</v>
      </c>
      <c r="G1048" s="61">
        <v>0</v>
      </c>
      <c r="H1048" s="61">
        <v>3140000000</v>
      </c>
      <c r="I1048" t="s">
        <v>41</v>
      </c>
      <c r="J1048" t="s">
        <v>383</v>
      </c>
      <c r="K1048" s="61">
        <f t="shared" si="48"/>
        <v>12893000000</v>
      </c>
      <c r="L1048" s="61">
        <f t="shared" si="49"/>
        <v>10474000000</v>
      </c>
      <c r="M1048" s="61">
        <f t="shared" si="50"/>
        <v>2419000000</v>
      </c>
    </row>
    <row r="1049" spans="1:13" x14ac:dyDescent="0.25">
      <c r="A1049" t="s">
        <v>384</v>
      </c>
      <c r="B1049" t="s">
        <v>6</v>
      </c>
      <c r="C1049">
        <v>41639</v>
      </c>
      <c r="D1049" s="61">
        <v>30871000000</v>
      </c>
      <c r="E1049" s="61">
        <v>16106000000</v>
      </c>
      <c r="F1049" s="61">
        <v>6384000000</v>
      </c>
      <c r="G1049" s="61">
        <v>1715000000</v>
      </c>
      <c r="H1049" s="61">
        <v>0</v>
      </c>
      <c r="I1049" t="s">
        <v>7</v>
      </c>
      <c r="J1049" t="s">
        <v>158</v>
      </c>
      <c r="K1049" s="61">
        <f t="shared" si="48"/>
        <v>14765000000</v>
      </c>
      <c r="L1049" s="61">
        <f t="shared" si="49"/>
        <v>8099000000</v>
      </c>
      <c r="M1049" s="61">
        <f t="shared" si="50"/>
        <v>6666000000</v>
      </c>
    </row>
    <row r="1050" spans="1:13" x14ac:dyDescent="0.25">
      <c r="A1050" t="s">
        <v>384</v>
      </c>
      <c r="B1050" t="s">
        <v>9</v>
      </c>
      <c r="C1050">
        <v>42004</v>
      </c>
      <c r="D1050" s="61">
        <v>31821000000</v>
      </c>
      <c r="E1050" s="61">
        <v>16447000000</v>
      </c>
      <c r="F1050" s="61">
        <v>6469000000</v>
      </c>
      <c r="G1050" s="61">
        <v>1770000000</v>
      </c>
      <c r="H1050" s="61">
        <v>0</v>
      </c>
      <c r="I1050" t="s">
        <v>7</v>
      </c>
      <c r="J1050" t="s">
        <v>158</v>
      </c>
      <c r="K1050" s="61">
        <f t="shared" si="48"/>
        <v>15374000000</v>
      </c>
      <c r="L1050" s="61">
        <f t="shared" si="49"/>
        <v>8239000000</v>
      </c>
      <c r="M1050" s="61">
        <f t="shared" si="50"/>
        <v>7135000000</v>
      </c>
    </row>
    <row r="1051" spans="1:13" x14ac:dyDescent="0.25">
      <c r="A1051" t="s">
        <v>384</v>
      </c>
      <c r="B1051" t="s">
        <v>10</v>
      </c>
      <c r="C1051">
        <v>42369</v>
      </c>
      <c r="D1051" s="61">
        <v>30274000000</v>
      </c>
      <c r="E1051" s="61">
        <v>15383000000</v>
      </c>
      <c r="F1051" s="61">
        <v>6182000000</v>
      </c>
      <c r="G1051" s="61">
        <v>1763000000</v>
      </c>
      <c r="H1051" s="61">
        <v>0</v>
      </c>
      <c r="I1051" t="s">
        <v>7</v>
      </c>
      <c r="J1051" t="s">
        <v>158</v>
      </c>
      <c r="K1051" s="61">
        <f t="shared" si="48"/>
        <v>14891000000</v>
      </c>
      <c r="L1051" s="61">
        <f t="shared" si="49"/>
        <v>7945000000</v>
      </c>
      <c r="M1051" s="61">
        <f t="shared" si="50"/>
        <v>6946000000</v>
      </c>
    </row>
    <row r="1052" spans="1:13" x14ac:dyDescent="0.25">
      <c r="A1052" t="s">
        <v>384</v>
      </c>
      <c r="B1052" t="s">
        <v>11</v>
      </c>
      <c r="C1052">
        <v>42735</v>
      </c>
      <c r="D1052" s="61">
        <v>30109000000</v>
      </c>
      <c r="E1052" s="61">
        <v>15040000000</v>
      </c>
      <c r="F1052" s="61">
        <v>6111000000</v>
      </c>
      <c r="G1052" s="61">
        <v>1735000000</v>
      </c>
      <c r="H1052" s="61">
        <v>0</v>
      </c>
      <c r="I1052" t="s">
        <v>7</v>
      </c>
      <c r="J1052" t="s">
        <v>158</v>
      </c>
      <c r="K1052" s="61">
        <f t="shared" si="48"/>
        <v>15069000000</v>
      </c>
      <c r="L1052" s="61">
        <f t="shared" si="49"/>
        <v>7846000000</v>
      </c>
      <c r="M1052" s="61">
        <f t="shared" si="50"/>
        <v>7223000000</v>
      </c>
    </row>
    <row r="1053" spans="1:13" x14ac:dyDescent="0.25">
      <c r="A1053" t="s">
        <v>385</v>
      </c>
      <c r="B1053" t="s">
        <v>6</v>
      </c>
      <c r="C1053">
        <v>41274</v>
      </c>
      <c r="D1053" s="61">
        <v>2060702000</v>
      </c>
      <c r="E1053" s="61">
        <v>995046000</v>
      </c>
      <c r="F1053" s="61">
        <v>0</v>
      </c>
      <c r="G1053" s="61">
        <v>0</v>
      </c>
      <c r="H1053" s="61">
        <v>0</v>
      </c>
      <c r="I1053" t="s">
        <v>30</v>
      </c>
      <c r="J1053" t="s">
        <v>208</v>
      </c>
      <c r="K1053" s="61">
        <f t="shared" si="48"/>
        <v>1065656000</v>
      </c>
      <c r="L1053" s="61">
        <f t="shared" si="49"/>
        <v>0</v>
      </c>
      <c r="M1053" s="61">
        <f t="shared" si="50"/>
        <v>1065656000</v>
      </c>
    </row>
    <row r="1054" spans="1:13" x14ac:dyDescent="0.25">
      <c r="A1054" t="s">
        <v>385</v>
      </c>
      <c r="B1054" t="s">
        <v>9</v>
      </c>
      <c r="C1054">
        <v>41639</v>
      </c>
      <c r="D1054" s="61">
        <v>2246428000</v>
      </c>
      <c r="E1054" s="61">
        <v>1073497000</v>
      </c>
      <c r="F1054" s="61">
        <v>0</v>
      </c>
      <c r="G1054" s="61">
        <v>0</v>
      </c>
      <c r="H1054" s="61">
        <v>0</v>
      </c>
      <c r="I1054" t="s">
        <v>30</v>
      </c>
      <c r="J1054" t="s">
        <v>208</v>
      </c>
      <c r="K1054" s="61">
        <f t="shared" si="48"/>
        <v>1172931000</v>
      </c>
      <c r="L1054" s="61">
        <f t="shared" si="49"/>
        <v>0</v>
      </c>
      <c r="M1054" s="61">
        <f t="shared" si="50"/>
        <v>1172931000</v>
      </c>
    </row>
    <row r="1055" spans="1:13" x14ac:dyDescent="0.25">
      <c r="A1055" t="s">
        <v>385</v>
      </c>
      <c r="B1055" t="s">
        <v>10</v>
      </c>
      <c r="C1055">
        <v>42004</v>
      </c>
      <c r="D1055" s="61">
        <v>2464867000</v>
      </c>
      <c r="E1055" s="61">
        <v>1125057000</v>
      </c>
      <c r="F1055" s="61">
        <v>0</v>
      </c>
      <c r="G1055" s="61">
        <v>0</v>
      </c>
      <c r="H1055" s="61">
        <v>0</v>
      </c>
      <c r="I1055" t="s">
        <v>30</v>
      </c>
      <c r="J1055" t="s">
        <v>208</v>
      </c>
      <c r="K1055" s="61">
        <f t="shared" si="48"/>
        <v>1339810000</v>
      </c>
      <c r="L1055" s="61">
        <f t="shared" si="49"/>
        <v>0</v>
      </c>
      <c r="M1055" s="61">
        <f t="shared" si="50"/>
        <v>1339810000</v>
      </c>
    </row>
    <row r="1056" spans="1:13" x14ac:dyDescent="0.25">
      <c r="A1056" t="s">
        <v>385</v>
      </c>
      <c r="B1056" t="s">
        <v>11</v>
      </c>
      <c r="C1056">
        <v>42369</v>
      </c>
      <c r="D1056" s="61">
        <v>2722564000</v>
      </c>
      <c r="E1056" s="61">
        <v>1090263000</v>
      </c>
      <c r="F1056" s="61">
        <v>0</v>
      </c>
      <c r="G1056" s="61">
        <v>0</v>
      </c>
      <c r="H1056" s="61">
        <v>0</v>
      </c>
      <c r="I1056" t="s">
        <v>30</v>
      </c>
      <c r="J1056" t="s">
        <v>208</v>
      </c>
      <c r="K1056" s="61">
        <f t="shared" si="48"/>
        <v>1632301000</v>
      </c>
      <c r="L1056" s="61">
        <f t="shared" si="49"/>
        <v>0</v>
      </c>
      <c r="M1056" s="61">
        <f t="shared" si="50"/>
        <v>1632301000</v>
      </c>
    </row>
    <row r="1057" spans="1:13" x14ac:dyDescent="0.25">
      <c r="A1057" t="s">
        <v>386</v>
      </c>
      <c r="B1057" t="s">
        <v>6</v>
      </c>
      <c r="C1057">
        <v>41274</v>
      </c>
      <c r="D1057" s="61">
        <v>24618000000</v>
      </c>
      <c r="E1057" s="61">
        <v>15055000000</v>
      </c>
      <c r="F1057" s="61">
        <v>2249000000</v>
      </c>
      <c r="G1057" s="61">
        <v>0</v>
      </c>
      <c r="H1057" s="61">
        <v>0</v>
      </c>
      <c r="I1057" t="s">
        <v>30</v>
      </c>
      <c r="J1057" t="s">
        <v>387</v>
      </c>
      <c r="K1057" s="61">
        <f t="shared" si="48"/>
        <v>9563000000</v>
      </c>
      <c r="L1057" s="61">
        <f t="shared" si="49"/>
        <v>2249000000</v>
      </c>
      <c r="M1057" s="61">
        <f t="shared" si="50"/>
        <v>7314000000</v>
      </c>
    </row>
    <row r="1058" spans="1:13" x14ac:dyDescent="0.25">
      <c r="A1058" t="s">
        <v>386</v>
      </c>
      <c r="B1058" t="s">
        <v>9</v>
      </c>
      <c r="C1058">
        <v>41639</v>
      </c>
      <c r="D1058" s="61">
        <v>24466000000</v>
      </c>
      <c r="E1058" s="61">
        <v>14009000000</v>
      </c>
      <c r="F1058" s="61">
        <v>2362000000</v>
      </c>
      <c r="G1058" s="61">
        <v>0</v>
      </c>
      <c r="H1058" s="61">
        <v>0</v>
      </c>
      <c r="I1058" t="s">
        <v>30</v>
      </c>
      <c r="J1058" t="s">
        <v>387</v>
      </c>
      <c r="K1058" s="61">
        <f t="shared" si="48"/>
        <v>10457000000</v>
      </c>
      <c r="L1058" s="61">
        <f t="shared" si="49"/>
        <v>2362000000</v>
      </c>
      <c r="M1058" s="61">
        <f t="shared" si="50"/>
        <v>8095000000</v>
      </c>
    </row>
    <row r="1059" spans="1:13" x14ac:dyDescent="0.25">
      <c r="A1059" t="s">
        <v>386</v>
      </c>
      <c r="B1059" t="s">
        <v>10</v>
      </c>
      <c r="C1059">
        <v>42004</v>
      </c>
      <c r="D1059" s="61">
        <v>24522000000</v>
      </c>
      <c r="E1059" s="61">
        <v>14362000000</v>
      </c>
      <c r="F1059" s="61">
        <v>2541000000</v>
      </c>
      <c r="G1059" s="61">
        <v>0</v>
      </c>
      <c r="H1059" s="61">
        <v>0</v>
      </c>
      <c r="I1059" t="s">
        <v>30</v>
      </c>
      <c r="J1059" t="s">
        <v>387</v>
      </c>
      <c r="K1059" s="61">
        <f t="shared" si="48"/>
        <v>10160000000</v>
      </c>
      <c r="L1059" s="61">
        <f t="shared" si="49"/>
        <v>2541000000</v>
      </c>
      <c r="M1059" s="61">
        <f t="shared" si="50"/>
        <v>7619000000</v>
      </c>
    </row>
    <row r="1060" spans="1:13" x14ac:dyDescent="0.25">
      <c r="A1060" t="s">
        <v>386</v>
      </c>
      <c r="B1060" t="s">
        <v>11</v>
      </c>
      <c r="C1060">
        <v>42369</v>
      </c>
      <c r="D1060" s="61">
        <v>25434000000</v>
      </c>
      <c r="E1060" s="61">
        <v>14320000000</v>
      </c>
      <c r="F1060" s="61">
        <v>2749000000</v>
      </c>
      <c r="G1060" s="61">
        <v>0</v>
      </c>
      <c r="H1060" s="61">
        <v>0</v>
      </c>
      <c r="I1060" t="s">
        <v>30</v>
      </c>
      <c r="J1060" t="s">
        <v>387</v>
      </c>
      <c r="K1060" s="61">
        <f t="shared" si="48"/>
        <v>11114000000</v>
      </c>
      <c r="L1060" s="61">
        <f t="shared" si="49"/>
        <v>2749000000</v>
      </c>
      <c r="M1060" s="61">
        <f t="shared" si="50"/>
        <v>8365000000</v>
      </c>
    </row>
    <row r="1061" spans="1:13" x14ac:dyDescent="0.25">
      <c r="A1061" t="s">
        <v>388</v>
      </c>
      <c r="B1061" t="s">
        <v>6</v>
      </c>
      <c r="C1061">
        <v>41517</v>
      </c>
      <c r="D1061" s="61">
        <v>14861000000</v>
      </c>
      <c r="E1061" s="61">
        <v>7208000000</v>
      </c>
      <c r="F1061" s="61">
        <v>2550000000</v>
      </c>
      <c r="G1061" s="61">
        <v>1533000000</v>
      </c>
      <c r="H1061" s="61">
        <v>0</v>
      </c>
      <c r="I1061" t="s">
        <v>53</v>
      </c>
      <c r="J1061" t="s">
        <v>132</v>
      </c>
      <c r="K1061" s="61">
        <f t="shared" si="48"/>
        <v>7653000000</v>
      </c>
      <c r="L1061" s="61">
        <f t="shared" si="49"/>
        <v>4083000000</v>
      </c>
      <c r="M1061" s="61">
        <f t="shared" si="50"/>
        <v>3570000000</v>
      </c>
    </row>
    <row r="1062" spans="1:13" x14ac:dyDescent="0.25">
      <c r="A1062" t="s">
        <v>388</v>
      </c>
      <c r="B1062" t="s">
        <v>9</v>
      </c>
      <c r="C1062">
        <v>41882</v>
      </c>
      <c r="D1062" s="61">
        <v>15855000000</v>
      </c>
      <c r="E1062" s="61">
        <v>7281000000</v>
      </c>
      <c r="F1062" s="61">
        <v>2774000000</v>
      </c>
      <c r="G1062" s="61">
        <v>1725000000</v>
      </c>
      <c r="H1062" s="61">
        <v>0</v>
      </c>
      <c r="I1062" t="s">
        <v>53</v>
      </c>
      <c r="J1062" t="s">
        <v>132</v>
      </c>
      <c r="K1062" s="61">
        <f t="shared" si="48"/>
        <v>8574000000</v>
      </c>
      <c r="L1062" s="61">
        <f t="shared" si="49"/>
        <v>4499000000</v>
      </c>
      <c r="M1062" s="61">
        <f t="shared" si="50"/>
        <v>4075000000</v>
      </c>
    </row>
    <row r="1063" spans="1:13" x14ac:dyDescent="0.25">
      <c r="A1063" t="s">
        <v>388</v>
      </c>
      <c r="B1063" t="s">
        <v>10</v>
      </c>
      <c r="C1063">
        <v>42247</v>
      </c>
      <c r="D1063" s="61">
        <v>15001000000</v>
      </c>
      <c r="E1063" s="61">
        <v>6819000000</v>
      </c>
      <c r="F1063" s="61">
        <v>2686000000</v>
      </c>
      <c r="G1063" s="61">
        <v>1580000000</v>
      </c>
      <c r="H1063" s="61">
        <v>0</v>
      </c>
      <c r="I1063" t="s">
        <v>53</v>
      </c>
      <c r="J1063" t="s">
        <v>132</v>
      </c>
      <c r="K1063" s="61">
        <f t="shared" si="48"/>
        <v>8182000000</v>
      </c>
      <c r="L1063" s="61">
        <f t="shared" si="49"/>
        <v>4266000000</v>
      </c>
      <c r="M1063" s="61">
        <f t="shared" si="50"/>
        <v>3916000000</v>
      </c>
    </row>
    <row r="1064" spans="1:13" x14ac:dyDescent="0.25">
      <c r="A1064" t="s">
        <v>388</v>
      </c>
      <c r="B1064" t="s">
        <v>11</v>
      </c>
      <c r="C1064">
        <v>42613</v>
      </c>
      <c r="D1064" s="61">
        <v>13502000000</v>
      </c>
      <c r="E1064" s="61">
        <v>6485000000</v>
      </c>
      <c r="F1064" s="61">
        <v>2833000000</v>
      </c>
      <c r="G1064" s="61">
        <v>1512000000</v>
      </c>
      <c r="H1064" s="61">
        <v>0</v>
      </c>
      <c r="I1064" t="s">
        <v>53</v>
      </c>
      <c r="J1064" t="s">
        <v>132</v>
      </c>
      <c r="K1064" s="61">
        <f t="shared" si="48"/>
        <v>7017000000</v>
      </c>
      <c r="L1064" s="61">
        <f t="shared" si="49"/>
        <v>4345000000</v>
      </c>
      <c r="M1064" s="61">
        <f t="shared" si="50"/>
        <v>2672000000</v>
      </c>
    </row>
    <row r="1065" spans="1:13" x14ac:dyDescent="0.25">
      <c r="A1065" t="s">
        <v>389</v>
      </c>
      <c r="B1065" t="s">
        <v>6</v>
      </c>
      <c r="C1065">
        <v>41425</v>
      </c>
      <c r="D1065" s="61">
        <v>9974100000</v>
      </c>
      <c r="E1065" s="61">
        <v>7213900000</v>
      </c>
      <c r="F1065" s="61">
        <v>550600000</v>
      </c>
      <c r="G1065" s="61">
        <v>0</v>
      </c>
      <c r="H1065" s="61">
        <v>0</v>
      </c>
      <c r="I1065" t="s">
        <v>53</v>
      </c>
      <c r="J1065" t="s">
        <v>132</v>
      </c>
      <c r="K1065" s="61">
        <f t="shared" si="48"/>
        <v>2760200000</v>
      </c>
      <c r="L1065" s="61">
        <f t="shared" si="49"/>
        <v>550600000</v>
      </c>
      <c r="M1065" s="61">
        <f t="shared" si="50"/>
        <v>2209600000</v>
      </c>
    </row>
    <row r="1066" spans="1:13" x14ac:dyDescent="0.25">
      <c r="A1066" t="s">
        <v>389</v>
      </c>
      <c r="B1066" t="s">
        <v>9</v>
      </c>
      <c r="C1066">
        <v>42004</v>
      </c>
      <c r="D1066" s="61">
        <v>9055800000</v>
      </c>
      <c r="E1066" s="61">
        <v>7129200000</v>
      </c>
      <c r="F1066" s="61">
        <v>505800000</v>
      </c>
      <c r="G1066" s="61">
        <v>0</v>
      </c>
      <c r="H1066" s="61">
        <v>0</v>
      </c>
      <c r="I1066" t="s">
        <v>53</v>
      </c>
      <c r="J1066" t="s">
        <v>132</v>
      </c>
      <c r="K1066" s="61">
        <f t="shared" si="48"/>
        <v>1926600000</v>
      </c>
      <c r="L1066" s="61">
        <f t="shared" si="49"/>
        <v>505800000</v>
      </c>
      <c r="M1066" s="61">
        <f t="shared" si="50"/>
        <v>1420800000</v>
      </c>
    </row>
    <row r="1067" spans="1:13" x14ac:dyDescent="0.25">
      <c r="A1067" t="s">
        <v>389</v>
      </c>
      <c r="B1067" t="s">
        <v>10</v>
      </c>
      <c r="C1067">
        <v>42369</v>
      </c>
      <c r="D1067" s="61">
        <v>8895300000</v>
      </c>
      <c r="E1067" s="61">
        <v>7177400000</v>
      </c>
      <c r="F1067" s="61">
        <v>439100000</v>
      </c>
      <c r="G1067" s="61">
        <v>0</v>
      </c>
      <c r="H1067" s="61">
        <v>0</v>
      </c>
      <c r="I1067" t="s">
        <v>53</v>
      </c>
      <c r="J1067" t="s">
        <v>132</v>
      </c>
      <c r="K1067" s="61">
        <f t="shared" si="48"/>
        <v>1717900000</v>
      </c>
      <c r="L1067" s="61">
        <f t="shared" si="49"/>
        <v>439100000</v>
      </c>
      <c r="M1067" s="61">
        <f t="shared" si="50"/>
        <v>1278800000</v>
      </c>
    </row>
    <row r="1068" spans="1:13" x14ac:dyDescent="0.25">
      <c r="A1068" t="s">
        <v>389</v>
      </c>
      <c r="B1068" t="s">
        <v>11</v>
      </c>
      <c r="C1068">
        <v>42735</v>
      </c>
      <c r="D1068" s="61">
        <v>7162800000</v>
      </c>
      <c r="E1068" s="61">
        <v>6352800000</v>
      </c>
      <c r="F1068" s="61">
        <v>491000000</v>
      </c>
      <c r="G1068" s="61">
        <v>0</v>
      </c>
      <c r="H1068" s="61">
        <v>0</v>
      </c>
      <c r="I1068" t="s">
        <v>53</v>
      </c>
      <c r="J1068" t="s">
        <v>132</v>
      </c>
      <c r="K1068" s="61">
        <f t="shared" si="48"/>
        <v>810000000</v>
      </c>
      <c r="L1068" s="61">
        <f t="shared" si="49"/>
        <v>491000000</v>
      </c>
      <c r="M1068" s="61">
        <f t="shared" si="50"/>
        <v>319000000</v>
      </c>
    </row>
    <row r="1069" spans="1:13" x14ac:dyDescent="0.25">
      <c r="A1069" t="s">
        <v>390</v>
      </c>
      <c r="B1069" t="s">
        <v>6</v>
      </c>
      <c r="C1069">
        <v>41274</v>
      </c>
      <c r="D1069" s="61">
        <v>82243000000</v>
      </c>
      <c r="E1069" s="61">
        <v>68948000000</v>
      </c>
      <c r="F1069" s="61">
        <v>7202000000</v>
      </c>
      <c r="G1069" s="61">
        <v>0</v>
      </c>
      <c r="H1069" s="61">
        <v>995000000</v>
      </c>
      <c r="I1069" t="s">
        <v>77</v>
      </c>
      <c r="J1069" t="s">
        <v>335</v>
      </c>
      <c r="K1069" s="61">
        <f t="shared" si="48"/>
        <v>13295000000</v>
      </c>
      <c r="L1069" s="61">
        <f t="shared" si="49"/>
        <v>8197000000</v>
      </c>
      <c r="M1069" s="61">
        <f t="shared" si="50"/>
        <v>5098000000</v>
      </c>
    </row>
    <row r="1070" spans="1:13" x14ac:dyDescent="0.25">
      <c r="A1070" t="s">
        <v>390</v>
      </c>
      <c r="B1070" t="s">
        <v>9</v>
      </c>
      <c r="C1070">
        <v>41639</v>
      </c>
      <c r="D1070" s="61">
        <v>100160000000</v>
      </c>
      <c r="E1070" s="61">
        <v>87758000000</v>
      </c>
      <c r="F1070" s="61">
        <v>7851000000</v>
      </c>
      <c r="G1070" s="61">
        <v>0</v>
      </c>
      <c r="H1070" s="61">
        <v>1220000000</v>
      </c>
      <c r="I1070" t="s">
        <v>77</v>
      </c>
      <c r="J1070" t="s">
        <v>335</v>
      </c>
      <c r="K1070" s="61">
        <f t="shared" si="48"/>
        <v>12402000000</v>
      </c>
      <c r="L1070" s="61">
        <f t="shared" si="49"/>
        <v>9071000000</v>
      </c>
      <c r="M1070" s="61">
        <f t="shared" si="50"/>
        <v>3331000000</v>
      </c>
    </row>
    <row r="1071" spans="1:13" x14ac:dyDescent="0.25">
      <c r="A1071" t="s">
        <v>390</v>
      </c>
      <c r="B1071" t="s">
        <v>10</v>
      </c>
      <c r="C1071">
        <v>42004</v>
      </c>
      <c r="D1071" s="61">
        <v>97817000000</v>
      </c>
      <c r="E1071" s="61">
        <v>84275000000</v>
      </c>
      <c r="F1071" s="61">
        <v>8450000000</v>
      </c>
      <c r="G1071" s="61">
        <v>0</v>
      </c>
      <c r="H1071" s="61">
        <v>1326000000</v>
      </c>
      <c r="I1071" t="s">
        <v>77</v>
      </c>
      <c r="J1071" t="s">
        <v>335</v>
      </c>
      <c r="K1071" s="61">
        <f t="shared" si="48"/>
        <v>13542000000</v>
      </c>
      <c r="L1071" s="61">
        <f t="shared" si="49"/>
        <v>9776000000</v>
      </c>
      <c r="M1071" s="61">
        <f t="shared" si="50"/>
        <v>3766000000</v>
      </c>
    </row>
    <row r="1072" spans="1:13" x14ac:dyDescent="0.25">
      <c r="A1072" t="s">
        <v>390</v>
      </c>
      <c r="B1072" t="s">
        <v>11</v>
      </c>
      <c r="C1072">
        <v>42369</v>
      </c>
      <c r="D1072" s="61">
        <v>72051000000</v>
      </c>
      <c r="E1072" s="61">
        <v>55891000000</v>
      </c>
      <c r="F1072" s="61">
        <v>10029000000</v>
      </c>
      <c r="G1072" s="61">
        <v>0</v>
      </c>
      <c r="H1072" s="61">
        <v>1646000000</v>
      </c>
      <c r="I1072" t="s">
        <v>77</v>
      </c>
      <c r="J1072" t="s">
        <v>335</v>
      </c>
      <c r="K1072" s="61">
        <f t="shared" si="48"/>
        <v>16160000000</v>
      </c>
      <c r="L1072" s="61">
        <f t="shared" si="49"/>
        <v>11675000000</v>
      </c>
      <c r="M1072" s="61">
        <f t="shared" si="50"/>
        <v>4485000000</v>
      </c>
    </row>
    <row r="1073" spans="1:13" x14ac:dyDescent="0.25">
      <c r="A1073" t="s">
        <v>391</v>
      </c>
      <c r="B1073" t="s">
        <v>6</v>
      </c>
      <c r="C1073">
        <v>41274</v>
      </c>
      <c r="D1073" s="61">
        <v>47267000000</v>
      </c>
      <c r="E1073" s="61">
        <v>16446000000</v>
      </c>
      <c r="F1073" s="61">
        <v>12776000000</v>
      </c>
      <c r="G1073" s="61">
        <v>8168000000</v>
      </c>
      <c r="H1073" s="61">
        <v>0</v>
      </c>
      <c r="I1073" t="s">
        <v>19</v>
      </c>
      <c r="J1073" t="s">
        <v>20</v>
      </c>
      <c r="K1073" s="61">
        <f t="shared" si="48"/>
        <v>30821000000</v>
      </c>
      <c r="L1073" s="61">
        <f t="shared" si="49"/>
        <v>20944000000</v>
      </c>
      <c r="M1073" s="61">
        <f t="shared" si="50"/>
        <v>9877000000</v>
      </c>
    </row>
    <row r="1074" spans="1:13" x14ac:dyDescent="0.25">
      <c r="A1074" t="s">
        <v>391</v>
      </c>
      <c r="B1074" t="s">
        <v>9</v>
      </c>
      <c r="C1074">
        <v>41639</v>
      </c>
      <c r="D1074" s="61">
        <v>44033000000</v>
      </c>
      <c r="E1074" s="61">
        <v>16954000000</v>
      </c>
      <c r="F1074" s="61">
        <v>11911000000</v>
      </c>
      <c r="G1074" s="61">
        <v>7503000000</v>
      </c>
      <c r="H1074" s="61">
        <v>0</v>
      </c>
      <c r="I1074" t="s">
        <v>19</v>
      </c>
      <c r="J1074" t="s">
        <v>20</v>
      </c>
      <c r="K1074" s="61">
        <f t="shared" si="48"/>
        <v>27079000000</v>
      </c>
      <c r="L1074" s="61">
        <f t="shared" si="49"/>
        <v>19414000000</v>
      </c>
      <c r="M1074" s="61">
        <f t="shared" si="50"/>
        <v>7665000000</v>
      </c>
    </row>
    <row r="1075" spans="1:13" x14ac:dyDescent="0.25">
      <c r="A1075" t="s">
        <v>391</v>
      </c>
      <c r="B1075" t="s">
        <v>10</v>
      </c>
      <c r="C1075">
        <v>42004</v>
      </c>
      <c r="D1075" s="61">
        <v>42237000000</v>
      </c>
      <c r="E1075" s="61">
        <v>16768000000</v>
      </c>
      <c r="F1075" s="61">
        <v>11606000000</v>
      </c>
      <c r="G1075" s="61">
        <v>7180000000</v>
      </c>
      <c r="H1075" s="61">
        <v>0</v>
      </c>
      <c r="I1075" t="s">
        <v>19</v>
      </c>
      <c r="J1075" t="s">
        <v>20</v>
      </c>
      <c r="K1075" s="61">
        <f t="shared" si="48"/>
        <v>25469000000</v>
      </c>
      <c r="L1075" s="61">
        <f t="shared" si="49"/>
        <v>18786000000</v>
      </c>
      <c r="M1075" s="61">
        <f t="shared" si="50"/>
        <v>6683000000</v>
      </c>
    </row>
    <row r="1076" spans="1:13" x14ac:dyDescent="0.25">
      <c r="A1076" t="s">
        <v>391</v>
      </c>
      <c r="B1076" t="s">
        <v>11</v>
      </c>
      <c r="C1076">
        <v>42369</v>
      </c>
      <c r="D1076" s="61">
        <v>39498000000</v>
      </c>
      <c r="E1076" s="61">
        <v>14934000000</v>
      </c>
      <c r="F1076" s="61">
        <v>10313000000</v>
      </c>
      <c r="G1076" s="61">
        <v>6704000000</v>
      </c>
      <c r="H1076" s="61">
        <v>0</v>
      </c>
      <c r="I1076" t="s">
        <v>19</v>
      </c>
      <c r="J1076" t="s">
        <v>20</v>
      </c>
      <c r="K1076" s="61">
        <f t="shared" si="48"/>
        <v>24564000000</v>
      </c>
      <c r="L1076" s="61">
        <f t="shared" si="49"/>
        <v>17017000000</v>
      </c>
      <c r="M1076" s="61">
        <f t="shared" si="50"/>
        <v>7547000000</v>
      </c>
    </row>
    <row r="1077" spans="1:13" x14ac:dyDescent="0.25">
      <c r="A1077" t="s">
        <v>392</v>
      </c>
      <c r="B1077" t="s">
        <v>6</v>
      </c>
      <c r="C1077">
        <v>41274</v>
      </c>
      <c r="D1077" s="61">
        <v>11966000000</v>
      </c>
      <c r="E1077" s="61">
        <v>2079000000</v>
      </c>
      <c r="F1077" s="61">
        <v>4017000000</v>
      </c>
      <c r="G1077" s="61">
        <v>0</v>
      </c>
      <c r="H1077" s="61">
        <v>2008000000</v>
      </c>
      <c r="I1077" t="s">
        <v>77</v>
      </c>
      <c r="J1077" t="s">
        <v>78</v>
      </c>
      <c r="K1077" s="61">
        <f t="shared" si="48"/>
        <v>9887000000</v>
      </c>
      <c r="L1077" s="61">
        <f t="shared" si="49"/>
        <v>6025000000</v>
      </c>
      <c r="M1077" s="61">
        <f t="shared" si="50"/>
        <v>3862000000</v>
      </c>
    </row>
    <row r="1078" spans="1:13" x14ac:dyDescent="0.25">
      <c r="A1078" t="s">
        <v>392</v>
      </c>
      <c r="B1078" t="s">
        <v>9</v>
      </c>
      <c r="C1078">
        <v>41639</v>
      </c>
      <c r="D1078" s="61">
        <v>11325000000</v>
      </c>
      <c r="E1078" s="61">
        <v>2156000000</v>
      </c>
      <c r="F1078" s="61">
        <v>3469000000</v>
      </c>
      <c r="G1078" s="61">
        <v>0</v>
      </c>
      <c r="H1078" s="61">
        <v>2500000000</v>
      </c>
      <c r="I1078" t="s">
        <v>77</v>
      </c>
      <c r="J1078" t="s">
        <v>78</v>
      </c>
      <c r="K1078" s="61">
        <f t="shared" si="48"/>
        <v>9169000000</v>
      </c>
      <c r="L1078" s="61">
        <f t="shared" si="49"/>
        <v>5969000000</v>
      </c>
      <c r="M1078" s="61">
        <f t="shared" si="50"/>
        <v>3200000000</v>
      </c>
    </row>
    <row r="1079" spans="1:13" x14ac:dyDescent="0.25">
      <c r="A1079" t="s">
        <v>392</v>
      </c>
      <c r="B1079" t="s">
        <v>10</v>
      </c>
      <c r="C1079">
        <v>42004</v>
      </c>
      <c r="D1079" s="61">
        <v>10846000000</v>
      </c>
      <c r="E1079" s="61">
        <v>2246000000</v>
      </c>
      <c r="F1079" s="61">
        <v>3627000000</v>
      </c>
      <c r="G1079" s="61">
        <v>0</v>
      </c>
      <c r="H1079" s="61">
        <v>2861000000</v>
      </c>
      <c r="I1079" t="s">
        <v>77</v>
      </c>
      <c r="J1079" t="s">
        <v>78</v>
      </c>
      <c r="K1079" s="61">
        <f t="shared" si="48"/>
        <v>8600000000</v>
      </c>
      <c r="L1079" s="61">
        <f t="shared" si="49"/>
        <v>6488000000</v>
      </c>
      <c r="M1079" s="61">
        <f t="shared" si="50"/>
        <v>2112000000</v>
      </c>
    </row>
    <row r="1080" spans="1:13" x14ac:dyDescent="0.25">
      <c r="A1080" t="s">
        <v>392</v>
      </c>
      <c r="B1080" t="s">
        <v>11</v>
      </c>
      <c r="C1080">
        <v>42369</v>
      </c>
      <c r="D1080" s="61">
        <v>5522000000</v>
      </c>
      <c r="E1080" s="61">
        <v>1694000000</v>
      </c>
      <c r="F1080" s="61">
        <v>1831000000</v>
      </c>
      <c r="G1080" s="61">
        <v>0</v>
      </c>
      <c r="H1080" s="61">
        <v>2957000000</v>
      </c>
      <c r="I1080" t="s">
        <v>77</v>
      </c>
      <c r="J1080" t="s">
        <v>78</v>
      </c>
      <c r="K1080" s="61">
        <f t="shared" si="48"/>
        <v>3828000000</v>
      </c>
      <c r="L1080" s="61">
        <f t="shared" si="49"/>
        <v>4788000000</v>
      </c>
      <c r="M1080" s="61">
        <f t="shared" si="50"/>
        <v>-960000000</v>
      </c>
    </row>
    <row r="1081" spans="1:13" x14ac:dyDescent="0.25">
      <c r="A1081" t="s">
        <v>393</v>
      </c>
      <c r="B1081" t="s">
        <v>6</v>
      </c>
      <c r="C1081">
        <v>41455</v>
      </c>
      <c r="D1081" s="61">
        <v>77849000000</v>
      </c>
      <c r="E1081" s="61">
        <v>20385000000</v>
      </c>
      <c r="F1081" s="61">
        <v>20289000000</v>
      </c>
      <c r="G1081" s="61">
        <v>10411000000</v>
      </c>
      <c r="H1081" s="61">
        <v>0</v>
      </c>
      <c r="I1081" t="s">
        <v>16</v>
      </c>
      <c r="J1081" t="s">
        <v>394</v>
      </c>
      <c r="K1081" s="61">
        <f t="shared" si="48"/>
        <v>57464000000</v>
      </c>
      <c r="L1081" s="61">
        <f t="shared" si="49"/>
        <v>30700000000</v>
      </c>
      <c r="M1081" s="61">
        <f t="shared" si="50"/>
        <v>26764000000</v>
      </c>
    </row>
    <row r="1082" spans="1:13" x14ac:dyDescent="0.25">
      <c r="A1082" t="s">
        <v>393</v>
      </c>
      <c r="B1082" t="s">
        <v>9</v>
      </c>
      <c r="C1082">
        <v>41820</v>
      </c>
      <c r="D1082" s="61">
        <v>86833000000</v>
      </c>
      <c r="E1082" s="61">
        <v>27078000000</v>
      </c>
      <c r="F1082" s="61">
        <v>20488000000</v>
      </c>
      <c r="G1082" s="61">
        <v>11381000000</v>
      </c>
      <c r="H1082" s="61">
        <v>0</v>
      </c>
      <c r="I1082" t="s">
        <v>16</v>
      </c>
      <c r="J1082" t="s">
        <v>394</v>
      </c>
      <c r="K1082" s="61">
        <f t="shared" si="48"/>
        <v>59755000000</v>
      </c>
      <c r="L1082" s="61">
        <f t="shared" si="49"/>
        <v>31869000000</v>
      </c>
      <c r="M1082" s="61">
        <f t="shared" si="50"/>
        <v>27886000000</v>
      </c>
    </row>
    <row r="1083" spans="1:13" x14ac:dyDescent="0.25">
      <c r="A1083" t="s">
        <v>393</v>
      </c>
      <c r="B1083" t="s">
        <v>10</v>
      </c>
      <c r="C1083">
        <v>42185</v>
      </c>
      <c r="D1083" s="61">
        <v>93580000000</v>
      </c>
      <c r="E1083" s="61">
        <v>33038000000</v>
      </c>
      <c r="F1083" s="61">
        <v>20324000000</v>
      </c>
      <c r="G1083" s="61">
        <v>12046000000</v>
      </c>
      <c r="H1083" s="61">
        <v>0</v>
      </c>
      <c r="I1083" t="s">
        <v>16</v>
      </c>
      <c r="J1083" t="s">
        <v>394</v>
      </c>
      <c r="K1083" s="61">
        <f t="shared" si="48"/>
        <v>60542000000</v>
      </c>
      <c r="L1083" s="61">
        <f t="shared" si="49"/>
        <v>32370000000</v>
      </c>
      <c r="M1083" s="61">
        <f t="shared" si="50"/>
        <v>28172000000</v>
      </c>
    </row>
    <row r="1084" spans="1:13" x14ac:dyDescent="0.25">
      <c r="A1084" t="s">
        <v>393</v>
      </c>
      <c r="B1084" t="s">
        <v>11</v>
      </c>
      <c r="C1084">
        <v>42551</v>
      </c>
      <c r="D1084" s="61">
        <v>85320000000</v>
      </c>
      <c r="E1084" s="61">
        <v>32780000000</v>
      </c>
      <c r="F1084" s="61">
        <v>19260000000</v>
      </c>
      <c r="G1084" s="61">
        <v>11988000000</v>
      </c>
      <c r="H1084" s="61">
        <v>0</v>
      </c>
      <c r="I1084" t="s">
        <v>16</v>
      </c>
      <c r="J1084" t="s">
        <v>394</v>
      </c>
      <c r="K1084" s="61">
        <f t="shared" si="48"/>
        <v>52540000000</v>
      </c>
      <c r="L1084" s="61">
        <f t="shared" si="49"/>
        <v>31248000000</v>
      </c>
      <c r="M1084" s="61">
        <f t="shared" si="50"/>
        <v>21292000000</v>
      </c>
    </row>
    <row r="1085" spans="1:13" x14ac:dyDescent="0.25">
      <c r="A1085" t="s">
        <v>395</v>
      </c>
      <c r="B1085" t="s">
        <v>6</v>
      </c>
      <c r="C1085">
        <v>41274</v>
      </c>
      <c r="D1085" s="61">
        <v>4608955000</v>
      </c>
      <c r="E1085" s="61">
        <v>116586000</v>
      </c>
      <c r="F1085" s="61">
        <v>2448629000</v>
      </c>
      <c r="G1085" s="61">
        <v>0</v>
      </c>
      <c r="H1085" s="61">
        <v>264631000</v>
      </c>
      <c r="I1085" t="s">
        <v>41</v>
      </c>
      <c r="J1085" t="s">
        <v>99</v>
      </c>
      <c r="K1085" s="61">
        <f t="shared" si="48"/>
        <v>4492369000</v>
      </c>
      <c r="L1085" s="61">
        <f t="shared" si="49"/>
        <v>2713260000</v>
      </c>
      <c r="M1085" s="61">
        <f t="shared" si="50"/>
        <v>1779109000</v>
      </c>
    </row>
    <row r="1086" spans="1:13" x14ac:dyDescent="0.25">
      <c r="A1086" t="s">
        <v>395</v>
      </c>
      <c r="B1086" t="s">
        <v>9</v>
      </c>
      <c r="C1086">
        <v>41639</v>
      </c>
      <c r="D1086" s="61">
        <v>4822539000</v>
      </c>
      <c r="E1086" s="61">
        <v>83692000</v>
      </c>
      <c r="F1086" s="61">
        <v>2540954000</v>
      </c>
      <c r="G1086" s="61">
        <v>0</v>
      </c>
      <c r="H1086" s="61">
        <v>231912000</v>
      </c>
      <c r="I1086" t="s">
        <v>41</v>
      </c>
      <c r="J1086" t="s">
        <v>99</v>
      </c>
      <c r="K1086" s="61">
        <f t="shared" si="48"/>
        <v>4738847000</v>
      </c>
      <c r="L1086" s="61">
        <f t="shared" si="49"/>
        <v>2772866000</v>
      </c>
      <c r="M1086" s="61">
        <f t="shared" si="50"/>
        <v>1965981000</v>
      </c>
    </row>
    <row r="1087" spans="1:13" x14ac:dyDescent="0.25">
      <c r="A1087" t="s">
        <v>395</v>
      </c>
      <c r="B1087" t="s">
        <v>10</v>
      </c>
      <c r="C1087">
        <v>42004</v>
      </c>
      <c r="D1087" s="61">
        <v>4736150000</v>
      </c>
      <c r="E1087" s="61">
        <v>63083000</v>
      </c>
      <c r="F1087" s="61">
        <v>2655650000</v>
      </c>
      <c r="G1087" s="61">
        <v>0</v>
      </c>
      <c r="H1087" s="61">
        <v>157824000</v>
      </c>
      <c r="I1087" t="s">
        <v>41</v>
      </c>
      <c r="J1087" t="s">
        <v>99</v>
      </c>
      <c r="K1087" s="61">
        <f t="shared" si="48"/>
        <v>4673067000</v>
      </c>
      <c r="L1087" s="61">
        <f t="shared" si="49"/>
        <v>2813474000</v>
      </c>
      <c r="M1087" s="61">
        <f t="shared" si="50"/>
        <v>1859593000</v>
      </c>
    </row>
    <row r="1088" spans="1:13" x14ac:dyDescent="0.25">
      <c r="A1088" t="s">
        <v>395</v>
      </c>
      <c r="B1088" t="s">
        <v>11</v>
      </c>
      <c r="C1088">
        <v>42369</v>
      </c>
      <c r="D1088" s="61">
        <v>4995881000</v>
      </c>
      <c r="E1088" s="61">
        <v>73814000</v>
      </c>
      <c r="F1088" s="61">
        <v>2796508000</v>
      </c>
      <c r="G1088" s="61">
        <v>0</v>
      </c>
      <c r="H1088" s="61">
        <v>196424000</v>
      </c>
      <c r="I1088" t="s">
        <v>41</v>
      </c>
      <c r="J1088" t="s">
        <v>99</v>
      </c>
      <c r="K1088" s="61">
        <f t="shared" si="48"/>
        <v>4922067000</v>
      </c>
      <c r="L1088" s="61">
        <f t="shared" si="49"/>
        <v>2992932000</v>
      </c>
      <c r="M1088" s="61">
        <f t="shared" si="50"/>
        <v>1929135000</v>
      </c>
    </row>
    <row r="1089" spans="1:13" x14ac:dyDescent="0.25">
      <c r="A1089" t="s">
        <v>396</v>
      </c>
      <c r="B1089" t="s">
        <v>6</v>
      </c>
      <c r="C1089">
        <v>41639</v>
      </c>
      <c r="D1089" s="61">
        <v>2378972000</v>
      </c>
      <c r="E1089" s="61">
        <v>1097041000</v>
      </c>
      <c r="F1089" s="61">
        <v>692693000</v>
      </c>
      <c r="G1089" s="61">
        <v>116346000</v>
      </c>
      <c r="H1089" s="61">
        <v>24539000</v>
      </c>
      <c r="I1089" t="s">
        <v>19</v>
      </c>
      <c r="J1089" t="s">
        <v>312</v>
      </c>
      <c r="K1089" s="61">
        <f t="shared" si="48"/>
        <v>1281931000</v>
      </c>
      <c r="L1089" s="61">
        <f t="shared" si="49"/>
        <v>833578000</v>
      </c>
      <c r="M1089" s="61">
        <f t="shared" si="50"/>
        <v>448353000</v>
      </c>
    </row>
    <row r="1090" spans="1:13" x14ac:dyDescent="0.25">
      <c r="A1090" t="s">
        <v>396</v>
      </c>
      <c r="B1090" t="s">
        <v>9</v>
      </c>
      <c r="C1090">
        <v>42004</v>
      </c>
      <c r="D1090" s="61">
        <v>2485983000</v>
      </c>
      <c r="E1090" s="61">
        <v>1127233000</v>
      </c>
      <c r="F1090" s="61">
        <v>728582000</v>
      </c>
      <c r="G1090" s="61">
        <v>123297000</v>
      </c>
      <c r="H1090" s="61">
        <v>29185000</v>
      </c>
      <c r="I1090" t="s">
        <v>19</v>
      </c>
      <c r="J1090" t="s">
        <v>312</v>
      </c>
      <c r="K1090" s="61">
        <f t="shared" ref="K1090:K1153" si="51">D1090-E1090</f>
        <v>1358750000</v>
      </c>
      <c r="L1090" s="61">
        <f t="shared" ref="L1090:L1153" si="52">F1090+G1090+H1090</f>
        <v>881064000</v>
      </c>
      <c r="M1090" s="61">
        <f t="shared" si="50"/>
        <v>477686000</v>
      </c>
    </row>
    <row r="1091" spans="1:13" x14ac:dyDescent="0.25">
      <c r="A1091" t="s">
        <v>396</v>
      </c>
      <c r="B1091" t="s">
        <v>10</v>
      </c>
      <c r="C1091">
        <v>42369</v>
      </c>
      <c r="D1091" s="61">
        <v>2395447000</v>
      </c>
      <c r="E1091" s="61">
        <v>1043454000</v>
      </c>
      <c r="F1091" s="61">
        <v>700810000</v>
      </c>
      <c r="G1091" s="61">
        <v>119076000</v>
      </c>
      <c r="H1091" s="61">
        <v>30951000</v>
      </c>
      <c r="I1091" t="s">
        <v>19</v>
      </c>
      <c r="J1091" t="s">
        <v>312</v>
      </c>
      <c r="K1091" s="61">
        <f t="shared" si="51"/>
        <v>1351993000</v>
      </c>
      <c r="L1091" s="61">
        <f t="shared" si="52"/>
        <v>850837000</v>
      </c>
      <c r="M1091" s="61">
        <f t="shared" ref="M1091:M1154" si="53">K1091-L1091</f>
        <v>501156000</v>
      </c>
    </row>
    <row r="1092" spans="1:13" x14ac:dyDescent="0.25">
      <c r="A1092" t="s">
        <v>396</v>
      </c>
      <c r="B1092" t="s">
        <v>11</v>
      </c>
      <c r="C1092">
        <v>42735</v>
      </c>
      <c r="D1092" s="61">
        <v>2508257000</v>
      </c>
      <c r="E1092" s="61">
        <v>1072670000</v>
      </c>
      <c r="F1092" s="61">
        <v>732622000</v>
      </c>
      <c r="G1092" s="61">
        <v>119968000</v>
      </c>
      <c r="H1092" s="61">
        <v>36052000</v>
      </c>
      <c r="I1092" t="s">
        <v>19</v>
      </c>
      <c r="J1092" t="s">
        <v>312</v>
      </c>
      <c r="K1092" s="61">
        <f t="shared" si="51"/>
        <v>1435587000</v>
      </c>
      <c r="L1092" s="61">
        <f t="shared" si="52"/>
        <v>888642000</v>
      </c>
      <c r="M1092" s="61">
        <f t="shared" si="53"/>
        <v>546945000</v>
      </c>
    </row>
    <row r="1093" spans="1:13" x14ac:dyDescent="0.25">
      <c r="A1093" t="s">
        <v>397</v>
      </c>
      <c r="B1093" t="s">
        <v>6</v>
      </c>
      <c r="C1093">
        <v>41515</v>
      </c>
      <c r="D1093" s="61">
        <v>9073000000</v>
      </c>
      <c r="E1093" s="61">
        <v>7226000000</v>
      </c>
      <c r="F1093" s="61">
        <v>554000000</v>
      </c>
      <c r="G1093" s="61">
        <v>931000000</v>
      </c>
      <c r="H1093" s="61">
        <v>0</v>
      </c>
      <c r="I1093" t="s">
        <v>16</v>
      </c>
      <c r="J1093" t="s">
        <v>28</v>
      </c>
      <c r="K1093" s="61">
        <f t="shared" si="51"/>
        <v>1847000000</v>
      </c>
      <c r="L1093" s="61">
        <f t="shared" si="52"/>
        <v>1485000000</v>
      </c>
      <c r="M1093" s="61">
        <f t="shared" si="53"/>
        <v>362000000</v>
      </c>
    </row>
    <row r="1094" spans="1:13" x14ac:dyDescent="0.25">
      <c r="A1094" t="s">
        <v>397</v>
      </c>
      <c r="B1094" t="s">
        <v>9</v>
      </c>
      <c r="C1094">
        <v>41879</v>
      </c>
      <c r="D1094" s="61">
        <v>16358000000</v>
      </c>
      <c r="E1094" s="61">
        <v>10921000000</v>
      </c>
      <c r="F1094" s="61">
        <v>939000000</v>
      </c>
      <c r="G1094" s="61">
        <v>1371000000</v>
      </c>
      <c r="H1094" s="61">
        <v>0</v>
      </c>
      <c r="I1094" t="s">
        <v>16</v>
      </c>
      <c r="J1094" t="s">
        <v>28</v>
      </c>
      <c r="K1094" s="61">
        <f t="shared" si="51"/>
        <v>5437000000</v>
      </c>
      <c r="L1094" s="61">
        <f t="shared" si="52"/>
        <v>2310000000</v>
      </c>
      <c r="M1094" s="61">
        <f t="shared" si="53"/>
        <v>3127000000</v>
      </c>
    </row>
    <row r="1095" spans="1:13" x14ac:dyDescent="0.25">
      <c r="A1095" t="s">
        <v>397</v>
      </c>
      <c r="B1095" t="s">
        <v>10</v>
      </c>
      <c r="C1095">
        <v>42250</v>
      </c>
      <c r="D1095" s="61">
        <v>16192000000</v>
      </c>
      <c r="E1095" s="61">
        <v>10977000000</v>
      </c>
      <c r="F1095" s="61">
        <v>674000000</v>
      </c>
      <c r="G1095" s="61">
        <v>1540000000</v>
      </c>
      <c r="H1095" s="61">
        <v>0</v>
      </c>
      <c r="I1095" t="s">
        <v>16</v>
      </c>
      <c r="J1095" t="s">
        <v>28</v>
      </c>
      <c r="K1095" s="61">
        <f t="shared" si="51"/>
        <v>5215000000</v>
      </c>
      <c r="L1095" s="61">
        <f t="shared" si="52"/>
        <v>2214000000</v>
      </c>
      <c r="M1095" s="61">
        <f t="shared" si="53"/>
        <v>3001000000</v>
      </c>
    </row>
    <row r="1096" spans="1:13" x14ac:dyDescent="0.25">
      <c r="A1096" t="s">
        <v>397</v>
      </c>
      <c r="B1096" t="s">
        <v>11</v>
      </c>
      <c r="C1096">
        <v>42614</v>
      </c>
      <c r="D1096" s="61">
        <v>12399000000</v>
      </c>
      <c r="E1096" s="61">
        <v>9894000000</v>
      </c>
      <c r="F1096" s="61">
        <v>653000000</v>
      </c>
      <c r="G1096" s="61">
        <v>1617000000</v>
      </c>
      <c r="H1096" s="61">
        <v>0</v>
      </c>
      <c r="I1096" t="s">
        <v>16</v>
      </c>
      <c r="J1096" t="s">
        <v>28</v>
      </c>
      <c r="K1096" s="61">
        <f t="shared" si="51"/>
        <v>2505000000</v>
      </c>
      <c r="L1096" s="61">
        <f t="shared" si="52"/>
        <v>2270000000</v>
      </c>
      <c r="M1096" s="61">
        <f t="shared" si="53"/>
        <v>235000000</v>
      </c>
    </row>
    <row r="1097" spans="1:13" x14ac:dyDescent="0.25">
      <c r="A1097" t="s">
        <v>398</v>
      </c>
      <c r="B1097" t="s">
        <v>6</v>
      </c>
      <c r="C1097">
        <v>41274</v>
      </c>
      <c r="D1097" s="61">
        <v>4608563000</v>
      </c>
      <c r="E1097" s="61">
        <v>1079136000</v>
      </c>
      <c r="F1097" s="61">
        <v>285144000</v>
      </c>
      <c r="G1097" s="61">
        <v>0</v>
      </c>
      <c r="H1097" s="61">
        <v>1291456000</v>
      </c>
      <c r="I1097" t="s">
        <v>77</v>
      </c>
      <c r="J1097" t="s">
        <v>138</v>
      </c>
      <c r="K1097" s="61">
        <f t="shared" si="51"/>
        <v>3529427000</v>
      </c>
      <c r="L1097" s="61">
        <f t="shared" si="52"/>
        <v>1576600000</v>
      </c>
      <c r="M1097" s="61">
        <f t="shared" si="53"/>
        <v>1952827000</v>
      </c>
    </row>
    <row r="1098" spans="1:13" x14ac:dyDescent="0.25">
      <c r="A1098" t="s">
        <v>398</v>
      </c>
      <c r="B1098" t="s">
        <v>9</v>
      </c>
      <c r="C1098">
        <v>41639</v>
      </c>
      <c r="D1098" s="61">
        <v>5312686000</v>
      </c>
      <c r="E1098" s="61">
        <v>1252812000</v>
      </c>
      <c r="F1098" s="61">
        <v>466498000</v>
      </c>
      <c r="G1098" s="61">
        <v>0</v>
      </c>
      <c r="H1098" s="61">
        <v>1602390000</v>
      </c>
      <c r="I1098" t="s">
        <v>77</v>
      </c>
      <c r="J1098" t="s">
        <v>138</v>
      </c>
      <c r="K1098" s="61">
        <f t="shared" si="51"/>
        <v>4059874000</v>
      </c>
      <c r="L1098" s="61">
        <f t="shared" si="52"/>
        <v>2068888000</v>
      </c>
      <c r="M1098" s="61">
        <f t="shared" si="53"/>
        <v>1990986000</v>
      </c>
    </row>
    <row r="1099" spans="1:13" x14ac:dyDescent="0.25">
      <c r="A1099" t="s">
        <v>398</v>
      </c>
      <c r="B1099" t="s">
        <v>10</v>
      </c>
      <c r="C1099">
        <v>42004</v>
      </c>
      <c r="D1099" s="61">
        <v>5288933000</v>
      </c>
      <c r="E1099" s="61">
        <v>1089888000</v>
      </c>
      <c r="F1099" s="61">
        <v>471219000</v>
      </c>
      <c r="G1099" s="61">
        <v>0</v>
      </c>
      <c r="H1099" s="61">
        <v>1957025000</v>
      </c>
      <c r="I1099" t="s">
        <v>77</v>
      </c>
      <c r="J1099" t="s">
        <v>138</v>
      </c>
      <c r="K1099" s="61">
        <f t="shared" si="51"/>
        <v>4199045000</v>
      </c>
      <c r="L1099" s="61">
        <f t="shared" si="52"/>
        <v>2428244000</v>
      </c>
      <c r="M1099" s="61">
        <f t="shared" si="53"/>
        <v>1770801000</v>
      </c>
    </row>
    <row r="1100" spans="1:13" x14ac:dyDescent="0.25">
      <c r="A1100" t="s">
        <v>398</v>
      </c>
      <c r="B1100" t="s">
        <v>11</v>
      </c>
      <c r="C1100">
        <v>42369</v>
      </c>
      <c r="D1100" s="61">
        <v>2787116000</v>
      </c>
      <c r="E1100" s="61">
        <v>832306000</v>
      </c>
      <c r="F1100" s="61">
        <v>372457000</v>
      </c>
      <c r="G1100" s="61">
        <v>0</v>
      </c>
      <c r="H1100" s="61">
        <v>1668489000</v>
      </c>
      <c r="I1100" t="s">
        <v>77</v>
      </c>
      <c r="J1100" t="s">
        <v>138</v>
      </c>
      <c r="K1100" s="61">
        <f t="shared" si="51"/>
        <v>1954810000</v>
      </c>
      <c r="L1100" s="61">
        <f t="shared" si="52"/>
        <v>2040946000</v>
      </c>
      <c r="M1100" s="61">
        <f t="shared" si="53"/>
        <v>-86136000</v>
      </c>
    </row>
    <row r="1101" spans="1:13" x14ac:dyDescent="0.25">
      <c r="A1101" t="s">
        <v>399</v>
      </c>
      <c r="B1101" t="s">
        <v>6</v>
      </c>
      <c r="C1101">
        <v>42004</v>
      </c>
      <c r="D1101" s="61">
        <v>7719600000</v>
      </c>
      <c r="E1101" s="61">
        <v>4191600000</v>
      </c>
      <c r="F1101" s="61">
        <v>1545700000</v>
      </c>
      <c r="G1101" s="61">
        <v>581800000</v>
      </c>
      <c r="H1101" s="61">
        <v>0</v>
      </c>
      <c r="I1101" t="s">
        <v>19</v>
      </c>
      <c r="J1101" t="s">
        <v>20</v>
      </c>
      <c r="K1101" s="61">
        <f t="shared" si="51"/>
        <v>3528000000</v>
      </c>
      <c r="L1101" s="61">
        <f t="shared" si="52"/>
        <v>2127500000</v>
      </c>
      <c r="M1101" s="61">
        <f t="shared" si="53"/>
        <v>1400500000</v>
      </c>
    </row>
    <row r="1102" spans="1:13" x14ac:dyDescent="0.25">
      <c r="A1102" t="s">
        <v>399</v>
      </c>
      <c r="B1102" t="s">
        <v>9</v>
      </c>
      <c r="C1102">
        <v>42369</v>
      </c>
      <c r="D1102" s="61">
        <v>9429300000</v>
      </c>
      <c r="E1102" s="61">
        <v>5213200000</v>
      </c>
      <c r="F1102" s="61">
        <v>2180700000</v>
      </c>
      <c r="G1102" s="61">
        <v>671900000</v>
      </c>
      <c r="H1102" s="61">
        <v>0</v>
      </c>
      <c r="I1102" t="s">
        <v>19</v>
      </c>
      <c r="J1102" t="s">
        <v>20</v>
      </c>
      <c r="K1102" s="61">
        <f t="shared" si="51"/>
        <v>4216100000</v>
      </c>
      <c r="L1102" s="61">
        <f t="shared" si="52"/>
        <v>2852600000</v>
      </c>
      <c r="M1102" s="61">
        <f t="shared" si="53"/>
        <v>1363500000</v>
      </c>
    </row>
    <row r="1103" spans="1:13" x14ac:dyDescent="0.25">
      <c r="A1103" t="s">
        <v>400</v>
      </c>
      <c r="B1103" t="s">
        <v>6</v>
      </c>
      <c r="C1103">
        <v>41639</v>
      </c>
      <c r="D1103" s="61">
        <v>5015000000</v>
      </c>
      <c r="E1103" s="61">
        <v>844000000</v>
      </c>
      <c r="F1103" s="61">
        <v>446000000</v>
      </c>
      <c r="G1103" s="61">
        <v>0</v>
      </c>
      <c r="H1103" s="61">
        <v>1568000000</v>
      </c>
      <c r="I1103" t="s">
        <v>77</v>
      </c>
      <c r="J1103" t="s">
        <v>78</v>
      </c>
      <c r="K1103" s="61">
        <f t="shared" si="51"/>
        <v>4171000000</v>
      </c>
      <c r="L1103" s="61">
        <f t="shared" si="52"/>
        <v>2014000000</v>
      </c>
      <c r="M1103" s="61">
        <f t="shared" si="53"/>
        <v>2157000000</v>
      </c>
    </row>
    <row r="1104" spans="1:13" x14ac:dyDescent="0.25">
      <c r="A1104" t="s">
        <v>400</v>
      </c>
      <c r="B1104" t="s">
        <v>9</v>
      </c>
      <c r="C1104">
        <v>42004</v>
      </c>
      <c r="D1104" s="61">
        <v>5115000000</v>
      </c>
      <c r="E1104" s="61">
        <v>945000000</v>
      </c>
      <c r="F1104" s="61">
        <v>495000000</v>
      </c>
      <c r="G1104" s="61">
        <v>0</v>
      </c>
      <c r="H1104" s="61">
        <v>1759000000</v>
      </c>
      <c r="I1104" t="s">
        <v>77</v>
      </c>
      <c r="J1104" t="s">
        <v>78</v>
      </c>
      <c r="K1104" s="61">
        <f t="shared" si="51"/>
        <v>4170000000</v>
      </c>
      <c r="L1104" s="61">
        <f t="shared" si="52"/>
        <v>2254000000</v>
      </c>
      <c r="M1104" s="61">
        <f t="shared" si="53"/>
        <v>1916000000</v>
      </c>
    </row>
    <row r="1105" spans="1:13" x14ac:dyDescent="0.25">
      <c r="A1105" t="s">
        <v>400</v>
      </c>
      <c r="B1105" t="s">
        <v>10</v>
      </c>
      <c r="C1105">
        <v>42369</v>
      </c>
      <c r="D1105" s="61">
        <v>3183000000</v>
      </c>
      <c r="E1105" s="61">
        <v>979000000</v>
      </c>
      <c r="F1105" s="61">
        <v>745000000</v>
      </c>
      <c r="G1105" s="61">
        <v>0</v>
      </c>
      <c r="H1105" s="61">
        <v>2131000000</v>
      </c>
      <c r="I1105" t="s">
        <v>77</v>
      </c>
      <c r="J1105" t="s">
        <v>78</v>
      </c>
      <c r="K1105" s="61">
        <f t="shared" si="51"/>
        <v>2204000000</v>
      </c>
      <c r="L1105" s="61">
        <f t="shared" si="52"/>
        <v>2876000000</v>
      </c>
      <c r="M1105" s="61">
        <f t="shared" si="53"/>
        <v>-672000000</v>
      </c>
    </row>
    <row r="1106" spans="1:13" x14ac:dyDescent="0.25">
      <c r="A1106" t="s">
        <v>400</v>
      </c>
      <c r="B1106" t="s">
        <v>11</v>
      </c>
      <c r="C1106">
        <v>42735</v>
      </c>
      <c r="D1106" s="61">
        <v>3491000000</v>
      </c>
      <c r="E1106" s="61">
        <v>1083000000</v>
      </c>
      <c r="F1106" s="61">
        <v>233000000</v>
      </c>
      <c r="G1106" s="61">
        <v>0</v>
      </c>
      <c r="H1106" s="61">
        <v>2454000000</v>
      </c>
      <c r="I1106" t="s">
        <v>77</v>
      </c>
      <c r="J1106" t="s">
        <v>78</v>
      </c>
      <c r="K1106" s="61">
        <f t="shared" si="51"/>
        <v>2408000000</v>
      </c>
      <c r="L1106" s="61">
        <f t="shared" si="52"/>
        <v>2687000000</v>
      </c>
      <c r="M1106" s="61">
        <f t="shared" si="53"/>
        <v>-279000000</v>
      </c>
    </row>
    <row r="1107" spans="1:13" x14ac:dyDescent="0.25">
      <c r="A1107" t="s">
        <v>401</v>
      </c>
      <c r="B1107" t="s">
        <v>6</v>
      </c>
      <c r="C1107">
        <v>41274</v>
      </c>
      <c r="D1107" s="61">
        <v>3023000000</v>
      </c>
      <c r="E1107" s="61">
        <v>1446000000</v>
      </c>
      <c r="F1107" s="61">
        <v>832000000</v>
      </c>
      <c r="G1107" s="61">
        <v>0</v>
      </c>
      <c r="H1107" s="61">
        <v>104000000</v>
      </c>
      <c r="I1107" t="s">
        <v>41</v>
      </c>
      <c r="J1107" t="s">
        <v>373</v>
      </c>
      <c r="K1107" s="61">
        <f t="shared" si="51"/>
        <v>1577000000</v>
      </c>
      <c r="L1107" s="61">
        <f t="shared" si="52"/>
        <v>936000000</v>
      </c>
      <c r="M1107" s="61">
        <f t="shared" si="53"/>
        <v>641000000</v>
      </c>
    </row>
    <row r="1108" spans="1:13" x14ac:dyDescent="0.25">
      <c r="A1108" t="s">
        <v>401</v>
      </c>
      <c r="B1108" t="s">
        <v>9</v>
      </c>
      <c r="C1108">
        <v>41639</v>
      </c>
      <c r="D1108" s="61">
        <v>3100000000</v>
      </c>
      <c r="E1108" s="61">
        <v>1316000000</v>
      </c>
      <c r="F1108" s="61">
        <v>1054000000</v>
      </c>
      <c r="G1108" s="61">
        <v>0</v>
      </c>
      <c r="H1108" s="61">
        <v>122000000</v>
      </c>
      <c r="I1108" t="s">
        <v>41</v>
      </c>
      <c r="J1108" t="s">
        <v>373</v>
      </c>
      <c r="K1108" s="61">
        <f t="shared" si="51"/>
        <v>1784000000</v>
      </c>
      <c r="L1108" s="61">
        <f t="shared" si="52"/>
        <v>1176000000</v>
      </c>
      <c r="M1108" s="61">
        <f t="shared" si="53"/>
        <v>608000000</v>
      </c>
    </row>
    <row r="1109" spans="1:13" x14ac:dyDescent="0.25">
      <c r="A1109" t="s">
        <v>401</v>
      </c>
      <c r="B1109" t="s">
        <v>10</v>
      </c>
      <c r="C1109">
        <v>42004</v>
      </c>
      <c r="D1109" s="61">
        <v>3383000000</v>
      </c>
      <c r="E1109" s="61">
        <v>1433000000</v>
      </c>
      <c r="F1109" s="61">
        <v>1095000000</v>
      </c>
      <c r="G1109" s="61">
        <v>0</v>
      </c>
      <c r="H1109" s="61">
        <v>137000000</v>
      </c>
      <c r="I1109" t="s">
        <v>41</v>
      </c>
      <c r="J1109" t="s">
        <v>373</v>
      </c>
      <c r="K1109" s="61">
        <f t="shared" si="51"/>
        <v>1950000000</v>
      </c>
      <c r="L1109" s="61">
        <f t="shared" si="52"/>
        <v>1232000000</v>
      </c>
      <c r="M1109" s="61">
        <f t="shared" si="53"/>
        <v>718000000</v>
      </c>
    </row>
    <row r="1110" spans="1:13" x14ac:dyDescent="0.25">
      <c r="A1110" t="s">
        <v>401</v>
      </c>
      <c r="B1110" t="s">
        <v>11</v>
      </c>
      <c r="C1110">
        <v>42369</v>
      </c>
      <c r="D1110" s="61">
        <v>3292000000</v>
      </c>
      <c r="E1110" s="61">
        <v>1313000000</v>
      </c>
      <c r="F1110" s="61">
        <v>1050000000</v>
      </c>
      <c r="G1110" s="61">
        <v>0</v>
      </c>
      <c r="H1110" s="61">
        <v>138000000</v>
      </c>
      <c r="I1110" t="s">
        <v>41</v>
      </c>
      <c r="J1110" t="s">
        <v>373</v>
      </c>
      <c r="K1110" s="61">
        <f t="shared" si="51"/>
        <v>1979000000</v>
      </c>
      <c r="L1110" s="61">
        <f t="shared" si="52"/>
        <v>1188000000</v>
      </c>
      <c r="M1110" s="61">
        <f t="shared" si="53"/>
        <v>791000000</v>
      </c>
    </row>
    <row r="1111" spans="1:13" x14ac:dyDescent="0.25">
      <c r="A1111" t="s">
        <v>402</v>
      </c>
      <c r="B1111" t="s">
        <v>6</v>
      </c>
      <c r="C1111">
        <v>41274</v>
      </c>
      <c r="D1111" s="61">
        <v>14256000000</v>
      </c>
      <c r="E1111" s="61">
        <v>8276000000</v>
      </c>
      <c r="F1111" s="61">
        <v>1186000000</v>
      </c>
      <c r="G1111" s="61">
        <v>0</v>
      </c>
      <c r="H1111" s="61">
        <v>1518000000</v>
      </c>
      <c r="I1111" t="s">
        <v>36</v>
      </c>
      <c r="J1111" t="s">
        <v>37</v>
      </c>
      <c r="K1111" s="61">
        <f t="shared" si="51"/>
        <v>5980000000</v>
      </c>
      <c r="L1111" s="61">
        <f t="shared" si="52"/>
        <v>2704000000</v>
      </c>
      <c r="M1111" s="61">
        <f t="shared" si="53"/>
        <v>3276000000</v>
      </c>
    </row>
    <row r="1112" spans="1:13" x14ac:dyDescent="0.25">
      <c r="A1112" t="s">
        <v>402</v>
      </c>
      <c r="B1112" t="s">
        <v>9</v>
      </c>
      <c r="C1112">
        <v>41639</v>
      </c>
      <c r="D1112" s="61">
        <v>15136000000</v>
      </c>
      <c r="E1112" s="61">
        <v>8152000000</v>
      </c>
      <c r="F1112" s="61">
        <v>1280000000</v>
      </c>
      <c r="G1112" s="61">
        <v>0</v>
      </c>
      <c r="H1112" s="61">
        <v>2163000000</v>
      </c>
      <c r="I1112" t="s">
        <v>36</v>
      </c>
      <c r="J1112" t="s">
        <v>37</v>
      </c>
      <c r="K1112" s="61">
        <f t="shared" si="51"/>
        <v>6984000000</v>
      </c>
      <c r="L1112" s="61">
        <f t="shared" si="52"/>
        <v>3443000000</v>
      </c>
      <c r="M1112" s="61">
        <f t="shared" si="53"/>
        <v>3541000000</v>
      </c>
    </row>
    <row r="1113" spans="1:13" x14ac:dyDescent="0.25">
      <c r="A1113" t="s">
        <v>402</v>
      </c>
      <c r="B1113" t="s">
        <v>10</v>
      </c>
      <c r="C1113">
        <v>42004</v>
      </c>
      <c r="D1113" s="61">
        <v>17021000000</v>
      </c>
      <c r="E1113" s="61">
        <v>8751000000</v>
      </c>
      <c r="F1113" s="61">
        <v>1324000000</v>
      </c>
      <c r="G1113" s="61">
        <v>0</v>
      </c>
      <c r="H1113" s="61">
        <v>2551000000</v>
      </c>
      <c r="I1113" t="s">
        <v>36</v>
      </c>
      <c r="J1113" t="s">
        <v>37</v>
      </c>
      <c r="K1113" s="61">
        <f t="shared" si="51"/>
        <v>8270000000</v>
      </c>
      <c r="L1113" s="61">
        <f t="shared" si="52"/>
        <v>3875000000</v>
      </c>
      <c r="M1113" s="61">
        <f t="shared" si="53"/>
        <v>4395000000</v>
      </c>
    </row>
    <row r="1114" spans="1:13" x14ac:dyDescent="0.25">
      <c r="A1114" t="s">
        <v>402</v>
      </c>
      <c r="B1114" t="s">
        <v>11</v>
      </c>
      <c r="C1114">
        <v>42369</v>
      </c>
      <c r="D1114" s="61">
        <v>17486000000</v>
      </c>
      <c r="E1114" s="61">
        <v>8596000000</v>
      </c>
      <c r="F1114" s="61">
        <v>1399000000</v>
      </c>
      <c r="G1114" s="61">
        <v>0</v>
      </c>
      <c r="H1114" s="61">
        <v>2831000000</v>
      </c>
      <c r="I1114" t="s">
        <v>36</v>
      </c>
      <c r="J1114" t="s">
        <v>37</v>
      </c>
      <c r="K1114" s="61">
        <f t="shared" si="51"/>
        <v>8890000000</v>
      </c>
      <c r="L1114" s="61">
        <f t="shared" si="52"/>
        <v>4230000000</v>
      </c>
      <c r="M1114" s="61">
        <f t="shared" si="53"/>
        <v>4660000000</v>
      </c>
    </row>
    <row r="1115" spans="1:13" x14ac:dyDescent="0.25">
      <c r="A1115" t="s">
        <v>403</v>
      </c>
      <c r="B1115" t="s">
        <v>6</v>
      </c>
      <c r="C1115">
        <v>41274</v>
      </c>
      <c r="D1115" s="61">
        <v>9964000000</v>
      </c>
      <c r="E1115" s="61">
        <v>4334000000</v>
      </c>
      <c r="F1115" s="61">
        <v>757000000</v>
      </c>
      <c r="G1115" s="61">
        <v>704000000</v>
      </c>
      <c r="H1115" s="61">
        <v>1032000000</v>
      </c>
      <c r="I1115" t="s">
        <v>53</v>
      </c>
      <c r="J1115" t="s">
        <v>404</v>
      </c>
      <c r="K1115" s="61">
        <f t="shared" si="51"/>
        <v>5630000000</v>
      </c>
      <c r="L1115" s="61">
        <f t="shared" si="52"/>
        <v>2493000000</v>
      </c>
      <c r="M1115" s="61">
        <f t="shared" si="53"/>
        <v>3137000000</v>
      </c>
    </row>
    <row r="1116" spans="1:13" x14ac:dyDescent="0.25">
      <c r="A1116" t="s">
        <v>403</v>
      </c>
      <c r="B1116" t="s">
        <v>9</v>
      </c>
      <c r="C1116">
        <v>41639</v>
      </c>
      <c r="D1116" s="61">
        <v>8414000000</v>
      </c>
      <c r="E1116" s="61">
        <v>5299000000</v>
      </c>
      <c r="F1116" s="61">
        <v>584000000</v>
      </c>
      <c r="G1116" s="61">
        <v>469000000</v>
      </c>
      <c r="H1116" s="61">
        <v>1362000000</v>
      </c>
      <c r="I1116" t="s">
        <v>53</v>
      </c>
      <c r="J1116" t="s">
        <v>404</v>
      </c>
      <c r="K1116" s="61">
        <f t="shared" si="51"/>
        <v>3115000000</v>
      </c>
      <c r="L1116" s="61">
        <f t="shared" si="52"/>
        <v>2415000000</v>
      </c>
      <c r="M1116" s="61">
        <f t="shared" si="53"/>
        <v>700000000</v>
      </c>
    </row>
    <row r="1117" spans="1:13" x14ac:dyDescent="0.25">
      <c r="A1117" t="s">
        <v>403</v>
      </c>
      <c r="B1117" t="s">
        <v>10</v>
      </c>
      <c r="C1117">
        <v>42004</v>
      </c>
      <c r="D1117" s="61">
        <v>7292000000</v>
      </c>
      <c r="E1117" s="61">
        <v>4457000000</v>
      </c>
      <c r="F1117" s="61">
        <v>545000000</v>
      </c>
      <c r="G1117" s="61">
        <v>325000000</v>
      </c>
      <c r="H1117" s="61">
        <v>1229000000</v>
      </c>
      <c r="I1117" t="s">
        <v>53</v>
      </c>
      <c r="J1117" t="s">
        <v>404</v>
      </c>
      <c r="K1117" s="61">
        <f t="shared" si="51"/>
        <v>2835000000</v>
      </c>
      <c r="L1117" s="61">
        <f t="shared" si="52"/>
        <v>2099000000</v>
      </c>
      <c r="M1117" s="61">
        <f t="shared" si="53"/>
        <v>736000000</v>
      </c>
    </row>
    <row r="1118" spans="1:13" x14ac:dyDescent="0.25">
      <c r="A1118" t="s">
        <v>403</v>
      </c>
      <c r="B1118" t="s">
        <v>11</v>
      </c>
      <c r="C1118">
        <v>42369</v>
      </c>
      <c r="D1118" s="61">
        <v>7729000000</v>
      </c>
      <c r="E1118" s="61">
        <v>4312000000</v>
      </c>
      <c r="F1118" s="61">
        <v>670000000</v>
      </c>
      <c r="G1118" s="61">
        <v>289000000</v>
      </c>
      <c r="H1118" s="61">
        <v>1239000000</v>
      </c>
      <c r="I1118" t="s">
        <v>53</v>
      </c>
      <c r="J1118" t="s">
        <v>404</v>
      </c>
      <c r="K1118" s="61">
        <f t="shared" si="51"/>
        <v>3417000000</v>
      </c>
      <c r="L1118" s="61">
        <f t="shared" si="52"/>
        <v>2198000000</v>
      </c>
      <c r="M1118" s="61">
        <f t="shared" si="53"/>
        <v>1219000000</v>
      </c>
    </row>
    <row r="1119" spans="1:13" x14ac:dyDescent="0.25">
      <c r="A1119" t="s">
        <v>405</v>
      </c>
      <c r="B1119" t="s">
        <v>6</v>
      </c>
      <c r="C1119">
        <v>41639</v>
      </c>
      <c r="D1119" s="61">
        <v>4374562000</v>
      </c>
      <c r="E1119" s="61">
        <v>3117203000</v>
      </c>
      <c r="F1119" s="61">
        <v>650243000</v>
      </c>
      <c r="G1119" s="61">
        <v>378769000</v>
      </c>
      <c r="H1119" s="61">
        <v>0</v>
      </c>
      <c r="I1119" t="s">
        <v>16</v>
      </c>
      <c r="J1119" t="s">
        <v>51</v>
      </c>
      <c r="K1119" s="61">
        <f t="shared" si="51"/>
        <v>1257359000</v>
      </c>
      <c r="L1119" s="61">
        <f t="shared" si="52"/>
        <v>1029012000</v>
      </c>
      <c r="M1119" s="61">
        <f t="shared" si="53"/>
        <v>228347000</v>
      </c>
    </row>
    <row r="1120" spans="1:13" x14ac:dyDescent="0.25">
      <c r="A1120" t="s">
        <v>405</v>
      </c>
      <c r="B1120" t="s">
        <v>9</v>
      </c>
      <c r="C1120">
        <v>42004</v>
      </c>
      <c r="D1120" s="61">
        <v>5504656000</v>
      </c>
      <c r="E1120" s="61">
        <v>3752760000</v>
      </c>
      <c r="F1120" s="61">
        <v>876927000</v>
      </c>
      <c r="G1120" s="61">
        <v>472321000</v>
      </c>
      <c r="H1120" s="61">
        <v>0</v>
      </c>
      <c r="I1120" t="s">
        <v>16</v>
      </c>
      <c r="J1120" t="s">
        <v>51</v>
      </c>
      <c r="K1120" s="61">
        <f t="shared" si="51"/>
        <v>1751896000</v>
      </c>
      <c r="L1120" s="61">
        <f t="shared" si="52"/>
        <v>1349248000</v>
      </c>
      <c r="M1120" s="61">
        <f t="shared" si="53"/>
        <v>402648000</v>
      </c>
    </row>
    <row r="1121" spans="1:13" x14ac:dyDescent="0.25">
      <c r="A1121" t="s">
        <v>405</v>
      </c>
      <c r="B1121" t="s">
        <v>10</v>
      </c>
      <c r="C1121">
        <v>42369</v>
      </c>
      <c r="D1121" s="61">
        <v>6779511000</v>
      </c>
      <c r="E1121" s="61">
        <v>4591476000</v>
      </c>
      <c r="F1121" s="61">
        <v>1231421000</v>
      </c>
      <c r="G1121" s="61">
        <v>650788000</v>
      </c>
      <c r="H1121" s="61">
        <v>0</v>
      </c>
      <c r="I1121" t="s">
        <v>16</v>
      </c>
      <c r="J1121" t="s">
        <v>51</v>
      </c>
      <c r="K1121" s="61">
        <f t="shared" si="51"/>
        <v>2188035000</v>
      </c>
      <c r="L1121" s="61">
        <f t="shared" si="52"/>
        <v>1882209000</v>
      </c>
      <c r="M1121" s="61">
        <f t="shared" si="53"/>
        <v>305826000</v>
      </c>
    </row>
    <row r="1122" spans="1:13" x14ac:dyDescent="0.25">
      <c r="A1122" t="s">
        <v>405</v>
      </c>
      <c r="B1122" t="s">
        <v>11</v>
      </c>
      <c r="C1122">
        <v>42735</v>
      </c>
      <c r="D1122" s="61">
        <v>8830669000</v>
      </c>
      <c r="E1122" s="61">
        <v>6029901000</v>
      </c>
      <c r="F1122" s="61">
        <v>1568877000</v>
      </c>
      <c r="G1122" s="61">
        <v>852098000</v>
      </c>
      <c r="H1122" s="61">
        <v>0</v>
      </c>
      <c r="I1122" t="s">
        <v>16</v>
      </c>
      <c r="J1122" t="s">
        <v>51</v>
      </c>
      <c r="K1122" s="61">
        <f t="shared" si="51"/>
        <v>2800768000</v>
      </c>
      <c r="L1122" s="61">
        <f t="shared" si="52"/>
        <v>2420975000</v>
      </c>
      <c r="M1122" s="61">
        <f t="shared" si="53"/>
        <v>379793000</v>
      </c>
    </row>
    <row r="1123" spans="1:13" x14ac:dyDescent="0.25">
      <c r="A1123" t="s">
        <v>406</v>
      </c>
      <c r="B1123" t="s">
        <v>6</v>
      </c>
      <c r="C1123">
        <v>41274</v>
      </c>
      <c r="D1123" s="61">
        <v>1562000000</v>
      </c>
      <c r="E1123" s="61">
        <v>413000000</v>
      </c>
      <c r="F1123" s="61">
        <v>311000000</v>
      </c>
      <c r="G1123" s="61">
        <v>0</v>
      </c>
      <c r="H1123" s="61">
        <v>704000000</v>
      </c>
      <c r="I1123" t="s">
        <v>77</v>
      </c>
      <c r="J1123" t="s">
        <v>78</v>
      </c>
      <c r="K1123" s="61">
        <f t="shared" si="51"/>
        <v>1149000000</v>
      </c>
      <c r="L1123" s="61">
        <f t="shared" si="52"/>
        <v>1015000000</v>
      </c>
      <c r="M1123" s="61">
        <f t="shared" si="53"/>
        <v>134000000</v>
      </c>
    </row>
    <row r="1124" spans="1:13" x14ac:dyDescent="0.25">
      <c r="A1124" t="s">
        <v>406</v>
      </c>
      <c r="B1124" t="s">
        <v>9</v>
      </c>
      <c r="C1124">
        <v>41639</v>
      </c>
      <c r="D1124" s="61">
        <v>1857000000</v>
      </c>
      <c r="E1124" s="61">
        <v>411000000</v>
      </c>
      <c r="F1124" s="61">
        <v>311000000</v>
      </c>
      <c r="G1124" s="61">
        <v>0</v>
      </c>
      <c r="H1124" s="61">
        <v>685000000</v>
      </c>
      <c r="I1124" t="s">
        <v>77</v>
      </c>
      <c r="J1124" t="s">
        <v>78</v>
      </c>
      <c r="K1124" s="61">
        <f t="shared" si="51"/>
        <v>1446000000</v>
      </c>
      <c r="L1124" s="61">
        <f t="shared" si="52"/>
        <v>996000000</v>
      </c>
      <c r="M1124" s="61">
        <f t="shared" si="53"/>
        <v>450000000</v>
      </c>
    </row>
    <row r="1125" spans="1:13" x14ac:dyDescent="0.25">
      <c r="A1125" t="s">
        <v>406</v>
      </c>
      <c r="B1125" t="s">
        <v>10</v>
      </c>
      <c r="C1125">
        <v>42004</v>
      </c>
      <c r="D1125" s="61">
        <v>2288000000</v>
      </c>
      <c r="E1125" s="61">
        <v>485000000</v>
      </c>
      <c r="F1125" s="61">
        <v>358000000</v>
      </c>
      <c r="G1125" s="61">
        <v>0</v>
      </c>
      <c r="H1125" s="61">
        <v>870000000</v>
      </c>
      <c r="I1125" t="s">
        <v>77</v>
      </c>
      <c r="J1125" t="s">
        <v>78</v>
      </c>
      <c r="K1125" s="61">
        <f t="shared" si="51"/>
        <v>1803000000</v>
      </c>
      <c r="L1125" s="61">
        <f t="shared" si="52"/>
        <v>1228000000</v>
      </c>
      <c r="M1125" s="61">
        <f t="shared" si="53"/>
        <v>575000000</v>
      </c>
    </row>
    <row r="1126" spans="1:13" x14ac:dyDescent="0.25">
      <c r="A1126" t="s">
        <v>406</v>
      </c>
      <c r="B1126" t="s">
        <v>11</v>
      </c>
      <c r="C1126">
        <v>42369</v>
      </c>
      <c r="D1126" s="61">
        <v>1557000000</v>
      </c>
      <c r="E1126" s="61">
        <v>497000000</v>
      </c>
      <c r="F1126" s="61">
        <v>5204000000</v>
      </c>
      <c r="G1126" s="61">
        <v>0</v>
      </c>
      <c r="H1126" s="61">
        <v>917000000</v>
      </c>
      <c r="I1126" t="s">
        <v>77</v>
      </c>
      <c r="J1126" t="s">
        <v>78</v>
      </c>
      <c r="K1126" s="61">
        <f t="shared" si="51"/>
        <v>1060000000</v>
      </c>
      <c r="L1126" s="61">
        <f t="shared" si="52"/>
        <v>6121000000</v>
      </c>
      <c r="M1126" s="61">
        <f t="shared" si="53"/>
        <v>-5061000000</v>
      </c>
    </row>
    <row r="1127" spans="1:13" x14ac:dyDescent="0.25">
      <c r="A1127" t="s">
        <v>407</v>
      </c>
      <c r="B1127" t="s">
        <v>6</v>
      </c>
      <c r="C1127">
        <v>41425</v>
      </c>
      <c r="D1127" s="61">
        <v>25313000000</v>
      </c>
      <c r="E1127" s="61">
        <v>14279000000</v>
      </c>
      <c r="F1127" s="61">
        <v>7796000000</v>
      </c>
      <c r="G1127" s="61">
        <v>0</v>
      </c>
      <c r="H1127" s="61">
        <v>0</v>
      </c>
      <c r="I1127" t="s">
        <v>13</v>
      </c>
      <c r="J1127" t="s">
        <v>283</v>
      </c>
      <c r="K1127" s="61">
        <f t="shared" si="51"/>
        <v>11034000000</v>
      </c>
      <c r="L1127" s="61">
        <f t="shared" si="52"/>
        <v>7796000000</v>
      </c>
      <c r="M1127" s="61">
        <f t="shared" si="53"/>
        <v>3238000000</v>
      </c>
    </row>
    <row r="1128" spans="1:13" x14ac:dyDescent="0.25">
      <c r="A1128" t="s">
        <v>407</v>
      </c>
      <c r="B1128" t="s">
        <v>9</v>
      </c>
      <c r="C1128">
        <v>41790</v>
      </c>
      <c r="D1128" s="61">
        <v>27799000000</v>
      </c>
      <c r="E1128" s="61">
        <v>15353000000</v>
      </c>
      <c r="F1128" s="61">
        <v>8766000000</v>
      </c>
      <c r="G1128" s="61">
        <v>0</v>
      </c>
      <c r="H1128" s="61">
        <v>0</v>
      </c>
      <c r="I1128" t="s">
        <v>13</v>
      </c>
      <c r="J1128" t="s">
        <v>283</v>
      </c>
      <c r="K1128" s="61">
        <f t="shared" si="51"/>
        <v>12446000000</v>
      </c>
      <c r="L1128" s="61">
        <f t="shared" si="52"/>
        <v>8766000000</v>
      </c>
      <c r="M1128" s="61">
        <f t="shared" si="53"/>
        <v>3680000000</v>
      </c>
    </row>
    <row r="1129" spans="1:13" x14ac:dyDescent="0.25">
      <c r="A1129" t="s">
        <v>407</v>
      </c>
      <c r="B1129" t="s">
        <v>10</v>
      </c>
      <c r="C1129">
        <v>42155</v>
      </c>
      <c r="D1129" s="61">
        <v>30601000000</v>
      </c>
      <c r="E1129" s="61">
        <v>16534000000</v>
      </c>
      <c r="F1129" s="61">
        <v>9892000000</v>
      </c>
      <c r="G1129" s="61">
        <v>0</v>
      </c>
      <c r="H1129" s="61">
        <v>0</v>
      </c>
      <c r="I1129" t="s">
        <v>13</v>
      </c>
      <c r="J1129" t="s">
        <v>283</v>
      </c>
      <c r="K1129" s="61">
        <f t="shared" si="51"/>
        <v>14067000000</v>
      </c>
      <c r="L1129" s="61">
        <f t="shared" si="52"/>
        <v>9892000000</v>
      </c>
      <c r="M1129" s="61">
        <f t="shared" si="53"/>
        <v>4175000000</v>
      </c>
    </row>
    <row r="1130" spans="1:13" x14ac:dyDescent="0.25">
      <c r="A1130" t="s">
        <v>407</v>
      </c>
      <c r="B1130" t="s">
        <v>11</v>
      </c>
      <c r="C1130">
        <v>42521</v>
      </c>
      <c r="D1130" s="61">
        <v>32376000000</v>
      </c>
      <c r="E1130" s="61">
        <v>17405000000</v>
      </c>
      <c r="F1130" s="61">
        <v>10469000000</v>
      </c>
      <c r="G1130" s="61">
        <v>0</v>
      </c>
      <c r="H1130" s="61">
        <v>0</v>
      </c>
      <c r="I1130" t="s">
        <v>13</v>
      </c>
      <c r="J1130" t="s">
        <v>283</v>
      </c>
      <c r="K1130" s="61">
        <f t="shared" si="51"/>
        <v>14971000000</v>
      </c>
      <c r="L1130" s="61">
        <f t="shared" si="52"/>
        <v>10469000000</v>
      </c>
      <c r="M1130" s="61">
        <f t="shared" si="53"/>
        <v>4502000000</v>
      </c>
    </row>
    <row r="1131" spans="1:13" x14ac:dyDescent="0.25">
      <c r="A1131" t="s">
        <v>408</v>
      </c>
      <c r="B1131" t="s">
        <v>6</v>
      </c>
      <c r="C1131">
        <v>41639</v>
      </c>
      <c r="D1131" s="61">
        <v>5703000000</v>
      </c>
      <c r="E1131" s="61">
        <v>2398000000</v>
      </c>
      <c r="F1131" s="61">
        <v>1815000000</v>
      </c>
      <c r="G1131" s="61">
        <v>0</v>
      </c>
      <c r="H1131" s="61">
        <v>510000000</v>
      </c>
      <c r="I1131" t="s">
        <v>7</v>
      </c>
      <c r="J1131" t="s">
        <v>205</v>
      </c>
      <c r="K1131" s="61">
        <f t="shared" si="51"/>
        <v>3305000000</v>
      </c>
      <c r="L1131" s="61">
        <f t="shared" si="52"/>
        <v>2325000000</v>
      </c>
      <c r="M1131" s="61">
        <f t="shared" si="53"/>
        <v>980000000</v>
      </c>
    </row>
    <row r="1132" spans="1:13" x14ac:dyDescent="0.25">
      <c r="A1132" t="s">
        <v>408</v>
      </c>
      <c r="B1132" t="s">
        <v>9</v>
      </c>
      <c r="C1132">
        <v>42004</v>
      </c>
      <c r="D1132" s="61">
        <v>6288000000</v>
      </c>
      <c r="E1132" s="61">
        <v>2620000000</v>
      </c>
      <c r="F1132" s="61">
        <v>1917000000</v>
      </c>
      <c r="G1132" s="61">
        <v>0</v>
      </c>
      <c r="H1132" s="61">
        <v>573000000</v>
      </c>
      <c r="I1132" t="s">
        <v>7</v>
      </c>
      <c r="J1132" t="s">
        <v>205</v>
      </c>
      <c r="K1132" s="61">
        <f t="shared" si="51"/>
        <v>3668000000</v>
      </c>
      <c r="L1132" s="61">
        <f t="shared" si="52"/>
        <v>2490000000</v>
      </c>
      <c r="M1132" s="61">
        <f t="shared" si="53"/>
        <v>1178000000</v>
      </c>
    </row>
    <row r="1133" spans="1:13" x14ac:dyDescent="0.25">
      <c r="A1133" t="s">
        <v>408</v>
      </c>
      <c r="B1133" t="s">
        <v>10</v>
      </c>
      <c r="C1133">
        <v>42369</v>
      </c>
      <c r="D1133" s="61">
        <v>6172000000</v>
      </c>
      <c r="E1133" s="61">
        <v>2539000000</v>
      </c>
      <c r="F1133" s="61">
        <v>1915000000</v>
      </c>
      <c r="G1133" s="61">
        <v>0</v>
      </c>
      <c r="H1133" s="61">
        <v>574000000</v>
      </c>
      <c r="I1133" t="s">
        <v>7</v>
      </c>
      <c r="J1133" t="s">
        <v>205</v>
      </c>
      <c r="K1133" s="61">
        <f t="shared" si="51"/>
        <v>3633000000</v>
      </c>
      <c r="L1133" s="61">
        <f t="shared" si="52"/>
        <v>2489000000</v>
      </c>
      <c r="M1133" s="61">
        <f t="shared" si="53"/>
        <v>1144000000</v>
      </c>
    </row>
    <row r="1134" spans="1:13" x14ac:dyDescent="0.25">
      <c r="A1134" t="s">
        <v>408</v>
      </c>
      <c r="B1134" t="s">
        <v>11</v>
      </c>
      <c r="C1134">
        <v>42735</v>
      </c>
      <c r="D1134" s="61">
        <v>6309000000</v>
      </c>
      <c r="E1134" s="61">
        <v>2607000000</v>
      </c>
      <c r="F1134" s="61">
        <v>1851000000</v>
      </c>
      <c r="G1134" s="61">
        <v>0</v>
      </c>
      <c r="H1134" s="61">
        <v>603000000</v>
      </c>
      <c r="I1134" t="s">
        <v>7</v>
      </c>
      <c r="J1134" t="s">
        <v>205</v>
      </c>
      <c r="K1134" s="61">
        <f t="shared" si="51"/>
        <v>3702000000</v>
      </c>
      <c r="L1134" s="61">
        <f t="shared" si="52"/>
        <v>2454000000</v>
      </c>
      <c r="M1134" s="61">
        <f t="shared" si="53"/>
        <v>1248000000</v>
      </c>
    </row>
    <row r="1135" spans="1:13" x14ac:dyDescent="0.25">
      <c r="A1135" t="s">
        <v>409</v>
      </c>
      <c r="B1135" t="s">
        <v>6</v>
      </c>
      <c r="C1135">
        <v>41274</v>
      </c>
      <c r="D1135" s="61">
        <v>17194000000</v>
      </c>
      <c r="E1135" s="61">
        <v>12151000000</v>
      </c>
      <c r="F1135" s="61">
        <v>1654000000</v>
      </c>
      <c r="G1135" s="61">
        <v>0</v>
      </c>
      <c r="H1135" s="61">
        <v>0</v>
      </c>
      <c r="I1135" t="s">
        <v>77</v>
      </c>
      <c r="J1135" t="s">
        <v>108</v>
      </c>
      <c r="K1135" s="61">
        <f t="shared" si="51"/>
        <v>5043000000</v>
      </c>
      <c r="L1135" s="61">
        <f t="shared" si="52"/>
        <v>1654000000</v>
      </c>
      <c r="M1135" s="61">
        <f t="shared" si="53"/>
        <v>3389000000</v>
      </c>
    </row>
    <row r="1136" spans="1:13" x14ac:dyDescent="0.25">
      <c r="A1136" t="s">
        <v>409</v>
      </c>
      <c r="B1136" t="s">
        <v>9</v>
      </c>
      <c r="C1136">
        <v>41639</v>
      </c>
      <c r="D1136" s="61">
        <v>19221000000</v>
      </c>
      <c r="E1136" s="61">
        <v>14117000000</v>
      </c>
      <c r="F1136" s="61">
        <v>1905000000</v>
      </c>
      <c r="G1136" s="61">
        <v>0</v>
      </c>
      <c r="H1136" s="61">
        <v>0</v>
      </c>
      <c r="I1136" t="s">
        <v>77</v>
      </c>
      <c r="J1136" t="s">
        <v>108</v>
      </c>
      <c r="K1136" s="61">
        <f t="shared" si="51"/>
        <v>5104000000</v>
      </c>
      <c r="L1136" s="61">
        <f t="shared" si="52"/>
        <v>1905000000</v>
      </c>
      <c r="M1136" s="61">
        <f t="shared" si="53"/>
        <v>3199000000</v>
      </c>
    </row>
    <row r="1137" spans="1:13" x14ac:dyDescent="0.25">
      <c r="A1137" t="s">
        <v>409</v>
      </c>
      <c r="B1137" t="s">
        <v>10</v>
      </c>
      <c r="C1137">
        <v>42004</v>
      </c>
      <c r="D1137" s="61">
        <v>21440000000</v>
      </c>
      <c r="E1137" s="61">
        <v>15631000000</v>
      </c>
      <c r="F1137" s="61">
        <v>2092000000</v>
      </c>
      <c r="G1137" s="61">
        <v>0</v>
      </c>
      <c r="H1137" s="61">
        <v>0</v>
      </c>
      <c r="I1137" t="s">
        <v>77</v>
      </c>
      <c r="J1137" t="s">
        <v>108</v>
      </c>
      <c r="K1137" s="61">
        <f t="shared" si="51"/>
        <v>5809000000</v>
      </c>
      <c r="L1137" s="61">
        <f t="shared" si="52"/>
        <v>2092000000</v>
      </c>
      <c r="M1137" s="61">
        <f t="shared" si="53"/>
        <v>3717000000</v>
      </c>
    </row>
    <row r="1138" spans="1:13" x14ac:dyDescent="0.25">
      <c r="A1138" t="s">
        <v>409</v>
      </c>
      <c r="B1138" t="s">
        <v>11</v>
      </c>
      <c r="C1138">
        <v>42369</v>
      </c>
      <c r="D1138" s="61">
        <v>14757000000</v>
      </c>
      <c r="E1138" s="61">
        <v>11694000000</v>
      </c>
      <c r="F1138" s="61">
        <v>1764000000</v>
      </c>
      <c r="G1138" s="61">
        <v>0</v>
      </c>
      <c r="H1138" s="61">
        <v>0</v>
      </c>
      <c r="I1138" t="s">
        <v>77</v>
      </c>
      <c r="J1138" t="s">
        <v>108</v>
      </c>
      <c r="K1138" s="61">
        <f t="shared" si="51"/>
        <v>3063000000</v>
      </c>
      <c r="L1138" s="61">
        <f t="shared" si="52"/>
        <v>1764000000</v>
      </c>
      <c r="M1138" s="61">
        <f t="shared" si="53"/>
        <v>1299000000</v>
      </c>
    </row>
    <row r="1139" spans="1:13" x14ac:dyDescent="0.25">
      <c r="A1139" t="s">
        <v>410</v>
      </c>
      <c r="B1139" t="s">
        <v>6</v>
      </c>
      <c r="C1139">
        <v>41639</v>
      </c>
      <c r="D1139" s="61">
        <v>11245000000</v>
      </c>
      <c r="E1139" s="61">
        <v>4070000000</v>
      </c>
      <c r="F1139" s="61">
        <v>3002000000</v>
      </c>
      <c r="G1139" s="61">
        <v>0</v>
      </c>
      <c r="H1139" s="61">
        <v>916000000</v>
      </c>
      <c r="I1139" t="s">
        <v>7</v>
      </c>
      <c r="J1139" t="s">
        <v>172</v>
      </c>
      <c r="K1139" s="61">
        <f t="shared" si="51"/>
        <v>7175000000</v>
      </c>
      <c r="L1139" s="61">
        <f t="shared" si="52"/>
        <v>3918000000</v>
      </c>
      <c r="M1139" s="61">
        <f t="shared" si="53"/>
        <v>3257000000</v>
      </c>
    </row>
    <row r="1140" spans="1:13" x14ac:dyDescent="0.25">
      <c r="A1140" t="s">
        <v>410</v>
      </c>
      <c r="B1140" t="s">
        <v>9</v>
      </c>
      <c r="C1140">
        <v>42004</v>
      </c>
      <c r="D1140" s="61">
        <v>11624000000</v>
      </c>
      <c r="E1140" s="61">
        <v>4201000000</v>
      </c>
      <c r="F1140" s="61">
        <v>2897000000</v>
      </c>
      <c r="G1140" s="61">
        <v>0</v>
      </c>
      <c r="H1140" s="61">
        <v>951000000</v>
      </c>
      <c r="I1140" t="s">
        <v>7</v>
      </c>
      <c r="J1140" t="s">
        <v>172</v>
      </c>
      <c r="K1140" s="61">
        <f t="shared" si="51"/>
        <v>7423000000</v>
      </c>
      <c r="L1140" s="61">
        <f t="shared" si="52"/>
        <v>3848000000</v>
      </c>
      <c r="M1140" s="61">
        <f t="shared" si="53"/>
        <v>3575000000</v>
      </c>
    </row>
    <row r="1141" spans="1:13" x14ac:dyDescent="0.25">
      <c r="A1141" t="s">
        <v>410</v>
      </c>
      <c r="B1141" t="s">
        <v>10</v>
      </c>
      <c r="C1141">
        <v>42369</v>
      </c>
      <c r="D1141" s="61">
        <v>10511000000</v>
      </c>
      <c r="E1141" s="61">
        <v>3662000000</v>
      </c>
      <c r="F1141" s="61">
        <v>2911000000</v>
      </c>
      <c r="G1141" s="61">
        <v>0</v>
      </c>
      <c r="H1141" s="61">
        <v>1054000000</v>
      </c>
      <c r="I1141" t="s">
        <v>7</v>
      </c>
      <c r="J1141" t="s">
        <v>172</v>
      </c>
      <c r="K1141" s="61">
        <f t="shared" si="51"/>
        <v>6849000000</v>
      </c>
      <c r="L1141" s="61">
        <f t="shared" si="52"/>
        <v>3965000000</v>
      </c>
      <c r="M1141" s="61">
        <f t="shared" si="53"/>
        <v>2884000000</v>
      </c>
    </row>
    <row r="1142" spans="1:13" x14ac:dyDescent="0.25">
      <c r="A1142" t="s">
        <v>410</v>
      </c>
      <c r="B1142" t="s">
        <v>11</v>
      </c>
      <c r="C1142">
        <v>42735</v>
      </c>
      <c r="D1142" s="61">
        <v>9888000000</v>
      </c>
      <c r="E1142" s="61">
        <v>3045000000</v>
      </c>
      <c r="F1142" s="61">
        <v>2743000000</v>
      </c>
      <c r="G1142" s="61">
        <v>0</v>
      </c>
      <c r="H1142" s="61">
        <v>1026000000</v>
      </c>
      <c r="I1142" t="s">
        <v>7</v>
      </c>
      <c r="J1142" t="s">
        <v>172</v>
      </c>
      <c r="K1142" s="61">
        <f t="shared" si="51"/>
        <v>6843000000</v>
      </c>
      <c r="L1142" s="61">
        <f t="shared" si="52"/>
        <v>3769000000</v>
      </c>
      <c r="M1142" s="61">
        <f t="shared" si="53"/>
        <v>3074000000</v>
      </c>
    </row>
    <row r="1143" spans="1:13" x14ac:dyDescent="0.25">
      <c r="A1143" t="s">
        <v>411</v>
      </c>
      <c r="B1143" t="s">
        <v>6</v>
      </c>
      <c r="C1143">
        <v>41390</v>
      </c>
      <c r="D1143" s="61">
        <v>6332400000</v>
      </c>
      <c r="E1143" s="61">
        <v>2571300000</v>
      </c>
      <c r="F1143" s="61">
        <v>2247400000</v>
      </c>
      <c r="G1143" s="61">
        <v>904200000</v>
      </c>
      <c r="H1143" s="61">
        <v>0</v>
      </c>
      <c r="I1143" t="s">
        <v>16</v>
      </c>
      <c r="J1143" t="s">
        <v>51</v>
      </c>
      <c r="K1143" s="61">
        <f t="shared" si="51"/>
        <v>3761100000</v>
      </c>
      <c r="L1143" s="61">
        <f t="shared" si="52"/>
        <v>3151600000</v>
      </c>
      <c r="M1143" s="61">
        <f t="shared" si="53"/>
        <v>609500000</v>
      </c>
    </row>
    <row r="1144" spans="1:13" x14ac:dyDescent="0.25">
      <c r="A1144" t="s">
        <v>411</v>
      </c>
      <c r="B1144" t="s">
        <v>9</v>
      </c>
      <c r="C1144">
        <v>41754</v>
      </c>
      <c r="D1144" s="61">
        <v>6325000000</v>
      </c>
      <c r="E1144" s="61">
        <v>2406000000</v>
      </c>
      <c r="F1144" s="61">
        <v>2179000000</v>
      </c>
      <c r="G1144" s="61">
        <v>918000000</v>
      </c>
      <c r="H1144" s="61">
        <v>0</v>
      </c>
      <c r="I1144" t="s">
        <v>16</v>
      </c>
      <c r="J1144" t="s">
        <v>51</v>
      </c>
      <c r="K1144" s="61">
        <f t="shared" si="51"/>
        <v>3919000000</v>
      </c>
      <c r="L1144" s="61">
        <f t="shared" si="52"/>
        <v>3097000000</v>
      </c>
      <c r="M1144" s="61">
        <f t="shared" si="53"/>
        <v>822000000</v>
      </c>
    </row>
    <row r="1145" spans="1:13" x14ac:dyDescent="0.25">
      <c r="A1145" t="s">
        <v>411</v>
      </c>
      <c r="B1145" t="s">
        <v>10</v>
      </c>
      <c r="C1145">
        <v>42118</v>
      </c>
      <c r="D1145" s="61">
        <v>6123000000</v>
      </c>
      <c r="E1145" s="61">
        <v>2290000000</v>
      </c>
      <c r="F1145" s="61">
        <v>2197000000</v>
      </c>
      <c r="G1145" s="61">
        <v>920000000</v>
      </c>
      <c r="H1145" s="61">
        <v>0</v>
      </c>
      <c r="I1145" t="s">
        <v>16</v>
      </c>
      <c r="J1145" t="s">
        <v>51</v>
      </c>
      <c r="K1145" s="61">
        <f t="shared" si="51"/>
        <v>3833000000</v>
      </c>
      <c r="L1145" s="61">
        <f t="shared" si="52"/>
        <v>3117000000</v>
      </c>
      <c r="M1145" s="61">
        <f t="shared" si="53"/>
        <v>716000000</v>
      </c>
    </row>
    <row r="1146" spans="1:13" x14ac:dyDescent="0.25">
      <c r="A1146" t="s">
        <v>411</v>
      </c>
      <c r="B1146" t="s">
        <v>11</v>
      </c>
      <c r="C1146">
        <v>42489</v>
      </c>
      <c r="D1146" s="61">
        <v>5546000000</v>
      </c>
      <c r="E1146" s="61">
        <v>2173000000</v>
      </c>
      <c r="F1146" s="61">
        <v>2099000000</v>
      </c>
      <c r="G1146" s="61">
        <v>861000000</v>
      </c>
      <c r="H1146" s="61">
        <v>0</v>
      </c>
      <c r="I1146" t="s">
        <v>16</v>
      </c>
      <c r="J1146" t="s">
        <v>51</v>
      </c>
      <c r="K1146" s="61">
        <f t="shared" si="51"/>
        <v>3373000000</v>
      </c>
      <c r="L1146" s="61">
        <f t="shared" si="52"/>
        <v>2960000000</v>
      </c>
      <c r="M1146" s="61">
        <f t="shared" si="53"/>
        <v>413000000</v>
      </c>
    </row>
    <row r="1147" spans="1:13" x14ac:dyDescent="0.25">
      <c r="A1147" t="s">
        <v>412</v>
      </c>
      <c r="B1147" t="s">
        <v>6</v>
      </c>
      <c r="C1147">
        <v>41274</v>
      </c>
      <c r="D1147" s="61">
        <v>19429273000</v>
      </c>
      <c r="E1147" s="61">
        <v>17915735000</v>
      </c>
      <c r="F1147" s="61">
        <v>454900000</v>
      </c>
      <c r="G1147" s="61">
        <v>0</v>
      </c>
      <c r="H1147" s="61">
        <v>0</v>
      </c>
      <c r="I1147" t="s">
        <v>53</v>
      </c>
      <c r="J1147" t="s">
        <v>413</v>
      </c>
      <c r="K1147" s="61">
        <f t="shared" si="51"/>
        <v>1513538000</v>
      </c>
      <c r="L1147" s="61">
        <f t="shared" si="52"/>
        <v>454900000</v>
      </c>
      <c r="M1147" s="61">
        <f t="shared" si="53"/>
        <v>1058638000</v>
      </c>
    </row>
    <row r="1148" spans="1:13" x14ac:dyDescent="0.25">
      <c r="A1148" t="s">
        <v>412</v>
      </c>
      <c r="B1148" t="s">
        <v>9</v>
      </c>
      <c r="C1148">
        <v>41639</v>
      </c>
      <c r="D1148" s="61">
        <v>19052046000</v>
      </c>
      <c r="E1148" s="61">
        <v>17641421000</v>
      </c>
      <c r="F1148" s="61">
        <v>467904000</v>
      </c>
      <c r="G1148" s="61">
        <v>0</v>
      </c>
      <c r="H1148" s="61">
        <v>0</v>
      </c>
      <c r="I1148" t="s">
        <v>53</v>
      </c>
      <c r="J1148" t="s">
        <v>413</v>
      </c>
      <c r="K1148" s="61">
        <f t="shared" si="51"/>
        <v>1410625000</v>
      </c>
      <c r="L1148" s="61">
        <f t="shared" si="52"/>
        <v>467904000</v>
      </c>
      <c r="M1148" s="61">
        <f t="shared" si="53"/>
        <v>942721000</v>
      </c>
    </row>
    <row r="1149" spans="1:13" x14ac:dyDescent="0.25">
      <c r="A1149" t="s">
        <v>412</v>
      </c>
      <c r="B1149" t="s">
        <v>10</v>
      </c>
      <c r="C1149">
        <v>42004</v>
      </c>
      <c r="D1149" s="61">
        <v>21105141000</v>
      </c>
      <c r="E1149" s="61">
        <v>19198615000</v>
      </c>
      <c r="F1149" s="61">
        <v>520805000</v>
      </c>
      <c r="G1149" s="61">
        <v>0</v>
      </c>
      <c r="H1149" s="61">
        <v>0</v>
      </c>
      <c r="I1149" t="s">
        <v>53</v>
      </c>
      <c r="J1149" t="s">
        <v>413</v>
      </c>
      <c r="K1149" s="61">
        <f t="shared" si="51"/>
        <v>1906526000</v>
      </c>
      <c r="L1149" s="61">
        <f t="shared" si="52"/>
        <v>520805000</v>
      </c>
      <c r="M1149" s="61">
        <f t="shared" si="53"/>
        <v>1385721000</v>
      </c>
    </row>
    <row r="1150" spans="1:13" x14ac:dyDescent="0.25">
      <c r="A1150" t="s">
        <v>412</v>
      </c>
      <c r="B1150" t="s">
        <v>11</v>
      </c>
      <c r="C1150">
        <v>42369</v>
      </c>
      <c r="D1150" s="61">
        <v>16439276000</v>
      </c>
      <c r="E1150" s="61">
        <v>14858014000</v>
      </c>
      <c r="F1150" s="61">
        <v>458989000</v>
      </c>
      <c r="G1150" s="61">
        <v>0</v>
      </c>
      <c r="H1150" s="61">
        <v>0</v>
      </c>
      <c r="I1150" t="s">
        <v>53</v>
      </c>
      <c r="J1150" t="s">
        <v>413</v>
      </c>
      <c r="K1150" s="61">
        <f t="shared" si="51"/>
        <v>1581262000</v>
      </c>
      <c r="L1150" s="61">
        <f t="shared" si="52"/>
        <v>458989000</v>
      </c>
      <c r="M1150" s="61">
        <f t="shared" si="53"/>
        <v>1122273000</v>
      </c>
    </row>
    <row r="1151" spans="1:13" x14ac:dyDescent="0.25">
      <c r="A1151" t="s">
        <v>414</v>
      </c>
      <c r="B1151" t="s">
        <v>6</v>
      </c>
      <c r="C1151">
        <v>41301</v>
      </c>
      <c r="D1151" s="61">
        <v>4280159000</v>
      </c>
      <c r="E1151" s="61">
        <v>2053816000</v>
      </c>
      <c r="F1151" s="61">
        <v>430822000</v>
      </c>
      <c r="G1151" s="61">
        <v>1147282000</v>
      </c>
      <c r="H1151" s="61">
        <v>0</v>
      </c>
      <c r="I1151" t="s">
        <v>16</v>
      </c>
      <c r="J1151" t="s">
        <v>28</v>
      </c>
      <c r="K1151" s="61">
        <f t="shared" si="51"/>
        <v>2226343000</v>
      </c>
      <c r="L1151" s="61">
        <f t="shared" si="52"/>
        <v>1578104000</v>
      </c>
      <c r="M1151" s="61">
        <f t="shared" si="53"/>
        <v>648239000</v>
      </c>
    </row>
    <row r="1152" spans="1:13" x14ac:dyDescent="0.25">
      <c r="A1152" t="s">
        <v>414</v>
      </c>
      <c r="B1152" t="s">
        <v>9</v>
      </c>
      <c r="C1152">
        <v>41665</v>
      </c>
      <c r="D1152" s="61">
        <v>4130000000</v>
      </c>
      <c r="E1152" s="61">
        <v>1862000000</v>
      </c>
      <c r="F1152" s="61">
        <v>436000000</v>
      </c>
      <c r="G1152" s="61">
        <v>1336000000</v>
      </c>
      <c r="H1152" s="61">
        <v>0</v>
      </c>
      <c r="I1152" t="s">
        <v>16</v>
      </c>
      <c r="J1152" t="s">
        <v>28</v>
      </c>
      <c r="K1152" s="61">
        <f t="shared" si="51"/>
        <v>2268000000</v>
      </c>
      <c r="L1152" s="61">
        <f t="shared" si="52"/>
        <v>1772000000</v>
      </c>
      <c r="M1152" s="61">
        <f t="shared" si="53"/>
        <v>496000000</v>
      </c>
    </row>
    <row r="1153" spans="1:13" x14ac:dyDescent="0.25">
      <c r="A1153" t="s">
        <v>414</v>
      </c>
      <c r="B1153" t="s">
        <v>10</v>
      </c>
      <c r="C1153">
        <v>42029</v>
      </c>
      <c r="D1153" s="61">
        <v>4682000000</v>
      </c>
      <c r="E1153" s="61">
        <v>2083000000</v>
      </c>
      <c r="F1153" s="61">
        <v>480000000</v>
      </c>
      <c r="G1153" s="61">
        <v>1360000000</v>
      </c>
      <c r="H1153" s="61">
        <v>0</v>
      </c>
      <c r="I1153" t="s">
        <v>16</v>
      </c>
      <c r="J1153" t="s">
        <v>28</v>
      </c>
      <c r="K1153" s="61">
        <f t="shared" si="51"/>
        <v>2599000000</v>
      </c>
      <c r="L1153" s="61">
        <f t="shared" si="52"/>
        <v>1840000000</v>
      </c>
      <c r="M1153" s="61">
        <f t="shared" si="53"/>
        <v>759000000</v>
      </c>
    </row>
    <row r="1154" spans="1:13" x14ac:dyDescent="0.25">
      <c r="A1154" t="s">
        <v>414</v>
      </c>
      <c r="B1154" t="s">
        <v>11</v>
      </c>
      <c r="C1154">
        <v>42400</v>
      </c>
      <c r="D1154" s="61">
        <v>5010000000</v>
      </c>
      <c r="E1154" s="61">
        <v>2199000000</v>
      </c>
      <c r="F1154" s="61">
        <v>602000000</v>
      </c>
      <c r="G1154" s="61">
        <v>1331000000</v>
      </c>
      <c r="H1154" s="61">
        <v>0</v>
      </c>
      <c r="I1154" t="s">
        <v>16</v>
      </c>
      <c r="J1154" t="s">
        <v>28</v>
      </c>
      <c r="K1154" s="61">
        <f t="shared" ref="K1154:K1217" si="54">D1154-E1154</f>
        <v>2811000000</v>
      </c>
      <c r="L1154" s="61">
        <f t="shared" ref="L1154:L1217" si="55">F1154+G1154+H1154</f>
        <v>1933000000</v>
      </c>
      <c r="M1154" s="61">
        <f t="shared" si="53"/>
        <v>878000000</v>
      </c>
    </row>
    <row r="1155" spans="1:13" x14ac:dyDescent="0.25">
      <c r="A1155" t="s">
        <v>415</v>
      </c>
      <c r="B1155" t="s">
        <v>6</v>
      </c>
      <c r="C1155">
        <v>41274</v>
      </c>
      <c r="D1155" s="61">
        <v>5508500000</v>
      </c>
      <c r="E1155" s="61">
        <v>3414400000</v>
      </c>
      <c r="F1155" s="61">
        <v>1403500000</v>
      </c>
      <c r="G1155" s="61">
        <v>0</v>
      </c>
      <c r="H1155" s="61">
        <v>0</v>
      </c>
      <c r="I1155" t="s">
        <v>13</v>
      </c>
      <c r="J1155" t="s">
        <v>416</v>
      </c>
      <c r="K1155" s="61">
        <f t="shared" si="54"/>
        <v>2094100000</v>
      </c>
      <c r="L1155" s="61">
        <f t="shared" si="55"/>
        <v>1403500000</v>
      </c>
      <c r="M1155" s="61">
        <f t="shared" ref="M1155:M1218" si="56">K1155-L1155</f>
        <v>690600000</v>
      </c>
    </row>
    <row r="1156" spans="1:13" x14ac:dyDescent="0.25">
      <c r="A1156" t="s">
        <v>415</v>
      </c>
      <c r="B1156" t="s">
        <v>9</v>
      </c>
      <c r="C1156">
        <v>41639</v>
      </c>
      <c r="D1156" s="61">
        <v>5607000000</v>
      </c>
      <c r="E1156" s="61">
        <v>3482100000</v>
      </c>
      <c r="F1156" s="61">
        <v>1399500000</v>
      </c>
      <c r="G1156" s="61">
        <v>0</v>
      </c>
      <c r="H1156" s="61">
        <v>0</v>
      </c>
      <c r="I1156" t="s">
        <v>13</v>
      </c>
      <c r="J1156" t="s">
        <v>416</v>
      </c>
      <c r="K1156" s="61">
        <f t="shared" si="54"/>
        <v>2124900000</v>
      </c>
      <c r="L1156" s="61">
        <f t="shared" si="55"/>
        <v>1399500000</v>
      </c>
      <c r="M1156" s="61">
        <f t="shared" si="56"/>
        <v>725400000</v>
      </c>
    </row>
    <row r="1157" spans="1:13" x14ac:dyDescent="0.25">
      <c r="A1157" t="s">
        <v>415</v>
      </c>
      <c r="B1157" t="s">
        <v>10</v>
      </c>
      <c r="C1157">
        <v>42004</v>
      </c>
      <c r="D1157" s="61">
        <v>5727000000</v>
      </c>
      <c r="E1157" s="61">
        <v>3523600000</v>
      </c>
      <c r="F1157" s="61">
        <v>1545900000</v>
      </c>
      <c r="G1157" s="61">
        <v>0</v>
      </c>
      <c r="H1157" s="61">
        <v>0</v>
      </c>
      <c r="I1157" t="s">
        <v>13</v>
      </c>
      <c r="J1157" t="s">
        <v>416</v>
      </c>
      <c r="K1157" s="61">
        <f t="shared" si="54"/>
        <v>2203400000</v>
      </c>
      <c r="L1157" s="61">
        <f t="shared" si="55"/>
        <v>1545900000</v>
      </c>
      <c r="M1157" s="61">
        <f t="shared" si="56"/>
        <v>657500000</v>
      </c>
    </row>
    <row r="1158" spans="1:13" x14ac:dyDescent="0.25">
      <c r="A1158" t="s">
        <v>415</v>
      </c>
      <c r="B1158" t="s">
        <v>11</v>
      </c>
      <c r="C1158">
        <v>42369</v>
      </c>
      <c r="D1158" s="61">
        <v>5915700000</v>
      </c>
      <c r="E1158" s="61">
        <v>3611100000</v>
      </c>
      <c r="F1158" s="61">
        <v>1626000000</v>
      </c>
      <c r="G1158" s="61">
        <v>0</v>
      </c>
      <c r="H1158" s="61">
        <v>0</v>
      </c>
      <c r="I1158" t="s">
        <v>13</v>
      </c>
      <c r="J1158" t="s">
        <v>416</v>
      </c>
      <c r="K1158" s="61">
        <f t="shared" si="54"/>
        <v>2304600000</v>
      </c>
      <c r="L1158" s="61">
        <f t="shared" si="55"/>
        <v>1626000000</v>
      </c>
      <c r="M1158" s="61">
        <f t="shared" si="56"/>
        <v>678600000</v>
      </c>
    </row>
    <row r="1159" spans="1:13" x14ac:dyDescent="0.25">
      <c r="A1159" t="s">
        <v>417</v>
      </c>
      <c r="B1159" t="s">
        <v>6</v>
      </c>
      <c r="C1159">
        <v>41274</v>
      </c>
      <c r="D1159" s="61">
        <v>484581000</v>
      </c>
      <c r="E1159" s="61">
        <v>21306000</v>
      </c>
      <c r="F1159" s="61">
        <v>38123000</v>
      </c>
      <c r="G1159" s="61">
        <v>0</v>
      </c>
      <c r="H1159" s="61">
        <v>147515000</v>
      </c>
      <c r="I1159" t="s">
        <v>46</v>
      </c>
      <c r="J1159" t="s">
        <v>259</v>
      </c>
      <c r="K1159" s="61">
        <f t="shared" si="54"/>
        <v>463275000</v>
      </c>
      <c r="L1159" s="61">
        <f t="shared" si="55"/>
        <v>185638000</v>
      </c>
      <c r="M1159" s="61">
        <f t="shared" si="56"/>
        <v>277637000</v>
      </c>
    </row>
    <row r="1160" spans="1:13" x14ac:dyDescent="0.25">
      <c r="A1160" t="s">
        <v>417</v>
      </c>
      <c r="B1160" t="s">
        <v>9</v>
      </c>
      <c r="C1160">
        <v>41639</v>
      </c>
      <c r="D1160" s="61">
        <v>780209000</v>
      </c>
      <c r="E1160" s="61">
        <v>38851000</v>
      </c>
      <c r="F1160" s="61">
        <v>56881000</v>
      </c>
      <c r="G1160" s="61">
        <v>0</v>
      </c>
      <c r="H1160" s="61">
        <v>306769000</v>
      </c>
      <c r="I1160" t="s">
        <v>46</v>
      </c>
      <c r="J1160" t="s">
        <v>259</v>
      </c>
      <c r="K1160" s="61">
        <f t="shared" si="54"/>
        <v>741358000</v>
      </c>
      <c r="L1160" s="61">
        <f t="shared" si="55"/>
        <v>363650000</v>
      </c>
      <c r="M1160" s="61">
        <f t="shared" si="56"/>
        <v>377708000</v>
      </c>
    </row>
    <row r="1161" spans="1:13" x14ac:dyDescent="0.25">
      <c r="A1161" t="s">
        <v>417</v>
      </c>
      <c r="B1161" t="s">
        <v>10</v>
      </c>
      <c r="C1161">
        <v>42004</v>
      </c>
      <c r="D1161" s="61">
        <v>933505000</v>
      </c>
      <c r="E1161" s="61">
        <v>53871000</v>
      </c>
      <c r="F1161" s="61">
        <v>51085000</v>
      </c>
      <c r="G1161" s="61">
        <v>0</v>
      </c>
      <c r="H1161" s="61">
        <v>374661000</v>
      </c>
      <c r="I1161" t="s">
        <v>46</v>
      </c>
      <c r="J1161" t="s">
        <v>259</v>
      </c>
      <c r="K1161" s="61">
        <f t="shared" si="54"/>
        <v>879634000</v>
      </c>
      <c r="L1161" s="61">
        <f t="shared" si="55"/>
        <v>425746000</v>
      </c>
      <c r="M1161" s="61">
        <f t="shared" si="56"/>
        <v>453888000</v>
      </c>
    </row>
    <row r="1162" spans="1:13" x14ac:dyDescent="0.25">
      <c r="A1162" t="s">
        <v>417</v>
      </c>
      <c r="B1162" t="s">
        <v>11</v>
      </c>
      <c r="C1162">
        <v>42369</v>
      </c>
      <c r="D1162" s="61">
        <v>1023285000</v>
      </c>
      <c r="E1162" s="61">
        <v>55352000</v>
      </c>
      <c r="F1162" s="61">
        <v>49298000</v>
      </c>
      <c r="G1162" s="61">
        <v>0</v>
      </c>
      <c r="H1162" s="61">
        <v>409215000</v>
      </c>
      <c r="I1162" t="s">
        <v>46</v>
      </c>
      <c r="J1162" t="s">
        <v>259</v>
      </c>
      <c r="K1162" s="61">
        <f t="shared" si="54"/>
        <v>967933000</v>
      </c>
      <c r="L1162" s="61">
        <f t="shared" si="55"/>
        <v>458513000</v>
      </c>
      <c r="M1162" s="61">
        <f t="shared" si="56"/>
        <v>509420000</v>
      </c>
    </row>
    <row r="1163" spans="1:13" x14ac:dyDescent="0.25">
      <c r="A1163" t="s">
        <v>418</v>
      </c>
      <c r="B1163" t="s">
        <v>6</v>
      </c>
      <c r="C1163">
        <v>41274</v>
      </c>
      <c r="D1163" s="61">
        <v>10184121000</v>
      </c>
      <c r="E1163" s="61">
        <v>8540319000</v>
      </c>
      <c r="F1163" s="61">
        <v>491725000</v>
      </c>
      <c r="G1163" s="61">
        <v>0</v>
      </c>
      <c r="H1163" s="61">
        <v>205334000</v>
      </c>
      <c r="I1163" t="s">
        <v>77</v>
      </c>
      <c r="J1163" t="s">
        <v>78</v>
      </c>
      <c r="K1163" s="61">
        <f t="shared" si="54"/>
        <v>1643802000</v>
      </c>
      <c r="L1163" s="61">
        <f t="shared" si="55"/>
        <v>697059000</v>
      </c>
      <c r="M1163" s="61">
        <f t="shared" si="56"/>
        <v>946743000</v>
      </c>
    </row>
    <row r="1164" spans="1:13" x14ac:dyDescent="0.25">
      <c r="A1164" t="s">
        <v>418</v>
      </c>
      <c r="B1164" t="s">
        <v>9</v>
      </c>
      <c r="C1164">
        <v>41639</v>
      </c>
      <c r="D1164" s="61">
        <v>11871879000</v>
      </c>
      <c r="E1164" s="61">
        <v>10222213000</v>
      </c>
      <c r="F1164" s="61">
        <v>541586000</v>
      </c>
      <c r="G1164" s="61">
        <v>0</v>
      </c>
      <c r="H1164" s="61">
        <v>239343000</v>
      </c>
      <c r="I1164" t="s">
        <v>77</v>
      </c>
      <c r="J1164" t="s">
        <v>78</v>
      </c>
      <c r="K1164" s="61">
        <f t="shared" si="54"/>
        <v>1649666000</v>
      </c>
      <c r="L1164" s="61">
        <f t="shared" si="55"/>
        <v>780929000</v>
      </c>
      <c r="M1164" s="61">
        <f t="shared" si="56"/>
        <v>868737000</v>
      </c>
    </row>
    <row r="1165" spans="1:13" x14ac:dyDescent="0.25">
      <c r="A1165" t="s">
        <v>418</v>
      </c>
      <c r="B1165" t="s">
        <v>10</v>
      </c>
      <c r="C1165">
        <v>42004</v>
      </c>
      <c r="D1165" s="61">
        <v>12195091000</v>
      </c>
      <c r="E1165" s="61">
        <v>10088548000</v>
      </c>
      <c r="F1165" s="61">
        <v>674887000</v>
      </c>
      <c r="G1165" s="61">
        <v>0</v>
      </c>
      <c r="H1165" s="61">
        <v>294684000</v>
      </c>
      <c r="I1165" t="s">
        <v>77</v>
      </c>
      <c r="J1165" t="s">
        <v>78</v>
      </c>
      <c r="K1165" s="61">
        <f t="shared" si="54"/>
        <v>2106543000</v>
      </c>
      <c r="L1165" s="61">
        <f t="shared" si="55"/>
        <v>969571000</v>
      </c>
      <c r="M1165" s="61">
        <f t="shared" si="56"/>
        <v>1136972000</v>
      </c>
    </row>
    <row r="1166" spans="1:13" x14ac:dyDescent="0.25">
      <c r="A1166" t="s">
        <v>418</v>
      </c>
      <c r="B1166" t="s">
        <v>11</v>
      </c>
      <c r="C1166">
        <v>42369</v>
      </c>
      <c r="D1166" s="61">
        <v>7763206000</v>
      </c>
      <c r="E1166" s="61">
        <v>5641052000</v>
      </c>
      <c r="F1166" s="61">
        <v>693331000</v>
      </c>
      <c r="G1166" s="61">
        <v>0</v>
      </c>
      <c r="H1166" s="61">
        <v>354620000</v>
      </c>
      <c r="I1166" t="s">
        <v>77</v>
      </c>
      <c r="J1166" t="s">
        <v>78</v>
      </c>
      <c r="K1166" s="61">
        <f t="shared" si="54"/>
        <v>2122154000</v>
      </c>
      <c r="L1166" s="61">
        <f t="shared" si="55"/>
        <v>1047951000</v>
      </c>
      <c r="M1166" s="61">
        <f t="shared" si="56"/>
        <v>1074203000</v>
      </c>
    </row>
    <row r="1167" spans="1:13" x14ac:dyDescent="0.25">
      <c r="A1167" t="s">
        <v>419</v>
      </c>
      <c r="B1167" t="s">
        <v>6</v>
      </c>
      <c r="C1167">
        <v>42004</v>
      </c>
      <c r="D1167" s="61">
        <v>15317800000</v>
      </c>
      <c r="E1167" s="61">
        <v>12602100000</v>
      </c>
      <c r="F1167" s="61">
        <v>477200000</v>
      </c>
      <c r="G1167" s="61">
        <v>0</v>
      </c>
      <c r="H1167" s="61">
        <v>294400000</v>
      </c>
      <c r="I1167" t="s">
        <v>13</v>
      </c>
      <c r="J1167" t="s">
        <v>317</v>
      </c>
      <c r="K1167" s="61">
        <f t="shared" si="54"/>
        <v>2715700000</v>
      </c>
      <c r="L1167" s="61">
        <f t="shared" si="55"/>
        <v>771600000</v>
      </c>
      <c r="M1167" s="61">
        <f t="shared" si="56"/>
        <v>1944100000</v>
      </c>
    </row>
    <row r="1168" spans="1:13" x14ac:dyDescent="0.25">
      <c r="A1168" t="s">
        <v>419</v>
      </c>
      <c r="B1168" t="s">
        <v>9</v>
      </c>
      <c r="C1168">
        <v>42369</v>
      </c>
      <c r="D1168" s="61">
        <v>15134400000</v>
      </c>
      <c r="E1168" s="61">
        <v>12491400000</v>
      </c>
      <c r="F1168" s="61">
        <v>431800000</v>
      </c>
      <c r="G1168" s="61">
        <v>0</v>
      </c>
      <c r="H1168" s="61">
        <v>291100000</v>
      </c>
      <c r="I1168" t="s">
        <v>13</v>
      </c>
      <c r="J1168" t="s">
        <v>317</v>
      </c>
      <c r="K1168" s="61">
        <f t="shared" si="54"/>
        <v>2643000000</v>
      </c>
      <c r="L1168" s="61">
        <f t="shared" si="55"/>
        <v>722900000</v>
      </c>
      <c r="M1168" s="61">
        <f t="shared" si="56"/>
        <v>1920100000</v>
      </c>
    </row>
    <row r="1169" spans="1:13" x14ac:dyDescent="0.25">
      <c r="A1169" t="s">
        <v>419</v>
      </c>
      <c r="B1169" t="s">
        <v>10</v>
      </c>
      <c r="C1169">
        <v>42735</v>
      </c>
      <c r="D1169" s="61">
        <v>15416900000</v>
      </c>
      <c r="E1169" s="61">
        <v>12671200000</v>
      </c>
      <c r="F1169" s="61">
        <v>443900000</v>
      </c>
      <c r="G1169" s="61">
        <v>0</v>
      </c>
      <c r="H1169" s="61">
        <v>292900000</v>
      </c>
      <c r="I1169" t="s">
        <v>13</v>
      </c>
      <c r="J1169" t="s">
        <v>317</v>
      </c>
      <c r="K1169" s="61">
        <f t="shared" si="54"/>
        <v>2745700000</v>
      </c>
      <c r="L1169" s="61">
        <f t="shared" si="55"/>
        <v>736800000</v>
      </c>
      <c r="M1169" s="61">
        <f t="shared" si="56"/>
        <v>2008900000</v>
      </c>
    </row>
    <row r="1170" spans="1:13" x14ac:dyDescent="0.25">
      <c r="A1170" t="s">
        <v>420</v>
      </c>
      <c r="B1170" t="s">
        <v>6</v>
      </c>
      <c r="C1170">
        <v>41274</v>
      </c>
      <c r="D1170" s="61">
        <v>6182184000</v>
      </c>
      <c r="E1170" s="61">
        <v>3084766000</v>
      </c>
      <c r="F1170" s="61">
        <v>2120025000</v>
      </c>
      <c r="G1170" s="61">
        <v>0</v>
      </c>
      <c r="H1170" s="61">
        <v>0</v>
      </c>
      <c r="I1170" t="s">
        <v>13</v>
      </c>
      <c r="J1170" t="s">
        <v>73</v>
      </c>
      <c r="K1170" s="61">
        <f t="shared" si="54"/>
        <v>3097418000</v>
      </c>
      <c r="L1170" s="61">
        <f t="shared" si="55"/>
        <v>2120025000</v>
      </c>
      <c r="M1170" s="61">
        <f t="shared" si="56"/>
        <v>977393000</v>
      </c>
    </row>
    <row r="1171" spans="1:13" x14ac:dyDescent="0.25">
      <c r="A1171" t="s">
        <v>420</v>
      </c>
      <c r="B1171" t="s">
        <v>9</v>
      </c>
      <c r="C1171">
        <v>41639</v>
      </c>
      <c r="D1171" s="61">
        <v>6649237000</v>
      </c>
      <c r="E1171" s="61">
        <v>3280236000</v>
      </c>
      <c r="F1171" s="61">
        <v>2265516000</v>
      </c>
      <c r="G1171" s="61">
        <v>0</v>
      </c>
      <c r="H1171" s="61">
        <v>0</v>
      </c>
      <c r="I1171" t="s">
        <v>13</v>
      </c>
      <c r="J1171" t="s">
        <v>73</v>
      </c>
      <c r="K1171" s="61">
        <f t="shared" si="54"/>
        <v>3369001000</v>
      </c>
      <c r="L1171" s="61">
        <f t="shared" si="55"/>
        <v>2265516000</v>
      </c>
      <c r="M1171" s="61">
        <f t="shared" si="56"/>
        <v>1103485000</v>
      </c>
    </row>
    <row r="1172" spans="1:13" x14ac:dyDescent="0.25">
      <c r="A1172" t="s">
        <v>420</v>
      </c>
      <c r="B1172" t="s">
        <v>10</v>
      </c>
      <c r="C1172">
        <v>42004</v>
      </c>
      <c r="D1172" s="61">
        <v>7216081000</v>
      </c>
      <c r="E1172" s="61">
        <v>3507180000</v>
      </c>
      <c r="F1172" s="61">
        <v>2438527000</v>
      </c>
      <c r="G1172" s="61">
        <v>0</v>
      </c>
      <c r="H1172" s="61">
        <v>0</v>
      </c>
      <c r="I1172" t="s">
        <v>13</v>
      </c>
      <c r="J1172" t="s">
        <v>73</v>
      </c>
      <c r="K1172" s="61">
        <f t="shared" si="54"/>
        <v>3708901000</v>
      </c>
      <c r="L1172" s="61">
        <f t="shared" si="55"/>
        <v>2438527000</v>
      </c>
      <c r="M1172" s="61">
        <f t="shared" si="56"/>
        <v>1270374000</v>
      </c>
    </row>
    <row r="1173" spans="1:13" x14ac:dyDescent="0.25">
      <c r="A1173" t="s">
        <v>420</v>
      </c>
      <c r="B1173" t="s">
        <v>11</v>
      </c>
      <c r="C1173">
        <v>42369</v>
      </c>
      <c r="D1173" s="61">
        <v>7966674000</v>
      </c>
      <c r="E1173" s="61">
        <v>3804031000</v>
      </c>
      <c r="F1173" s="61">
        <v>2648622000</v>
      </c>
      <c r="G1173" s="61">
        <v>0</v>
      </c>
      <c r="H1173" s="61">
        <v>0</v>
      </c>
      <c r="I1173" t="s">
        <v>13</v>
      </c>
      <c r="J1173" t="s">
        <v>73</v>
      </c>
      <c r="K1173" s="61">
        <f t="shared" si="54"/>
        <v>4162643000</v>
      </c>
      <c r="L1173" s="61">
        <f t="shared" si="55"/>
        <v>2648622000</v>
      </c>
      <c r="M1173" s="61">
        <f t="shared" si="56"/>
        <v>1514021000</v>
      </c>
    </row>
    <row r="1174" spans="1:13" x14ac:dyDescent="0.25">
      <c r="A1174" t="s">
        <v>421</v>
      </c>
      <c r="B1174" t="s">
        <v>6</v>
      </c>
      <c r="C1174">
        <v>41274</v>
      </c>
      <c r="D1174" s="61">
        <v>20100000000</v>
      </c>
      <c r="E1174" s="61">
        <v>6530000000</v>
      </c>
      <c r="F1174" s="61">
        <v>1879000000</v>
      </c>
      <c r="G1174" s="61">
        <v>0</v>
      </c>
      <c r="H1174" s="61">
        <v>3585000000</v>
      </c>
      <c r="I1174" t="s">
        <v>77</v>
      </c>
      <c r="J1174" t="s">
        <v>78</v>
      </c>
      <c r="K1174" s="61">
        <f t="shared" si="54"/>
        <v>13570000000</v>
      </c>
      <c r="L1174" s="61">
        <f t="shared" si="55"/>
        <v>5464000000</v>
      </c>
      <c r="M1174" s="61">
        <f t="shared" si="56"/>
        <v>8106000000</v>
      </c>
    </row>
    <row r="1175" spans="1:13" x14ac:dyDescent="0.25">
      <c r="A1175" t="s">
        <v>421</v>
      </c>
      <c r="B1175" t="s">
        <v>9</v>
      </c>
      <c r="C1175">
        <v>41639</v>
      </c>
      <c r="D1175" s="61">
        <v>20170000000</v>
      </c>
      <c r="E1175" s="61">
        <v>6497000000</v>
      </c>
      <c r="F1175" s="61">
        <v>2108000000</v>
      </c>
      <c r="G1175" s="61">
        <v>0</v>
      </c>
      <c r="H1175" s="61">
        <v>4203000000</v>
      </c>
      <c r="I1175" t="s">
        <v>77</v>
      </c>
      <c r="J1175" t="s">
        <v>78</v>
      </c>
      <c r="K1175" s="61">
        <f t="shared" si="54"/>
        <v>13673000000</v>
      </c>
      <c r="L1175" s="61">
        <f t="shared" si="55"/>
        <v>6311000000</v>
      </c>
      <c r="M1175" s="61">
        <f t="shared" si="56"/>
        <v>7362000000</v>
      </c>
    </row>
    <row r="1176" spans="1:13" x14ac:dyDescent="0.25">
      <c r="A1176" t="s">
        <v>421</v>
      </c>
      <c r="B1176" t="s">
        <v>10</v>
      </c>
      <c r="C1176">
        <v>42004</v>
      </c>
      <c r="D1176" s="61">
        <v>19312000000</v>
      </c>
      <c r="E1176" s="61">
        <v>6803000000</v>
      </c>
      <c r="F1176" s="61">
        <v>2053000000</v>
      </c>
      <c r="G1176" s="61">
        <v>0</v>
      </c>
      <c r="H1176" s="61">
        <v>4261000000</v>
      </c>
      <c r="I1176" t="s">
        <v>77</v>
      </c>
      <c r="J1176" t="s">
        <v>78</v>
      </c>
      <c r="K1176" s="61">
        <f t="shared" si="54"/>
        <v>12509000000</v>
      </c>
      <c r="L1176" s="61">
        <f t="shared" si="55"/>
        <v>6314000000</v>
      </c>
      <c r="M1176" s="61">
        <f t="shared" si="56"/>
        <v>6195000000</v>
      </c>
    </row>
    <row r="1177" spans="1:13" x14ac:dyDescent="0.25">
      <c r="A1177" t="s">
        <v>421</v>
      </c>
      <c r="B1177" t="s">
        <v>11</v>
      </c>
      <c r="C1177">
        <v>42369</v>
      </c>
      <c r="D1177" s="61">
        <v>12480000000</v>
      </c>
      <c r="E1177" s="61">
        <v>5804000000</v>
      </c>
      <c r="F1177" s="61">
        <v>1613000000</v>
      </c>
      <c r="G1177" s="61">
        <v>0</v>
      </c>
      <c r="H1177" s="61">
        <v>4544000000</v>
      </c>
      <c r="I1177" t="s">
        <v>77</v>
      </c>
      <c r="J1177" t="s">
        <v>78</v>
      </c>
      <c r="K1177" s="61">
        <f t="shared" si="54"/>
        <v>6676000000</v>
      </c>
      <c r="L1177" s="61">
        <f t="shared" si="55"/>
        <v>6157000000</v>
      </c>
      <c r="M1177" s="61">
        <f t="shared" si="56"/>
        <v>519000000</v>
      </c>
    </row>
    <row r="1178" spans="1:13" x14ac:dyDescent="0.25">
      <c r="A1178" t="s">
        <v>422</v>
      </c>
      <c r="B1178" t="s">
        <v>6</v>
      </c>
      <c r="C1178">
        <v>41274</v>
      </c>
      <c r="D1178" s="61">
        <v>1355300000</v>
      </c>
      <c r="E1178" s="61">
        <v>90800000</v>
      </c>
      <c r="F1178" s="61">
        <v>803800000</v>
      </c>
      <c r="G1178" s="61">
        <v>0</v>
      </c>
      <c r="H1178" s="61">
        <v>76000000</v>
      </c>
      <c r="I1178" t="s">
        <v>41</v>
      </c>
      <c r="J1178" t="s">
        <v>423</v>
      </c>
      <c r="K1178" s="61">
        <f t="shared" si="54"/>
        <v>1264500000</v>
      </c>
      <c r="L1178" s="61">
        <f t="shared" si="55"/>
        <v>879800000</v>
      </c>
      <c r="M1178" s="61">
        <f t="shared" si="56"/>
        <v>384700000</v>
      </c>
    </row>
    <row r="1179" spans="1:13" x14ac:dyDescent="0.25">
      <c r="A1179" t="s">
        <v>422</v>
      </c>
      <c r="B1179" t="s">
        <v>9</v>
      </c>
      <c r="C1179">
        <v>41639</v>
      </c>
      <c r="D1179" s="61">
        <v>1346100000</v>
      </c>
      <c r="E1179" s="61">
        <v>81100000</v>
      </c>
      <c r="F1179" s="61">
        <v>812800000</v>
      </c>
      <c r="G1179" s="61">
        <v>0</v>
      </c>
      <c r="H1179" s="61">
        <v>69900000</v>
      </c>
      <c r="I1179" t="s">
        <v>41</v>
      </c>
      <c r="J1179" t="s">
        <v>423</v>
      </c>
      <c r="K1179" s="61">
        <f t="shared" si="54"/>
        <v>1265000000</v>
      </c>
      <c r="L1179" s="61">
        <f t="shared" si="55"/>
        <v>882700000</v>
      </c>
      <c r="M1179" s="61">
        <f t="shared" si="56"/>
        <v>382300000</v>
      </c>
    </row>
    <row r="1180" spans="1:13" x14ac:dyDescent="0.25">
      <c r="A1180" t="s">
        <v>422</v>
      </c>
      <c r="B1180" t="s">
        <v>10</v>
      </c>
      <c r="C1180">
        <v>42004</v>
      </c>
      <c r="D1180" s="61">
        <v>1381400000</v>
      </c>
      <c r="E1180" s="61">
        <v>80900000</v>
      </c>
      <c r="F1180" s="61">
        <v>816700000</v>
      </c>
      <c r="G1180" s="61">
        <v>0</v>
      </c>
      <c r="H1180" s="61">
        <v>65400000</v>
      </c>
      <c r="I1180" t="s">
        <v>41</v>
      </c>
      <c r="J1180" t="s">
        <v>423</v>
      </c>
      <c r="K1180" s="61">
        <f t="shared" si="54"/>
        <v>1300500000</v>
      </c>
      <c r="L1180" s="61">
        <f t="shared" si="55"/>
        <v>882100000</v>
      </c>
      <c r="M1180" s="61">
        <f t="shared" si="56"/>
        <v>418400000</v>
      </c>
    </row>
    <row r="1181" spans="1:13" x14ac:dyDescent="0.25">
      <c r="A1181" t="s">
        <v>422</v>
      </c>
      <c r="B1181" t="s">
        <v>11</v>
      </c>
      <c r="C1181">
        <v>42369</v>
      </c>
      <c r="D1181" s="61">
        <v>1421300000</v>
      </c>
      <c r="E1181" s="61">
        <v>95500000</v>
      </c>
      <c r="F1181" s="61">
        <v>836700000</v>
      </c>
      <c r="G1181" s="61">
        <v>0</v>
      </c>
      <c r="H1181" s="61">
        <v>57300000</v>
      </c>
      <c r="I1181" t="s">
        <v>41</v>
      </c>
      <c r="J1181" t="s">
        <v>423</v>
      </c>
      <c r="K1181" s="61">
        <f t="shared" si="54"/>
        <v>1325800000</v>
      </c>
      <c r="L1181" s="61">
        <f t="shared" si="55"/>
        <v>894000000</v>
      </c>
      <c r="M1181" s="61">
        <f t="shared" si="56"/>
        <v>431800000</v>
      </c>
    </row>
    <row r="1182" spans="1:13" x14ac:dyDescent="0.25">
      <c r="A1182" t="s">
        <v>424</v>
      </c>
      <c r="B1182" t="s">
        <v>6</v>
      </c>
      <c r="C1182">
        <v>41274</v>
      </c>
      <c r="D1182" s="61">
        <v>3823713000</v>
      </c>
      <c r="E1182" s="61">
        <v>1582398000</v>
      </c>
      <c r="F1182" s="61">
        <v>1489735000</v>
      </c>
      <c r="G1182" s="61">
        <v>114250000</v>
      </c>
      <c r="H1182" s="61">
        <v>0</v>
      </c>
      <c r="I1182" t="s">
        <v>7</v>
      </c>
      <c r="J1182" t="s">
        <v>425</v>
      </c>
      <c r="K1182" s="61">
        <f t="shared" si="54"/>
        <v>2241315000</v>
      </c>
      <c r="L1182" s="61">
        <f t="shared" si="55"/>
        <v>1603985000</v>
      </c>
      <c r="M1182" s="61">
        <f t="shared" si="56"/>
        <v>637330000</v>
      </c>
    </row>
    <row r="1183" spans="1:13" x14ac:dyDescent="0.25">
      <c r="A1183" t="s">
        <v>424</v>
      </c>
      <c r="B1183" t="s">
        <v>9</v>
      </c>
      <c r="C1183">
        <v>41639</v>
      </c>
      <c r="D1183" s="61">
        <v>3791335000</v>
      </c>
      <c r="E1183" s="61">
        <v>1650622000</v>
      </c>
      <c r="F1183" s="61">
        <v>1420096000</v>
      </c>
      <c r="G1183" s="61">
        <v>110412000</v>
      </c>
      <c r="H1183" s="61">
        <v>0</v>
      </c>
      <c r="I1183" t="s">
        <v>7</v>
      </c>
      <c r="J1183" t="s">
        <v>425</v>
      </c>
      <c r="K1183" s="61">
        <f t="shared" si="54"/>
        <v>2140713000</v>
      </c>
      <c r="L1183" s="61">
        <f t="shared" si="55"/>
        <v>1530508000</v>
      </c>
      <c r="M1183" s="61">
        <f t="shared" si="56"/>
        <v>610205000</v>
      </c>
    </row>
    <row r="1184" spans="1:13" x14ac:dyDescent="0.25">
      <c r="A1184" t="s">
        <v>424</v>
      </c>
      <c r="B1184" t="s">
        <v>10</v>
      </c>
      <c r="C1184">
        <v>42004</v>
      </c>
      <c r="D1184" s="61">
        <v>3821504000</v>
      </c>
      <c r="E1184" s="61">
        <v>1680791000</v>
      </c>
      <c r="F1184" s="61">
        <v>1378400000</v>
      </c>
      <c r="G1184" s="61">
        <v>109931000</v>
      </c>
      <c r="H1184" s="61">
        <v>0</v>
      </c>
      <c r="I1184" t="s">
        <v>7</v>
      </c>
      <c r="J1184" t="s">
        <v>425</v>
      </c>
      <c r="K1184" s="61">
        <f t="shared" si="54"/>
        <v>2140713000</v>
      </c>
      <c r="L1184" s="61">
        <f t="shared" si="55"/>
        <v>1488331000</v>
      </c>
      <c r="M1184" s="61">
        <f t="shared" si="56"/>
        <v>652382000</v>
      </c>
    </row>
    <row r="1185" spans="1:13" x14ac:dyDescent="0.25">
      <c r="A1185" t="s">
        <v>424</v>
      </c>
      <c r="B1185" t="s">
        <v>11</v>
      </c>
      <c r="C1185">
        <v>42369</v>
      </c>
      <c r="D1185" s="61">
        <v>3578060000</v>
      </c>
      <c r="E1185" s="61">
        <v>1558591000</v>
      </c>
      <c r="F1185" s="61">
        <v>1279961000</v>
      </c>
      <c r="G1185" s="61">
        <v>110156000</v>
      </c>
      <c r="H1185" s="61">
        <v>0</v>
      </c>
      <c r="I1185" t="s">
        <v>7</v>
      </c>
      <c r="J1185" t="s">
        <v>425</v>
      </c>
      <c r="K1185" s="61">
        <f t="shared" si="54"/>
        <v>2019469000</v>
      </c>
      <c r="L1185" s="61">
        <f t="shared" si="55"/>
        <v>1390117000</v>
      </c>
      <c r="M1185" s="61">
        <f t="shared" si="56"/>
        <v>629352000</v>
      </c>
    </row>
    <row r="1186" spans="1:13" x14ac:dyDescent="0.25">
      <c r="A1186" t="s">
        <v>426</v>
      </c>
      <c r="B1186" t="s">
        <v>6</v>
      </c>
      <c r="C1186">
        <v>41274</v>
      </c>
      <c r="D1186" s="61">
        <v>16596800000</v>
      </c>
      <c r="E1186" s="61">
        <v>13908300000</v>
      </c>
      <c r="F1186" s="61">
        <v>571600000</v>
      </c>
      <c r="G1186" s="61">
        <v>279300000</v>
      </c>
      <c r="H1186" s="61">
        <v>517400000</v>
      </c>
      <c r="I1186" t="s">
        <v>7</v>
      </c>
      <c r="J1186" t="s">
        <v>121</v>
      </c>
      <c r="K1186" s="61">
        <f t="shared" si="54"/>
        <v>2688500000</v>
      </c>
      <c r="L1186" s="61">
        <f t="shared" si="55"/>
        <v>1368300000</v>
      </c>
      <c r="M1186" s="61">
        <f t="shared" si="56"/>
        <v>1320200000</v>
      </c>
    </row>
    <row r="1187" spans="1:13" x14ac:dyDescent="0.25">
      <c r="A1187" t="s">
        <v>426</v>
      </c>
      <c r="B1187" t="s">
        <v>9</v>
      </c>
      <c r="C1187">
        <v>41639</v>
      </c>
      <c r="D1187" s="61">
        <v>16661000000</v>
      </c>
      <c r="E1187" s="61">
        <v>13900700000</v>
      </c>
      <c r="F1187" s="61">
        <v>559500000</v>
      </c>
      <c r="G1187" s="61">
        <v>251400000</v>
      </c>
      <c r="H1187" s="61">
        <v>571700000</v>
      </c>
      <c r="I1187" t="s">
        <v>7</v>
      </c>
      <c r="J1187" t="s">
        <v>121</v>
      </c>
      <c r="K1187" s="61">
        <f t="shared" si="54"/>
        <v>2760300000</v>
      </c>
      <c r="L1187" s="61">
        <f t="shared" si="55"/>
        <v>1382600000</v>
      </c>
      <c r="M1187" s="61">
        <f t="shared" si="56"/>
        <v>1377700000</v>
      </c>
    </row>
    <row r="1188" spans="1:13" x14ac:dyDescent="0.25">
      <c r="A1188" t="s">
        <v>426</v>
      </c>
      <c r="B1188" t="s">
        <v>10</v>
      </c>
      <c r="C1188">
        <v>42004</v>
      </c>
      <c r="D1188" s="61">
        <v>18534400000</v>
      </c>
      <c r="E1188" s="61">
        <v>15481600000</v>
      </c>
      <c r="F1188" s="61">
        <v>561400000</v>
      </c>
      <c r="G1188" s="61">
        <v>215600000</v>
      </c>
      <c r="H1188" s="61">
        <v>588500000</v>
      </c>
      <c r="I1188" t="s">
        <v>7</v>
      </c>
      <c r="J1188" t="s">
        <v>121</v>
      </c>
      <c r="K1188" s="61">
        <f t="shared" si="54"/>
        <v>3052800000</v>
      </c>
      <c r="L1188" s="61">
        <f t="shared" si="55"/>
        <v>1365500000</v>
      </c>
      <c r="M1188" s="61">
        <f t="shared" si="56"/>
        <v>1687300000</v>
      </c>
    </row>
    <row r="1189" spans="1:13" x14ac:dyDescent="0.25">
      <c r="A1189" t="s">
        <v>426</v>
      </c>
      <c r="B1189" t="s">
        <v>11</v>
      </c>
      <c r="C1189">
        <v>42369</v>
      </c>
      <c r="D1189" s="61">
        <v>18671300000</v>
      </c>
      <c r="E1189" s="61">
        <v>15292100000</v>
      </c>
      <c r="F1189" s="61">
        <v>541500000</v>
      </c>
      <c r="G1189" s="61">
        <v>239800000</v>
      </c>
      <c r="H1189" s="61">
        <v>583700000</v>
      </c>
      <c r="I1189" t="s">
        <v>7</v>
      </c>
      <c r="J1189" t="s">
        <v>121</v>
      </c>
      <c r="K1189" s="61">
        <f t="shared" si="54"/>
        <v>3379200000</v>
      </c>
      <c r="L1189" s="61">
        <f t="shared" si="55"/>
        <v>1365000000</v>
      </c>
      <c r="M1189" s="61">
        <f t="shared" si="56"/>
        <v>2014200000</v>
      </c>
    </row>
    <row r="1190" spans="1:13" x14ac:dyDescent="0.25">
      <c r="A1190" t="s">
        <v>427</v>
      </c>
      <c r="B1190" t="s">
        <v>6</v>
      </c>
      <c r="C1190">
        <v>41639</v>
      </c>
      <c r="D1190" s="61">
        <v>15598000000</v>
      </c>
      <c r="E1190" s="61">
        <v>11759000000</v>
      </c>
      <c r="F1190" s="61">
        <v>0</v>
      </c>
      <c r="G1190" s="61">
        <v>0</v>
      </c>
      <c r="H1190" s="61">
        <v>2077000000</v>
      </c>
      <c r="I1190" t="s">
        <v>36</v>
      </c>
      <c r="J1190" t="s">
        <v>37</v>
      </c>
      <c r="K1190" s="61">
        <f t="shared" si="54"/>
        <v>3839000000</v>
      </c>
      <c r="L1190" s="61">
        <f t="shared" si="55"/>
        <v>2077000000</v>
      </c>
      <c r="M1190" s="61">
        <f t="shared" si="56"/>
        <v>1762000000</v>
      </c>
    </row>
    <row r="1191" spans="1:13" x14ac:dyDescent="0.25">
      <c r="A1191" t="s">
        <v>427</v>
      </c>
      <c r="B1191" t="s">
        <v>9</v>
      </c>
      <c r="C1191">
        <v>42004</v>
      </c>
      <c r="D1191" s="61">
        <v>17090000000</v>
      </c>
      <c r="E1191" s="61">
        <v>12207000000</v>
      </c>
      <c r="F1191" s="61">
        <v>0</v>
      </c>
      <c r="G1191" s="61">
        <v>0</v>
      </c>
      <c r="H1191" s="61">
        <v>2433000000</v>
      </c>
      <c r="I1191" t="s">
        <v>36</v>
      </c>
      <c r="J1191" t="s">
        <v>37</v>
      </c>
      <c r="K1191" s="61">
        <f t="shared" si="54"/>
        <v>4883000000</v>
      </c>
      <c r="L1191" s="61">
        <f t="shared" si="55"/>
        <v>2433000000</v>
      </c>
      <c r="M1191" s="61">
        <f t="shared" si="56"/>
        <v>2450000000</v>
      </c>
    </row>
    <row r="1192" spans="1:13" x14ac:dyDescent="0.25">
      <c r="A1192" t="s">
        <v>427</v>
      </c>
      <c r="B1192" t="s">
        <v>10</v>
      </c>
      <c r="C1192">
        <v>42369</v>
      </c>
      <c r="D1192" s="61">
        <v>16833000000</v>
      </c>
      <c r="E1192" s="61">
        <v>12713000000</v>
      </c>
      <c r="F1192" s="61">
        <v>0</v>
      </c>
      <c r="G1192" s="61">
        <v>0</v>
      </c>
      <c r="H1192" s="61">
        <v>2612000000</v>
      </c>
      <c r="I1192" t="s">
        <v>36</v>
      </c>
      <c r="J1192" t="s">
        <v>37</v>
      </c>
      <c r="K1192" s="61">
        <f t="shared" si="54"/>
        <v>4120000000</v>
      </c>
      <c r="L1192" s="61">
        <f t="shared" si="55"/>
        <v>2612000000</v>
      </c>
      <c r="M1192" s="61">
        <f t="shared" si="56"/>
        <v>1508000000</v>
      </c>
    </row>
    <row r="1193" spans="1:13" x14ac:dyDescent="0.25">
      <c r="A1193" t="s">
        <v>427</v>
      </c>
      <c r="B1193" t="s">
        <v>11</v>
      </c>
      <c r="C1193">
        <v>42735</v>
      </c>
      <c r="D1193" s="61">
        <v>17666000000</v>
      </c>
      <c r="E1193" s="61">
        <v>12734000000</v>
      </c>
      <c r="F1193" s="61">
        <v>0</v>
      </c>
      <c r="G1193" s="61">
        <v>0</v>
      </c>
      <c r="H1193" s="61">
        <v>2755000000</v>
      </c>
      <c r="I1193" t="s">
        <v>36</v>
      </c>
      <c r="J1193" t="s">
        <v>37</v>
      </c>
      <c r="K1193" s="61">
        <f t="shared" si="54"/>
        <v>4932000000</v>
      </c>
      <c r="L1193" s="61">
        <f t="shared" si="55"/>
        <v>2755000000</v>
      </c>
      <c r="M1193" s="61">
        <f t="shared" si="56"/>
        <v>2177000000</v>
      </c>
    </row>
    <row r="1194" spans="1:13" x14ac:dyDescent="0.25">
      <c r="A1194" t="s">
        <v>428</v>
      </c>
      <c r="B1194" t="s">
        <v>6</v>
      </c>
      <c r="C1194">
        <v>41274</v>
      </c>
      <c r="D1194" s="61">
        <v>5260956000</v>
      </c>
      <c r="E1194" s="61">
        <v>1177275000</v>
      </c>
      <c r="F1194" s="61">
        <v>2188747000</v>
      </c>
      <c r="G1194" s="61">
        <v>0</v>
      </c>
      <c r="H1194" s="61">
        <v>65141000</v>
      </c>
      <c r="I1194" t="s">
        <v>13</v>
      </c>
      <c r="J1194" t="s">
        <v>71</v>
      </c>
      <c r="K1194" s="61">
        <f t="shared" si="54"/>
        <v>4083681000</v>
      </c>
      <c r="L1194" s="61">
        <f t="shared" si="55"/>
        <v>2253888000</v>
      </c>
      <c r="M1194" s="61">
        <f t="shared" si="56"/>
        <v>1829793000</v>
      </c>
    </row>
    <row r="1195" spans="1:13" x14ac:dyDescent="0.25">
      <c r="A1195" t="s">
        <v>428</v>
      </c>
      <c r="B1195" t="s">
        <v>9</v>
      </c>
      <c r="C1195">
        <v>41639</v>
      </c>
      <c r="D1195" s="61">
        <v>6793306000</v>
      </c>
      <c r="E1195" s="61">
        <v>1077420000</v>
      </c>
      <c r="F1195" s="61">
        <v>3185497000</v>
      </c>
      <c r="G1195" s="61">
        <v>0</v>
      </c>
      <c r="H1195" s="61">
        <v>117975000</v>
      </c>
      <c r="I1195" t="s">
        <v>13</v>
      </c>
      <c r="J1195" t="s">
        <v>71</v>
      </c>
      <c r="K1195" s="61">
        <f t="shared" si="54"/>
        <v>5715886000</v>
      </c>
      <c r="L1195" s="61">
        <f t="shared" si="55"/>
        <v>3303472000</v>
      </c>
      <c r="M1195" s="61">
        <f t="shared" si="56"/>
        <v>2412414000</v>
      </c>
    </row>
    <row r="1196" spans="1:13" x14ac:dyDescent="0.25">
      <c r="A1196" t="s">
        <v>428</v>
      </c>
      <c r="B1196" t="s">
        <v>10</v>
      </c>
      <c r="C1196">
        <v>42004</v>
      </c>
      <c r="D1196" s="61">
        <v>8441971000</v>
      </c>
      <c r="E1196" s="61">
        <v>857841000</v>
      </c>
      <c r="F1196" s="61">
        <v>4302998000</v>
      </c>
      <c r="G1196" s="61">
        <v>0</v>
      </c>
      <c r="H1196" s="61">
        <v>207820000</v>
      </c>
      <c r="I1196" t="s">
        <v>13</v>
      </c>
      <c r="J1196" t="s">
        <v>71</v>
      </c>
      <c r="K1196" s="61">
        <f t="shared" si="54"/>
        <v>7584130000</v>
      </c>
      <c r="L1196" s="61">
        <f t="shared" si="55"/>
        <v>4510818000</v>
      </c>
      <c r="M1196" s="61">
        <f t="shared" si="56"/>
        <v>3073312000</v>
      </c>
    </row>
    <row r="1197" spans="1:13" x14ac:dyDescent="0.25">
      <c r="A1197" t="s">
        <v>428</v>
      </c>
      <c r="B1197" t="s">
        <v>11</v>
      </c>
      <c r="C1197">
        <v>42369</v>
      </c>
      <c r="D1197" s="61">
        <v>9223987000</v>
      </c>
      <c r="E1197" s="61">
        <v>632180000</v>
      </c>
      <c r="F1197" s="61">
        <v>5060406000</v>
      </c>
      <c r="G1197" s="61">
        <v>0</v>
      </c>
      <c r="H1197" s="61">
        <v>272494000</v>
      </c>
      <c r="I1197" t="s">
        <v>13</v>
      </c>
      <c r="J1197" t="s">
        <v>71</v>
      </c>
      <c r="K1197" s="61">
        <f t="shared" si="54"/>
        <v>8591807000</v>
      </c>
      <c r="L1197" s="61">
        <f t="shared" si="55"/>
        <v>5332900000</v>
      </c>
      <c r="M1197" s="61">
        <f t="shared" si="56"/>
        <v>3258907000</v>
      </c>
    </row>
    <row r="1198" spans="1:13" x14ac:dyDescent="0.25">
      <c r="A1198" t="s">
        <v>429</v>
      </c>
      <c r="B1198" t="s">
        <v>6</v>
      </c>
      <c r="C1198">
        <v>41391</v>
      </c>
      <c r="D1198" s="61">
        <v>3637212000</v>
      </c>
      <c r="E1198" s="61">
        <v>2446443000</v>
      </c>
      <c r="F1198" s="61">
        <v>0</v>
      </c>
      <c r="G1198" s="61">
        <v>0</v>
      </c>
      <c r="H1198" s="61">
        <v>0</v>
      </c>
      <c r="I1198" t="s">
        <v>19</v>
      </c>
      <c r="J1198" t="s">
        <v>160</v>
      </c>
      <c r="K1198" s="61">
        <f t="shared" si="54"/>
        <v>1190769000</v>
      </c>
      <c r="L1198" s="61">
        <f t="shared" si="55"/>
        <v>0</v>
      </c>
      <c r="M1198" s="61">
        <f t="shared" si="56"/>
        <v>1190769000</v>
      </c>
    </row>
    <row r="1199" spans="1:13" x14ac:dyDescent="0.25">
      <c r="A1199" t="s">
        <v>429</v>
      </c>
      <c r="B1199" t="s">
        <v>9</v>
      </c>
      <c r="C1199">
        <v>41755</v>
      </c>
      <c r="D1199" s="61">
        <v>3585141000</v>
      </c>
      <c r="E1199" s="61">
        <v>2566444000</v>
      </c>
      <c r="F1199" s="61">
        <v>0</v>
      </c>
      <c r="G1199" s="61">
        <v>0</v>
      </c>
      <c r="H1199" s="61">
        <v>0</v>
      </c>
      <c r="I1199" t="s">
        <v>19</v>
      </c>
      <c r="J1199" t="s">
        <v>160</v>
      </c>
      <c r="K1199" s="61">
        <f t="shared" si="54"/>
        <v>1018697000</v>
      </c>
      <c r="L1199" s="61">
        <f t="shared" si="55"/>
        <v>0</v>
      </c>
      <c r="M1199" s="61">
        <f t="shared" si="56"/>
        <v>1018697000</v>
      </c>
    </row>
    <row r="1200" spans="1:13" x14ac:dyDescent="0.25">
      <c r="A1200" t="s">
        <v>429</v>
      </c>
      <c r="B1200" t="s">
        <v>10</v>
      </c>
      <c r="C1200">
        <v>42119</v>
      </c>
      <c r="D1200" s="61">
        <v>3910865000</v>
      </c>
      <c r="E1200" s="61">
        <v>2850316000</v>
      </c>
      <c r="F1200" s="61">
        <v>0</v>
      </c>
      <c r="G1200" s="61">
        <v>0</v>
      </c>
      <c r="H1200" s="61">
        <v>0</v>
      </c>
      <c r="I1200" t="s">
        <v>19</v>
      </c>
      <c r="J1200" t="s">
        <v>160</v>
      </c>
      <c r="K1200" s="61">
        <f t="shared" si="54"/>
        <v>1060549000</v>
      </c>
      <c r="L1200" s="61">
        <f t="shared" si="55"/>
        <v>0</v>
      </c>
      <c r="M1200" s="61">
        <f t="shared" si="56"/>
        <v>1060549000</v>
      </c>
    </row>
    <row r="1201" spans="1:13" x14ac:dyDescent="0.25">
      <c r="A1201" t="s">
        <v>429</v>
      </c>
      <c r="B1201" t="s">
        <v>11</v>
      </c>
      <c r="C1201">
        <v>42490</v>
      </c>
      <c r="D1201" s="61">
        <v>5386703000</v>
      </c>
      <c r="E1201" s="61">
        <v>4063955000</v>
      </c>
      <c r="F1201" s="61">
        <v>0</v>
      </c>
      <c r="G1201" s="61">
        <v>0</v>
      </c>
      <c r="H1201" s="61">
        <v>0</v>
      </c>
      <c r="I1201" t="s">
        <v>19</v>
      </c>
      <c r="J1201" t="s">
        <v>160</v>
      </c>
      <c r="K1201" s="61">
        <f t="shared" si="54"/>
        <v>1322748000</v>
      </c>
      <c r="L1201" s="61">
        <f t="shared" si="55"/>
        <v>0</v>
      </c>
      <c r="M1201" s="61">
        <f t="shared" si="56"/>
        <v>1322748000</v>
      </c>
    </row>
    <row r="1202" spans="1:13" x14ac:dyDescent="0.25">
      <c r="A1202" t="s">
        <v>430</v>
      </c>
      <c r="B1202" t="s">
        <v>6</v>
      </c>
      <c r="C1202">
        <v>41274</v>
      </c>
      <c r="D1202" s="61">
        <v>9781000000</v>
      </c>
      <c r="E1202" s="61">
        <v>6351000000</v>
      </c>
      <c r="F1202" s="61">
        <v>98000000</v>
      </c>
      <c r="G1202" s="61">
        <v>0</v>
      </c>
      <c r="H1202" s="61">
        <v>1054000000</v>
      </c>
      <c r="I1202" t="s">
        <v>36</v>
      </c>
      <c r="J1202" t="s">
        <v>39</v>
      </c>
      <c r="K1202" s="61">
        <f t="shared" si="54"/>
        <v>3430000000</v>
      </c>
      <c r="L1202" s="61">
        <f t="shared" si="55"/>
        <v>1152000000</v>
      </c>
      <c r="M1202" s="61">
        <f t="shared" si="56"/>
        <v>2278000000</v>
      </c>
    </row>
    <row r="1203" spans="1:13" x14ac:dyDescent="0.25">
      <c r="A1203" t="s">
        <v>430</v>
      </c>
      <c r="B1203" t="s">
        <v>9</v>
      </c>
      <c r="C1203">
        <v>41639</v>
      </c>
      <c r="D1203" s="61">
        <v>9968000000</v>
      </c>
      <c r="E1203" s="61">
        <v>6423000000</v>
      </c>
      <c r="F1203" s="61">
        <v>68000000</v>
      </c>
      <c r="G1203" s="61">
        <v>0</v>
      </c>
      <c r="H1203" s="61">
        <v>1178000000</v>
      </c>
      <c r="I1203" t="s">
        <v>36</v>
      </c>
      <c r="J1203" t="s">
        <v>39</v>
      </c>
      <c r="K1203" s="61">
        <f t="shared" si="54"/>
        <v>3545000000</v>
      </c>
      <c r="L1203" s="61">
        <f t="shared" si="55"/>
        <v>1246000000</v>
      </c>
      <c r="M1203" s="61">
        <f t="shared" si="56"/>
        <v>2299000000</v>
      </c>
    </row>
    <row r="1204" spans="1:13" x14ac:dyDescent="0.25">
      <c r="A1204" t="s">
        <v>430</v>
      </c>
      <c r="B1204" t="s">
        <v>10</v>
      </c>
      <c r="C1204">
        <v>42004</v>
      </c>
      <c r="D1204" s="61">
        <v>10886000000</v>
      </c>
      <c r="E1204" s="61">
        <v>7036000000</v>
      </c>
      <c r="F1204" s="61">
        <v>0</v>
      </c>
      <c r="G1204" s="61">
        <v>0</v>
      </c>
      <c r="H1204" s="61">
        <v>1227000000</v>
      </c>
      <c r="I1204" t="s">
        <v>36</v>
      </c>
      <c r="J1204" t="s">
        <v>39</v>
      </c>
      <c r="K1204" s="61">
        <f t="shared" si="54"/>
        <v>3850000000</v>
      </c>
      <c r="L1204" s="61">
        <f t="shared" si="55"/>
        <v>1227000000</v>
      </c>
      <c r="M1204" s="61">
        <f t="shared" si="56"/>
        <v>2623000000</v>
      </c>
    </row>
    <row r="1205" spans="1:13" x14ac:dyDescent="0.25">
      <c r="A1205" t="s">
        <v>430</v>
      </c>
      <c r="B1205" t="s">
        <v>11</v>
      </c>
      <c r="C1205">
        <v>42369</v>
      </c>
      <c r="D1205" s="61">
        <v>10415000000</v>
      </c>
      <c r="E1205" s="61">
        <v>6239000000</v>
      </c>
      <c r="F1205" s="61">
        <v>0</v>
      </c>
      <c r="G1205" s="61">
        <v>0</v>
      </c>
      <c r="H1205" s="61">
        <v>1214000000</v>
      </c>
      <c r="I1205" t="s">
        <v>36</v>
      </c>
      <c r="J1205" t="s">
        <v>39</v>
      </c>
      <c r="K1205" s="61">
        <f t="shared" si="54"/>
        <v>4176000000</v>
      </c>
      <c r="L1205" s="61">
        <f t="shared" si="55"/>
        <v>1214000000</v>
      </c>
      <c r="M1205" s="61">
        <f t="shared" si="56"/>
        <v>2962000000</v>
      </c>
    </row>
    <row r="1206" spans="1:13" x14ac:dyDescent="0.25">
      <c r="A1206" t="s">
        <v>431</v>
      </c>
      <c r="B1206" t="s">
        <v>6</v>
      </c>
      <c r="C1206">
        <v>41636</v>
      </c>
      <c r="D1206" s="61">
        <v>66415000000</v>
      </c>
      <c r="E1206" s="61">
        <v>31243000000</v>
      </c>
      <c r="F1206" s="61">
        <v>25357000000</v>
      </c>
      <c r="G1206" s="61">
        <v>0</v>
      </c>
      <c r="H1206" s="61">
        <v>110000000</v>
      </c>
      <c r="I1206" t="s">
        <v>30</v>
      </c>
      <c r="J1206" t="s">
        <v>208</v>
      </c>
      <c r="K1206" s="61">
        <f t="shared" si="54"/>
        <v>35172000000</v>
      </c>
      <c r="L1206" s="61">
        <f t="shared" si="55"/>
        <v>25467000000</v>
      </c>
      <c r="M1206" s="61">
        <f t="shared" si="56"/>
        <v>9705000000</v>
      </c>
    </row>
    <row r="1207" spans="1:13" x14ac:dyDescent="0.25">
      <c r="A1207" t="s">
        <v>431</v>
      </c>
      <c r="B1207" t="s">
        <v>9</v>
      </c>
      <c r="C1207">
        <v>42000</v>
      </c>
      <c r="D1207" s="61">
        <v>66683000000</v>
      </c>
      <c r="E1207" s="61">
        <v>31238000000</v>
      </c>
      <c r="F1207" s="61">
        <v>25772000000</v>
      </c>
      <c r="G1207" s="61">
        <v>0</v>
      </c>
      <c r="H1207" s="61">
        <v>92000000</v>
      </c>
      <c r="I1207" t="s">
        <v>30</v>
      </c>
      <c r="J1207" t="s">
        <v>208</v>
      </c>
      <c r="K1207" s="61">
        <f t="shared" si="54"/>
        <v>35445000000</v>
      </c>
      <c r="L1207" s="61">
        <f t="shared" si="55"/>
        <v>25864000000</v>
      </c>
      <c r="M1207" s="61">
        <f t="shared" si="56"/>
        <v>9581000000</v>
      </c>
    </row>
    <row r="1208" spans="1:13" x14ac:dyDescent="0.25">
      <c r="A1208" t="s">
        <v>431</v>
      </c>
      <c r="B1208" t="s">
        <v>10</v>
      </c>
      <c r="C1208">
        <v>42364</v>
      </c>
      <c r="D1208" s="61">
        <v>63056000000</v>
      </c>
      <c r="E1208" s="61">
        <v>28731000000</v>
      </c>
      <c r="F1208" s="61">
        <v>24538000000</v>
      </c>
      <c r="G1208" s="61">
        <v>0</v>
      </c>
      <c r="H1208" s="61">
        <v>75000000</v>
      </c>
      <c r="I1208" t="s">
        <v>30</v>
      </c>
      <c r="J1208" t="s">
        <v>208</v>
      </c>
      <c r="K1208" s="61">
        <f t="shared" si="54"/>
        <v>34325000000</v>
      </c>
      <c r="L1208" s="61">
        <f t="shared" si="55"/>
        <v>24613000000</v>
      </c>
      <c r="M1208" s="61">
        <f t="shared" si="56"/>
        <v>9712000000</v>
      </c>
    </row>
    <row r="1209" spans="1:13" x14ac:dyDescent="0.25">
      <c r="A1209" t="s">
        <v>431</v>
      </c>
      <c r="B1209" t="s">
        <v>11</v>
      </c>
      <c r="C1209">
        <v>42735</v>
      </c>
      <c r="D1209" s="61">
        <v>62799000000</v>
      </c>
      <c r="E1209" s="61">
        <v>28209000000</v>
      </c>
      <c r="F1209" s="61">
        <v>24735000000</v>
      </c>
      <c r="G1209" s="61">
        <v>0</v>
      </c>
      <c r="H1209" s="61">
        <v>70000000</v>
      </c>
      <c r="I1209" t="s">
        <v>30</v>
      </c>
      <c r="J1209" t="s">
        <v>208</v>
      </c>
      <c r="K1209" s="61">
        <f t="shared" si="54"/>
        <v>34590000000</v>
      </c>
      <c r="L1209" s="61">
        <f t="shared" si="55"/>
        <v>24805000000</v>
      </c>
      <c r="M1209" s="61">
        <f t="shared" si="56"/>
        <v>9785000000</v>
      </c>
    </row>
    <row r="1210" spans="1:13" x14ac:dyDescent="0.25">
      <c r="A1210" t="s">
        <v>432</v>
      </c>
      <c r="B1210" t="s">
        <v>6</v>
      </c>
      <c r="C1210">
        <v>41274</v>
      </c>
      <c r="D1210" s="61">
        <v>54657000000</v>
      </c>
      <c r="E1210" s="61">
        <v>9821000000</v>
      </c>
      <c r="F1210" s="61">
        <v>15171000000</v>
      </c>
      <c r="G1210" s="61">
        <v>7482000000</v>
      </c>
      <c r="H1210" s="61">
        <v>5109000000</v>
      </c>
      <c r="I1210" t="s">
        <v>19</v>
      </c>
      <c r="J1210" t="s">
        <v>20</v>
      </c>
      <c r="K1210" s="61">
        <f t="shared" si="54"/>
        <v>44836000000</v>
      </c>
      <c r="L1210" s="61">
        <f t="shared" si="55"/>
        <v>27762000000</v>
      </c>
      <c r="M1210" s="61">
        <f t="shared" si="56"/>
        <v>17074000000</v>
      </c>
    </row>
    <row r="1211" spans="1:13" x14ac:dyDescent="0.25">
      <c r="A1211" t="s">
        <v>432</v>
      </c>
      <c r="B1211" t="s">
        <v>9</v>
      </c>
      <c r="C1211">
        <v>41639</v>
      </c>
      <c r="D1211" s="61">
        <v>51584000000</v>
      </c>
      <c r="E1211" s="61">
        <v>9586000000</v>
      </c>
      <c r="F1211" s="61">
        <v>14355000000</v>
      </c>
      <c r="G1211" s="61">
        <v>6678000000</v>
      </c>
      <c r="H1211" s="61">
        <v>4599000000</v>
      </c>
      <c r="I1211" t="s">
        <v>19</v>
      </c>
      <c r="J1211" t="s">
        <v>20</v>
      </c>
      <c r="K1211" s="61">
        <f t="shared" si="54"/>
        <v>41998000000</v>
      </c>
      <c r="L1211" s="61">
        <f t="shared" si="55"/>
        <v>25632000000</v>
      </c>
      <c r="M1211" s="61">
        <f t="shared" si="56"/>
        <v>16366000000</v>
      </c>
    </row>
    <row r="1212" spans="1:13" x14ac:dyDescent="0.25">
      <c r="A1212" t="s">
        <v>432</v>
      </c>
      <c r="B1212" t="s">
        <v>10</v>
      </c>
      <c r="C1212">
        <v>42004</v>
      </c>
      <c r="D1212" s="61">
        <v>49605000000</v>
      </c>
      <c r="E1212" s="61">
        <v>9577000000</v>
      </c>
      <c r="F1212" s="61">
        <v>14097000000</v>
      </c>
      <c r="G1212" s="61">
        <v>8393000000</v>
      </c>
      <c r="H1212" s="61">
        <v>4039000000</v>
      </c>
      <c r="I1212" t="s">
        <v>19</v>
      </c>
      <c r="J1212" t="s">
        <v>20</v>
      </c>
      <c r="K1212" s="61">
        <f t="shared" si="54"/>
        <v>40028000000</v>
      </c>
      <c r="L1212" s="61">
        <f t="shared" si="55"/>
        <v>26529000000</v>
      </c>
      <c r="M1212" s="61">
        <f t="shared" si="56"/>
        <v>13499000000</v>
      </c>
    </row>
    <row r="1213" spans="1:13" x14ac:dyDescent="0.25">
      <c r="A1213" t="s">
        <v>432</v>
      </c>
      <c r="B1213" t="s">
        <v>11</v>
      </c>
      <c r="C1213">
        <v>42369</v>
      </c>
      <c r="D1213" s="61">
        <v>48851000000</v>
      </c>
      <c r="E1213" s="61">
        <v>9648000000</v>
      </c>
      <c r="F1213" s="61">
        <v>14809000000</v>
      </c>
      <c r="G1213" s="61">
        <v>7690000000</v>
      </c>
      <c r="H1213" s="61">
        <v>3728000000</v>
      </c>
      <c r="I1213" t="s">
        <v>19</v>
      </c>
      <c r="J1213" t="s">
        <v>20</v>
      </c>
      <c r="K1213" s="61">
        <f t="shared" si="54"/>
        <v>39203000000</v>
      </c>
      <c r="L1213" s="61">
        <f t="shared" si="55"/>
        <v>26227000000</v>
      </c>
      <c r="M1213" s="61">
        <f t="shared" si="56"/>
        <v>12976000000</v>
      </c>
    </row>
    <row r="1214" spans="1:13" x14ac:dyDescent="0.25">
      <c r="A1214" t="s">
        <v>433</v>
      </c>
      <c r="B1214" t="s">
        <v>6</v>
      </c>
      <c r="C1214">
        <v>41639</v>
      </c>
      <c r="D1214" s="61">
        <v>9289500000</v>
      </c>
      <c r="E1214" s="61">
        <v>4683600000</v>
      </c>
      <c r="F1214" s="61">
        <v>189000000</v>
      </c>
      <c r="G1214" s="61">
        <v>0</v>
      </c>
      <c r="H1214" s="61">
        <v>3292900000</v>
      </c>
      <c r="I1214" t="s">
        <v>41</v>
      </c>
      <c r="J1214" t="s">
        <v>373</v>
      </c>
      <c r="K1214" s="61">
        <f t="shared" si="54"/>
        <v>4605900000</v>
      </c>
      <c r="L1214" s="61">
        <f t="shared" si="55"/>
        <v>3481900000</v>
      </c>
      <c r="M1214" s="61">
        <f t="shared" si="56"/>
        <v>1124000000</v>
      </c>
    </row>
    <row r="1215" spans="1:13" x14ac:dyDescent="0.25">
      <c r="A1215" t="s">
        <v>433</v>
      </c>
      <c r="B1215" t="s">
        <v>9</v>
      </c>
      <c r="C1215">
        <v>42004</v>
      </c>
      <c r="D1215" s="61">
        <v>10477600000</v>
      </c>
      <c r="E1215" s="61">
        <v>5231000000</v>
      </c>
      <c r="F1215" s="61">
        <v>177400000</v>
      </c>
      <c r="G1215" s="61">
        <v>0</v>
      </c>
      <c r="H1215" s="61">
        <v>3574300000</v>
      </c>
      <c r="I1215" t="s">
        <v>41</v>
      </c>
      <c r="J1215" t="s">
        <v>373</v>
      </c>
      <c r="K1215" s="61">
        <f t="shared" si="54"/>
        <v>5246600000</v>
      </c>
      <c r="L1215" s="61">
        <f t="shared" si="55"/>
        <v>3751700000</v>
      </c>
      <c r="M1215" s="61">
        <f t="shared" si="56"/>
        <v>1494900000</v>
      </c>
    </row>
    <row r="1216" spans="1:13" x14ac:dyDescent="0.25">
      <c r="A1216" t="s">
        <v>433</v>
      </c>
      <c r="B1216" t="s">
        <v>10</v>
      </c>
      <c r="C1216">
        <v>42369</v>
      </c>
      <c r="D1216" s="61">
        <v>11964400000</v>
      </c>
      <c r="E1216" s="61">
        <v>6697700000</v>
      </c>
      <c r="F1216" s="61">
        <v>163500000</v>
      </c>
      <c r="G1216" s="61">
        <v>0</v>
      </c>
      <c r="H1216" s="61">
        <v>3672400000</v>
      </c>
      <c r="I1216" t="s">
        <v>41</v>
      </c>
      <c r="J1216" t="s">
        <v>373</v>
      </c>
      <c r="K1216" s="61">
        <f t="shared" si="54"/>
        <v>5266700000</v>
      </c>
      <c r="L1216" s="61">
        <f t="shared" si="55"/>
        <v>3835900000</v>
      </c>
      <c r="M1216" s="61">
        <f t="shared" si="56"/>
        <v>1430800000</v>
      </c>
    </row>
    <row r="1217" spans="1:13" x14ac:dyDescent="0.25">
      <c r="A1217" t="s">
        <v>433</v>
      </c>
      <c r="B1217" t="s">
        <v>11</v>
      </c>
      <c r="C1217">
        <v>42735</v>
      </c>
      <c r="D1217" s="61">
        <v>12394100000</v>
      </c>
      <c r="E1217" s="61">
        <v>6913200000</v>
      </c>
      <c r="F1217" s="61">
        <v>156600000</v>
      </c>
      <c r="G1217" s="61">
        <v>0</v>
      </c>
      <c r="H1217" s="61">
        <v>3732600000</v>
      </c>
      <c r="I1217" t="s">
        <v>41</v>
      </c>
      <c r="J1217" t="s">
        <v>373</v>
      </c>
      <c r="K1217" s="61">
        <f t="shared" si="54"/>
        <v>5480900000</v>
      </c>
      <c r="L1217" s="61">
        <f t="shared" si="55"/>
        <v>3889200000</v>
      </c>
      <c r="M1217" s="61">
        <f t="shared" si="56"/>
        <v>1591700000</v>
      </c>
    </row>
    <row r="1218" spans="1:13" x14ac:dyDescent="0.25">
      <c r="A1218" t="s">
        <v>434</v>
      </c>
      <c r="B1218" t="s">
        <v>6</v>
      </c>
      <c r="C1218">
        <v>41639</v>
      </c>
      <c r="D1218" s="61">
        <v>2104745000</v>
      </c>
      <c r="E1218" s="61">
        <v>155355000</v>
      </c>
      <c r="F1218" s="61">
        <v>346393000</v>
      </c>
      <c r="G1218" s="61">
        <v>859947000</v>
      </c>
      <c r="H1218" s="61">
        <v>0</v>
      </c>
      <c r="I1218" t="s">
        <v>30</v>
      </c>
      <c r="J1218" t="s">
        <v>164</v>
      </c>
      <c r="K1218" s="61">
        <f t="shared" ref="K1218:K1281" si="57">D1218-E1218</f>
        <v>1949390000</v>
      </c>
      <c r="L1218" s="61">
        <f t="shared" ref="L1218:L1281" si="58">F1218+G1218+H1218</f>
        <v>1206340000</v>
      </c>
      <c r="M1218" s="61">
        <f t="shared" si="56"/>
        <v>743050000</v>
      </c>
    </row>
    <row r="1219" spans="1:13" x14ac:dyDescent="0.25">
      <c r="A1219" t="s">
        <v>434</v>
      </c>
      <c r="B1219" t="s">
        <v>9</v>
      </c>
      <c r="C1219">
        <v>42004</v>
      </c>
      <c r="D1219" s="61">
        <v>2819557000</v>
      </c>
      <c r="E1219" s="61">
        <v>205018000</v>
      </c>
      <c r="F1219" s="61">
        <v>519267000</v>
      </c>
      <c r="G1219" s="61">
        <v>1271353000</v>
      </c>
      <c r="H1219" s="61">
        <v>0</v>
      </c>
      <c r="I1219" t="s">
        <v>30</v>
      </c>
      <c r="J1219" t="s">
        <v>164</v>
      </c>
      <c r="K1219" s="61">
        <f t="shared" si="57"/>
        <v>2614539000</v>
      </c>
      <c r="L1219" s="61">
        <f t="shared" si="58"/>
        <v>1790620000</v>
      </c>
      <c r="M1219" s="61">
        <f t="shared" ref="M1219:M1282" si="59">K1219-L1219</f>
        <v>823919000</v>
      </c>
    </row>
    <row r="1220" spans="1:13" x14ac:dyDescent="0.25">
      <c r="A1220" t="s">
        <v>434</v>
      </c>
      <c r="B1220" t="s">
        <v>10</v>
      </c>
      <c r="C1220">
        <v>42369</v>
      </c>
      <c r="D1220" s="61">
        <v>4103728000</v>
      </c>
      <c r="E1220" s="61">
        <v>392709000</v>
      </c>
      <c r="F1220" s="61">
        <v>838526000</v>
      </c>
      <c r="G1220" s="61">
        <v>1620577000</v>
      </c>
      <c r="H1220" s="61">
        <v>0</v>
      </c>
      <c r="I1220" t="s">
        <v>30</v>
      </c>
      <c r="J1220" t="s">
        <v>164</v>
      </c>
      <c r="K1220" s="61">
        <f t="shared" si="57"/>
        <v>3711019000</v>
      </c>
      <c r="L1220" s="61">
        <f t="shared" si="58"/>
        <v>2459103000</v>
      </c>
      <c r="M1220" s="61">
        <f t="shared" si="59"/>
        <v>1251916000</v>
      </c>
    </row>
    <row r="1221" spans="1:13" x14ac:dyDescent="0.25">
      <c r="A1221" t="s">
        <v>434</v>
      </c>
      <c r="B1221" t="s">
        <v>11</v>
      </c>
      <c r="C1221">
        <v>42735</v>
      </c>
      <c r="D1221" s="61">
        <v>4860427000</v>
      </c>
      <c r="E1221" s="61">
        <v>299694000</v>
      </c>
      <c r="F1221" s="61">
        <v>1177697000</v>
      </c>
      <c r="G1221" s="61">
        <v>2052295000</v>
      </c>
      <c r="H1221" s="61">
        <v>0</v>
      </c>
      <c r="I1221" t="s">
        <v>30</v>
      </c>
      <c r="J1221" t="s">
        <v>164</v>
      </c>
      <c r="K1221" s="61">
        <f t="shared" si="57"/>
        <v>4560733000</v>
      </c>
      <c r="L1221" s="61">
        <f t="shared" si="58"/>
        <v>3229992000</v>
      </c>
      <c r="M1221" s="61">
        <f t="shared" si="59"/>
        <v>1330741000</v>
      </c>
    </row>
    <row r="1222" spans="1:13" x14ac:dyDescent="0.25">
      <c r="A1222" t="s">
        <v>435</v>
      </c>
      <c r="B1222" t="s">
        <v>6</v>
      </c>
      <c r="C1222">
        <v>41274</v>
      </c>
      <c r="D1222" s="61">
        <v>17083900000</v>
      </c>
      <c r="E1222" s="61">
        <v>15590900000</v>
      </c>
      <c r="F1222" s="61">
        <v>15400000</v>
      </c>
      <c r="G1222" s="61">
        <v>0</v>
      </c>
      <c r="H1222" s="61">
        <v>36100000</v>
      </c>
      <c r="I1222" t="s">
        <v>41</v>
      </c>
      <c r="J1222" t="s">
        <v>44</v>
      </c>
      <c r="K1222" s="61">
        <f t="shared" si="57"/>
        <v>1493000000</v>
      </c>
      <c r="L1222" s="61">
        <f t="shared" si="58"/>
        <v>51500000</v>
      </c>
      <c r="M1222" s="61">
        <f t="shared" si="59"/>
        <v>1441500000</v>
      </c>
    </row>
    <row r="1223" spans="1:13" x14ac:dyDescent="0.25">
      <c r="A1223" t="s">
        <v>435</v>
      </c>
      <c r="B1223" t="s">
        <v>9</v>
      </c>
      <c r="C1223">
        <v>41639</v>
      </c>
      <c r="D1223" s="61">
        <v>18170900000</v>
      </c>
      <c r="E1223" s="61">
        <v>16275100000</v>
      </c>
      <c r="F1223" s="61">
        <v>18800000</v>
      </c>
      <c r="G1223" s="61">
        <v>0</v>
      </c>
      <c r="H1223" s="61">
        <v>38800000</v>
      </c>
      <c r="I1223" t="s">
        <v>41</v>
      </c>
      <c r="J1223" t="s">
        <v>44</v>
      </c>
      <c r="K1223" s="61">
        <f t="shared" si="57"/>
        <v>1895800000</v>
      </c>
      <c r="L1223" s="61">
        <f t="shared" si="58"/>
        <v>57600000</v>
      </c>
      <c r="M1223" s="61">
        <f t="shared" si="59"/>
        <v>1838200000</v>
      </c>
    </row>
    <row r="1224" spans="1:13" x14ac:dyDescent="0.25">
      <c r="A1224" t="s">
        <v>435</v>
      </c>
      <c r="B1224" t="s">
        <v>10</v>
      </c>
      <c r="C1224">
        <v>42004</v>
      </c>
      <c r="D1224" s="61">
        <v>19391400000</v>
      </c>
      <c r="E1224" s="61">
        <v>17297300000</v>
      </c>
      <c r="F1224" s="61">
        <v>18900000</v>
      </c>
      <c r="G1224" s="61">
        <v>0</v>
      </c>
      <c r="H1224" s="61">
        <v>50900000</v>
      </c>
      <c r="I1224" t="s">
        <v>41</v>
      </c>
      <c r="J1224" t="s">
        <v>44</v>
      </c>
      <c r="K1224" s="61">
        <f t="shared" si="57"/>
        <v>2094100000</v>
      </c>
      <c r="L1224" s="61">
        <f t="shared" si="58"/>
        <v>69800000</v>
      </c>
      <c r="M1224" s="61">
        <f t="shared" si="59"/>
        <v>2024300000</v>
      </c>
    </row>
    <row r="1225" spans="1:13" x14ac:dyDescent="0.25">
      <c r="A1225" t="s">
        <v>435</v>
      </c>
      <c r="B1225" t="s">
        <v>11</v>
      </c>
      <c r="C1225">
        <v>42369</v>
      </c>
      <c r="D1225" s="61">
        <v>20853800000</v>
      </c>
      <c r="E1225" s="61">
        <v>18705900000</v>
      </c>
      <c r="F1225" s="61">
        <v>22800000</v>
      </c>
      <c r="G1225" s="61">
        <v>0</v>
      </c>
      <c r="H1225" s="61">
        <v>77500000</v>
      </c>
      <c r="I1225" t="s">
        <v>41</v>
      </c>
      <c r="J1225" t="s">
        <v>44</v>
      </c>
      <c r="K1225" s="61">
        <f t="shared" si="57"/>
        <v>2147900000</v>
      </c>
      <c r="L1225" s="61">
        <f t="shared" si="58"/>
        <v>100300000</v>
      </c>
      <c r="M1225" s="61">
        <f t="shared" si="59"/>
        <v>2047600000</v>
      </c>
    </row>
    <row r="1226" spans="1:13" x14ac:dyDescent="0.25">
      <c r="A1226" t="s">
        <v>436</v>
      </c>
      <c r="B1226" t="s">
        <v>6</v>
      </c>
      <c r="C1226">
        <v>41455</v>
      </c>
      <c r="D1226" s="61">
        <v>13015704000</v>
      </c>
      <c r="E1226" s="61">
        <v>10086675000</v>
      </c>
      <c r="F1226" s="61">
        <v>1554973000</v>
      </c>
      <c r="G1226" s="61">
        <v>0</v>
      </c>
      <c r="H1226" s="61">
        <v>0</v>
      </c>
      <c r="I1226" t="s">
        <v>7</v>
      </c>
      <c r="J1226" t="s">
        <v>158</v>
      </c>
      <c r="K1226" s="61">
        <f t="shared" si="57"/>
        <v>2929029000</v>
      </c>
      <c r="L1226" s="61">
        <f t="shared" si="58"/>
        <v>1554973000</v>
      </c>
      <c r="M1226" s="61">
        <f t="shared" si="59"/>
        <v>1374056000</v>
      </c>
    </row>
    <row r="1227" spans="1:13" x14ac:dyDescent="0.25">
      <c r="A1227" t="s">
        <v>436</v>
      </c>
      <c r="B1227" t="s">
        <v>9</v>
      </c>
      <c r="C1227">
        <v>41820</v>
      </c>
      <c r="D1227" s="61">
        <v>13215971000</v>
      </c>
      <c r="E1227" s="61">
        <v>10188227000</v>
      </c>
      <c r="F1227" s="61">
        <v>1633992000</v>
      </c>
      <c r="G1227" s="61">
        <v>0</v>
      </c>
      <c r="H1227" s="61">
        <v>0</v>
      </c>
      <c r="I1227" t="s">
        <v>7</v>
      </c>
      <c r="J1227" t="s">
        <v>158</v>
      </c>
      <c r="K1227" s="61">
        <f t="shared" si="57"/>
        <v>3027744000</v>
      </c>
      <c r="L1227" s="61">
        <f t="shared" si="58"/>
        <v>1633992000</v>
      </c>
      <c r="M1227" s="61">
        <f t="shared" si="59"/>
        <v>1393752000</v>
      </c>
    </row>
    <row r="1228" spans="1:13" x14ac:dyDescent="0.25">
      <c r="A1228" t="s">
        <v>436</v>
      </c>
      <c r="B1228" t="s">
        <v>10</v>
      </c>
      <c r="C1228">
        <v>42185</v>
      </c>
      <c r="D1228" s="61">
        <v>12711744000</v>
      </c>
      <c r="E1228" s="61">
        <v>9655245000</v>
      </c>
      <c r="F1228" s="61">
        <v>1544746000</v>
      </c>
      <c r="G1228" s="61">
        <v>0</v>
      </c>
      <c r="H1228" s="61">
        <v>0</v>
      </c>
      <c r="I1228" t="s">
        <v>7</v>
      </c>
      <c r="J1228" t="s">
        <v>158</v>
      </c>
      <c r="K1228" s="61">
        <f t="shared" si="57"/>
        <v>3056499000</v>
      </c>
      <c r="L1228" s="61">
        <f t="shared" si="58"/>
        <v>1544746000</v>
      </c>
      <c r="M1228" s="61">
        <f t="shared" si="59"/>
        <v>1511753000</v>
      </c>
    </row>
    <row r="1229" spans="1:13" x14ac:dyDescent="0.25">
      <c r="A1229" t="s">
        <v>436</v>
      </c>
      <c r="B1229" t="s">
        <v>11</v>
      </c>
      <c r="C1229">
        <v>42551</v>
      </c>
      <c r="D1229" s="61">
        <v>11360753000</v>
      </c>
      <c r="E1229" s="61">
        <v>8823384000</v>
      </c>
      <c r="F1229" s="61">
        <v>1359360000</v>
      </c>
      <c r="G1229" s="61">
        <v>0</v>
      </c>
      <c r="H1229" s="61">
        <v>0</v>
      </c>
      <c r="I1229" t="s">
        <v>7</v>
      </c>
      <c r="J1229" t="s">
        <v>158</v>
      </c>
      <c r="K1229" s="61">
        <f t="shared" si="57"/>
        <v>2537369000</v>
      </c>
      <c r="L1229" s="61">
        <f t="shared" si="58"/>
        <v>1359360000</v>
      </c>
      <c r="M1229" s="61">
        <f t="shared" si="59"/>
        <v>1178009000</v>
      </c>
    </row>
    <row r="1230" spans="1:13" x14ac:dyDescent="0.25">
      <c r="A1230" t="s">
        <v>437</v>
      </c>
      <c r="B1230" t="s">
        <v>6</v>
      </c>
      <c r="C1230">
        <v>41639</v>
      </c>
      <c r="D1230" s="61">
        <v>5679595000</v>
      </c>
      <c r="E1230" s="61">
        <v>4507196000</v>
      </c>
      <c r="F1230" s="61">
        <v>568500000</v>
      </c>
      <c r="G1230" s="61">
        <v>0</v>
      </c>
      <c r="H1230" s="61">
        <v>0</v>
      </c>
      <c r="I1230" t="s">
        <v>13</v>
      </c>
      <c r="J1230" t="s">
        <v>195</v>
      </c>
      <c r="K1230" s="61">
        <f t="shared" si="57"/>
        <v>1172399000</v>
      </c>
      <c r="L1230" s="61">
        <f t="shared" si="58"/>
        <v>568500000</v>
      </c>
      <c r="M1230" s="61">
        <f t="shared" si="59"/>
        <v>603899000</v>
      </c>
    </row>
    <row r="1231" spans="1:13" x14ac:dyDescent="0.25">
      <c r="A1231" t="s">
        <v>437</v>
      </c>
      <c r="B1231" t="s">
        <v>9</v>
      </c>
      <c r="C1231">
        <v>42004</v>
      </c>
      <c r="D1231" s="61">
        <v>5822363000</v>
      </c>
      <c r="E1231" s="61">
        <v>4244479000</v>
      </c>
      <c r="F1231" s="61">
        <v>861390000</v>
      </c>
      <c r="G1231" s="61">
        <v>0</v>
      </c>
      <c r="H1231" s="61">
        <v>0</v>
      </c>
      <c r="I1231" t="s">
        <v>13</v>
      </c>
      <c r="J1231" t="s">
        <v>195</v>
      </c>
      <c r="K1231" s="61">
        <f t="shared" si="57"/>
        <v>1577884000</v>
      </c>
      <c r="L1231" s="61">
        <f t="shared" si="58"/>
        <v>861390000</v>
      </c>
      <c r="M1231" s="61">
        <f t="shared" si="59"/>
        <v>716494000</v>
      </c>
    </row>
    <row r="1232" spans="1:13" x14ac:dyDescent="0.25">
      <c r="A1232" t="s">
        <v>437</v>
      </c>
      <c r="B1232" t="s">
        <v>10</v>
      </c>
      <c r="C1232">
        <v>42369</v>
      </c>
      <c r="D1232" s="61">
        <v>5981964000</v>
      </c>
      <c r="E1232" s="61">
        <v>4353850000</v>
      </c>
      <c r="F1232" s="61">
        <v>794728000</v>
      </c>
      <c r="G1232" s="61">
        <v>0</v>
      </c>
      <c r="H1232" s="61">
        <v>0</v>
      </c>
      <c r="I1232" t="s">
        <v>13</v>
      </c>
      <c r="J1232" t="s">
        <v>195</v>
      </c>
      <c r="K1232" s="61">
        <f t="shared" si="57"/>
        <v>1628114000</v>
      </c>
      <c r="L1232" s="61">
        <f t="shared" si="58"/>
        <v>794728000</v>
      </c>
      <c r="M1232" s="61">
        <f t="shared" si="59"/>
        <v>833386000</v>
      </c>
    </row>
    <row r="1233" spans="1:13" x14ac:dyDescent="0.25">
      <c r="A1233" t="s">
        <v>437</v>
      </c>
      <c r="B1233" t="s">
        <v>11</v>
      </c>
      <c r="C1233">
        <v>42735</v>
      </c>
      <c r="D1233" s="61">
        <v>7668476000</v>
      </c>
      <c r="E1233" s="61">
        <v>5728662000</v>
      </c>
      <c r="F1233" s="61">
        <v>957150000</v>
      </c>
      <c r="G1233" s="61">
        <v>0</v>
      </c>
      <c r="H1233" s="61">
        <v>0</v>
      </c>
      <c r="I1233" t="s">
        <v>13</v>
      </c>
      <c r="J1233" t="s">
        <v>195</v>
      </c>
      <c r="K1233" s="61">
        <f t="shared" si="57"/>
        <v>1939814000</v>
      </c>
      <c r="L1233" s="61">
        <f t="shared" si="58"/>
        <v>957150000</v>
      </c>
      <c r="M1233" s="61">
        <f t="shared" si="59"/>
        <v>982664000</v>
      </c>
    </row>
    <row r="1234" spans="1:13" x14ac:dyDescent="0.25">
      <c r="A1234" t="s">
        <v>438</v>
      </c>
      <c r="B1234" t="s">
        <v>6</v>
      </c>
      <c r="C1234">
        <v>41273</v>
      </c>
      <c r="D1234" s="61">
        <v>2105188000</v>
      </c>
      <c r="E1234" s="61">
        <v>1143659000</v>
      </c>
      <c r="F1234" s="61">
        <v>627370000</v>
      </c>
      <c r="G1234" s="61">
        <v>131835000</v>
      </c>
      <c r="H1234" s="61">
        <v>0</v>
      </c>
      <c r="I1234" t="s">
        <v>19</v>
      </c>
      <c r="J1234" t="s">
        <v>24</v>
      </c>
      <c r="K1234" s="61">
        <f t="shared" si="57"/>
        <v>961529000</v>
      </c>
      <c r="L1234" s="61">
        <f t="shared" si="58"/>
        <v>759205000</v>
      </c>
      <c r="M1234" s="61">
        <f t="shared" si="59"/>
        <v>202324000</v>
      </c>
    </row>
    <row r="1235" spans="1:13" x14ac:dyDescent="0.25">
      <c r="A1235" t="s">
        <v>438</v>
      </c>
      <c r="B1235" t="s">
        <v>9</v>
      </c>
      <c r="C1235">
        <v>41637</v>
      </c>
      <c r="D1235" s="61">
        <v>2157586000</v>
      </c>
      <c r="E1235" s="61">
        <v>1181444000</v>
      </c>
      <c r="F1235" s="61">
        <v>581898000</v>
      </c>
      <c r="G1235" s="61">
        <v>132400000</v>
      </c>
      <c r="H1235" s="61">
        <v>0</v>
      </c>
      <c r="I1235" t="s">
        <v>19</v>
      </c>
      <c r="J1235" t="s">
        <v>24</v>
      </c>
      <c r="K1235" s="61">
        <f t="shared" si="57"/>
        <v>976142000</v>
      </c>
      <c r="L1235" s="61">
        <f t="shared" si="58"/>
        <v>714298000</v>
      </c>
      <c r="M1235" s="61">
        <f t="shared" si="59"/>
        <v>261844000</v>
      </c>
    </row>
    <row r="1236" spans="1:13" x14ac:dyDescent="0.25">
      <c r="A1236" t="s">
        <v>438</v>
      </c>
      <c r="B1236" t="s">
        <v>10</v>
      </c>
      <c r="C1236">
        <v>42001</v>
      </c>
      <c r="D1236" s="61">
        <v>2237219000</v>
      </c>
      <c r="E1236" s="61">
        <v>1232611000</v>
      </c>
      <c r="F1236" s="61">
        <v>659335000</v>
      </c>
      <c r="G1236" s="61">
        <v>121141000</v>
      </c>
      <c r="H1236" s="61">
        <v>0</v>
      </c>
      <c r="I1236" t="s">
        <v>19</v>
      </c>
      <c r="J1236" t="s">
        <v>24</v>
      </c>
      <c r="K1236" s="61">
        <f t="shared" si="57"/>
        <v>1004608000</v>
      </c>
      <c r="L1236" s="61">
        <f t="shared" si="58"/>
        <v>780476000</v>
      </c>
      <c r="M1236" s="61">
        <f t="shared" si="59"/>
        <v>224132000</v>
      </c>
    </row>
    <row r="1237" spans="1:13" x14ac:dyDescent="0.25">
      <c r="A1237" t="s">
        <v>438</v>
      </c>
      <c r="B1237" t="s">
        <v>11</v>
      </c>
      <c r="C1237">
        <v>42372</v>
      </c>
      <c r="D1237" s="61">
        <v>2262359000</v>
      </c>
      <c r="E1237" s="61">
        <v>1237859000</v>
      </c>
      <c r="F1237" s="61">
        <v>598848000</v>
      </c>
      <c r="G1237" s="61">
        <v>125928000</v>
      </c>
      <c r="H1237" s="61">
        <v>0</v>
      </c>
      <c r="I1237" t="s">
        <v>19</v>
      </c>
      <c r="J1237" t="s">
        <v>24</v>
      </c>
      <c r="K1237" s="61">
        <f t="shared" si="57"/>
        <v>1024500000</v>
      </c>
      <c r="L1237" s="61">
        <f t="shared" si="58"/>
        <v>724776000</v>
      </c>
      <c r="M1237" s="61">
        <f t="shared" si="59"/>
        <v>299724000</v>
      </c>
    </row>
    <row r="1238" spans="1:13" x14ac:dyDescent="0.25">
      <c r="A1238" t="s">
        <v>439</v>
      </c>
      <c r="B1238" t="s">
        <v>6</v>
      </c>
      <c r="C1238">
        <v>41639</v>
      </c>
      <c r="D1238" s="61">
        <v>80029000000</v>
      </c>
      <c r="E1238" s="61">
        <v>59222000000</v>
      </c>
      <c r="F1238" s="61">
        <v>6890000000</v>
      </c>
      <c r="G1238" s="61">
        <v>0</v>
      </c>
      <c r="H1238" s="61">
        <v>93000000</v>
      </c>
      <c r="I1238" t="s">
        <v>30</v>
      </c>
      <c r="J1238" t="s">
        <v>387</v>
      </c>
      <c r="K1238" s="61">
        <f t="shared" si="57"/>
        <v>20807000000</v>
      </c>
      <c r="L1238" s="61">
        <f t="shared" si="58"/>
        <v>6983000000</v>
      </c>
      <c r="M1238" s="61">
        <f t="shared" si="59"/>
        <v>13824000000</v>
      </c>
    </row>
    <row r="1239" spans="1:13" x14ac:dyDescent="0.25">
      <c r="A1239" t="s">
        <v>439</v>
      </c>
      <c r="B1239" t="s">
        <v>9</v>
      </c>
      <c r="C1239">
        <v>42004</v>
      </c>
      <c r="D1239" s="61">
        <v>80106000000</v>
      </c>
      <c r="E1239" s="61">
        <v>60775000000</v>
      </c>
      <c r="F1239" s="61">
        <v>7001000000</v>
      </c>
      <c r="G1239" s="61">
        <v>0</v>
      </c>
      <c r="H1239" s="61">
        <v>93000000</v>
      </c>
      <c r="I1239" t="s">
        <v>30</v>
      </c>
      <c r="J1239" t="s">
        <v>387</v>
      </c>
      <c r="K1239" s="61">
        <f t="shared" si="57"/>
        <v>19331000000</v>
      </c>
      <c r="L1239" s="61">
        <f t="shared" si="58"/>
        <v>7094000000</v>
      </c>
      <c r="M1239" s="61">
        <f t="shared" si="59"/>
        <v>12237000000</v>
      </c>
    </row>
    <row r="1240" spans="1:13" x14ac:dyDescent="0.25">
      <c r="A1240" t="s">
        <v>439</v>
      </c>
      <c r="B1240" t="s">
        <v>10</v>
      </c>
      <c r="C1240">
        <v>42369</v>
      </c>
      <c r="D1240" s="61">
        <v>73908000000</v>
      </c>
      <c r="E1240" s="61">
        <v>56479000000</v>
      </c>
      <c r="F1240" s="61">
        <v>6656000000</v>
      </c>
      <c r="G1240" s="61">
        <v>0</v>
      </c>
      <c r="H1240" s="61">
        <v>82000000</v>
      </c>
      <c r="I1240" t="s">
        <v>30</v>
      </c>
      <c r="J1240" t="s">
        <v>387</v>
      </c>
      <c r="K1240" s="61">
        <f t="shared" si="57"/>
        <v>17429000000</v>
      </c>
      <c r="L1240" s="61">
        <f t="shared" si="58"/>
        <v>6738000000</v>
      </c>
      <c r="M1240" s="61">
        <f t="shared" si="59"/>
        <v>10691000000</v>
      </c>
    </row>
    <row r="1241" spans="1:13" x14ac:dyDescent="0.25">
      <c r="A1241" t="s">
        <v>439</v>
      </c>
      <c r="B1241" t="s">
        <v>11</v>
      </c>
      <c r="C1241">
        <v>42735</v>
      </c>
      <c r="D1241" s="61">
        <v>74953000000</v>
      </c>
      <c r="E1241" s="61">
        <v>57659000000</v>
      </c>
      <c r="F1241" s="61">
        <v>6405000000</v>
      </c>
      <c r="G1241" s="61">
        <v>0</v>
      </c>
      <c r="H1241" s="61">
        <v>74000000</v>
      </c>
      <c r="I1241" t="s">
        <v>30</v>
      </c>
      <c r="J1241" t="s">
        <v>387</v>
      </c>
      <c r="K1241" s="61">
        <f t="shared" si="57"/>
        <v>17294000000</v>
      </c>
      <c r="L1241" s="61">
        <f t="shared" si="58"/>
        <v>6479000000</v>
      </c>
      <c r="M1241" s="61">
        <f t="shared" si="59"/>
        <v>10815000000</v>
      </c>
    </row>
    <row r="1242" spans="1:13" x14ac:dyDescent="0.25">
      <c r="A1242" t="s">
        <v>440</v>
      </c>
      <c r="B1242" t="s">
        <v>6</v>
      </c>
      <c r="C1242">
        <v>41274</v>
      </c>
      <c r="D1242" s="61">
        <v>16606000000</v>
      </c>
      <c r="E1242" s="61">
        <v>386000000</v>
      </c>
      <c r="F1242" s="61">
        <v>10486000000</v>
      </c>
      <c r="G1242" s="61">
        <v>0</v>
      </c>
      <c r="H1242" s="61">
        <v>987000000</v>
      </c>
      <c r="I1242" t="s">
        <v>41</v>
      </c>
      <c r="J1242" t="s">
        <v>99</v>
      </c>
      <c r="K1242" s="61">
        <f t="shared" si="57"/>
        <v>16220000000</v>
      </c>
      <c r="L1242" s="61">
        <f t="shared" si="58"/>
        <v>11473000000</v>
      </c>
      <c r="M1242" s="61">
        <f t="shared" si="59"/>
        <v>4747000000</v>
      </c>
    </row>
    <row r="1243" spans="1:13" x14ac:dyDescent="0.25">
      <c r="A1243" t="s">
        <v>440</v>
      </c>
      <c r="B1243" t="s">
        <v>9</v>
      </c>
      <c r="C1243">
        <v>41639</v>
      </c>
      <c r="D1243" s="61">
        <v>16872000000</v>
      </c>
      <c r="E1243" s="61">
        <v>344000000</v>
      </c>
      <c r="F1243" s="61">
        <v>9681000000</v>
      </c>
      <c r="G1243" s="61">
        <v>0</v>
      </c>
      <c r="H1243" s="61">
        <v>643000000</v>
      </c>
      <c r="I1243" t="s">
        <v>41</v>
      </c>
      <c r="J1243" t="s">
        <v>99</v>
      </c>
      <c r="K1243" s="61">
        <f t="shared" si="57"/>
        <v>16528000000</v>
      </c>
      <c r="L1243" s="61">
        <f t="shared" si="58"/>
        <v>10324000000</v>
      </c>
      <c r="M1243" s="61">
        <f t="shared" si="59"/>
        <v>6204000000</v>
      </c>
    </row>
    <row r="1244" spans="1:13" x14ac:dyDescent="0.25">
      <c r="A1244" t="s">
        <v>440</v>
      </c>
      <c r="B1244" t="s">
        <v>10</v>
      </c>
      <c r="C1244">
        <v>42004</v>
      </c>
      <c r="D1244" s="61">
        <v>16281000000</v>
      </c>
      <c r="E1244" s="61">
        <v>325000000</v>
      </c>
      <c r="F1244" s="61">
        <v>9488000000</v>
      </c>
      <c r="G1244" s="61">
        <v>0</v>
      </c>
      <c r="H1244" s="61">
        <v>273000000</v>
      </c>
      <c r="I1244" t="s">
        <v>41</v>
      </c>
      <c r="J1244" t="s">
        <v>99</v>
      </c>
      <c r="K1244" s="61">
        <f t="shared" si="57"/>
        <v>15956000000</v>
      </c>
      <c r="L1244" s="61">
        <f t="shared" si="58"/>
        <v>9761000000</v>
      </c>
      <c r="M1244" s="61">
        <f t="shared" si="59"/>
        <v>6195000000</v>
      </c>
    </row>
    <row r="1245" spans="1:13" x14ac:dyDescent="0.25">
      <c r="A1245" t="s">
        <v>440</v>
      </c>
      <c r="B1245" t="s">
        <v>11</v>
      </c>
      <c r="C1245">
        <v>42369</v>
      </c>
      <c r="D1245" s="61">
        <v>16270000000</v>
      </c>
      <c r="E1245" s="61">
        <v>403000000</v>
      </c>
      <c r="F1245" s="61">
        <v>9463000000</v>
      </c>
      <c r="G1245" s="61">
        <v>0</v>
      </c>
      <c r="H1245" s="61">
        <v>255000000</v>
      </c>
      <c r="I1245" t="s">
        <v>41</v>
      </c>
      <c r="J1245" t="s">
        <v>99</v>
      </c>
      <c r="K1245" s="61">
        <f t="shared" si="57"/>
        <v>15867000000</v>
      </c>
      <c r="L1245" s="61">
        <f t="shared" si="58"/>
        <v>9718000000</v>
      </c>
      <c r="M1245" s="61">
        <f t="shared" si="59"/>
        <v>6149000000</v>
      </c>
    </row>
    <row r="1246" spans="1:13" x14ac:dyDescent="0.25">
      <c r="A1246" t="s">
        <v>441</v>
      </c>
      <c r="B1246" t="s">
        <v>6</v>
      </c>
      <c r="C1246">
        <v>41274</v>
      </c>
      <c r="D1246" s="61">
        <v>4306800000</v>
      </c>
      <c r="E1246" s="61">
        <v>3040900000</v>
      </c>
      <c r="F1246" s="61">
        <v>1117700000</v>
      </c>
      <c r="G1246" s="61">
        <v>92300000</v>
      </c>
      <c r="H1246" s="61">
        <v>0</v>
      </c>
      <c r="I1246" t="s">
        <v>7</v>
      </c>
      <c r="J1246" t="s">
        <v>151</v>
      </c>
      <c r="K1246" s="61">
        <f t="shared" si="57"/>
        <v>1265900000</v>
      </c>
      <c r="L1246" s="61">
        <f t="shared" si="58"/>
        <v>1210000000</v>
      </c>
      <c r="M1246" s="61">
        <f t="shared" si="59"/>
        <v>55900000</v>
      </c>
    </row>
    <row r="1247" spans="1:13" x14ac:dyDescent="0.25">
      <c r="A1247" t="s">
        <v>441</v>
      </c>
      <c r="B1247" t="s">
        <v>9</v>
      </c>
      <c r="C1247">
        <v>41639</v>
      </c>
      <c r="D1247" s="61">
        <v>6999700000</v>
      </c>
      <c r="E1247" s="61">
        <v>4629600000</v>
      </c>
      <c r="F1247" s="61">
        <v>1493700000</v>
      </c>
      <c r="G1247" s="61">
        <v>122800000</v>
      </c>
      <c r="H1247" s="61">
        <v>0</v>
      </c>
      <c r="I1247" t="s">
        <v>7</v>
      </c>
      <c r="J1247" t="s">
        <v>151</v>
      </c>
      <c r="K1247" s="61">
        <f t="shared" si="57"/>
        <v>2370100000</v>
      </c>
      <c r="L1247" s="61">
        <f t="shared" si="58"/>
        <v>1616500000</v>
      </c>
      <c r="M1247" s="61">
        <f t="shared" si="59"/>
        <v>753600000</v>
      </c>
    </row>
    <row r="1248" spans="1:13" x14ac:dyDescent="0.25">
      <c r="A1248" t="s">
        <v>441</v>
      </c>
      <c r="B1248" t="s">
        <v>10</v>
      </c>
      <c r="C1248">
        <v>42004</v>
      </c>
      <c r="D1248" s="61">
        <v>7039000000</v>
      </c>
      <c r="E1248" s="61">
        <v>4576000000</v>
      </c>
      <c r="F1248" s="61">
        <v>1493800000</v>
      </c>
      <c r="G1248" s="61">
        <v>117300000</v>
      </c>
      <c r="H1248" s="61">
        <v>0</v>
      </c>
      <c r="I1248" t="s">
        <v>7</v>
      </c>
      <c r="J1248" t="s">
        <v>151</v>
      </c>
      <c r="K1248" s="61">
        <f t="shared" si="57"/>
        <v>2463000000</v>
      </c>
      <c r="L1248" s="61">
        <f t="shared" si="58"/>
        <v>1611100000</v>
      </c>
      <c r="M1248" s="61">
        <f t="shared" si="59"/>
        <v>851900000</v>
      </c>
    </row>
    <row r="1249" spans="1:13" x14ac:dyDescent="0.25">
      <c r="A1249" t="s">
        <v>441</v>
      </c>
      <c r="B1249" t="s">
        <v>11</v>
      </c>
      <c r="C1249">
        <v>42369</v>
      </c>
      <c r="D1249" s="61">
        <v>6449000000</v>
      </c>
      <c r="E1249" s="61">
        <v>4263200000</v>
      </c>
      <c r="F1249" s="61">
        <v>1334300000</v>
      </c>
      <c r="G1249" s="61">
        <v>119600000</v>
      </c>
      <c r="H1249" s="61">
        <v>0</v>
      </c>
      <c r="I1249" t="s">
        <v>7</v>
      </c>
      <c r="J1249" t="s">
        <v>151</v>
      </c>
      <c r="K1249" s="61">
        <f t="shared" si="57"/>
        <v>2185800000</v>
      </c>
      <c r="L1249" s="61">
        <f t="shared" si="58"/>
        <v>1453900000</v>
      </c>
      <c r="M1249" s="61">
        <f t="shared" si="59"/>
        <v>731900000</v>
      </c>
    </row>
    <row r="1250" spans="1:13" x14ac:dyDescent="0.25">
      <c r="A1250" t="s">
        <v>442</v>
      </c>
      <c r="B1250" t="s">
        <v>6</v>
      </c>
      <c r="C1250">
        <v>41274</v>
      </c>
      <c r="D1250" s="61">
        <v>3301804000</v>
      </c>
      <c r="E1250" s="61">
        <v>1879559000</v>
      </c>
      <c r="F1250" s="61">
        <v>166154000</v>
      </c>
      <c r="G1250" s="61">
        <v>0</v>
      </c>
      <c r="H1250" s="61">
        <v>404336000</v>
      </c>
      <c r="I1250" t="s">
        <v>36</v>
      </c>
      <c r="J1250" t="s">
        <v>37</v>
      </c>
      <c r="K1250" s="61">
        <f t="shared" si="57"/>
        <v>1422245000</v>
      </c>
      <c r="L1250" s="61">
        <f t="shared" si="58"/>
        <v>570490000</v>
      </c>
      <c r="M1250" s="61">
        <f t="shared" si="59"/>
        <v>851755000</v>
      </c>
    </row>
    <row r="1251" spans="1:13" x14ac:dyDescent="0.25">
      <c r="A1251" t="s">
        <v>442</v>
      </c>
      <c r="B1251" t="s">
        <v>9</v>
      </c>
      <c r="C1251">
        <v>41639</v>
      </c>
      <c r="D1251" s="61">
        <v>3454628000</v>
      </c>
      <c r="E1251" s="61">
        <v>2020436000</v>
      </c>
      <c r="F1251" s="61">
        <v>172161000</v>
      </c>
      <c r="G1251" s="61">
        <v>0</v>
      </c>
      <c r="H1251" s="61">
        <v>415708000</v>
      </c>
      <c r="I1251" t="s">
        <v>36</v>
      </c>
      <c r="J1251" t="s">
        <v>37</v>
      </c>
      <c r="K1251" s="61">
        <f t="shared" si="57"/>
        <v>1434192000</v>
      </c>
      <c r="L1251" s="61">
        <f t="shared" si="58"/>
        <v>587869000</v>
      </c>
      <c r="M1251" s="61">
        <f t="shared" si="59"/>
        <v>846323000</v>
      </c>
    </row>
    <row r="1252" spans="1:13" x14ac:dyDescent="0.25">
      <c r="A1252" t="s">
        <v>442</v>
      </c>
      <c r="B1252" t="s">
        <v>10</v>
      </c>
      <c r="C1252">
        <v>42004</v>
      </c>
      <c r="D1252" s="61">
        <v>3491632000</v>
      </c>
      <c r="E1252" s="61">
        <v>2087854000</v>
      </c>
      <c r="F1252" s="61">
        <v>175178000</v>
      </c>
      <c r="G1252" s="61">
        <v>0</v>
      </c>
      <c r="H1252" s="61">
        <v>417358000</v>
      </c>
      <c r="I1252" t="s">
        <v>36</v>
      </c>
      <c r="J1252" t="s">
        <v>37</v>
      </c>
      <c r="K1252" s="61">
        <f t="shared" si="57"/>
        <v>1403778000</v>
      </c>
      <c r="L1252" s="61">
        <f t="shared" si="58"/>
        <v>592536000</v>
      </c>
      <c r="M1252" s="61">
        <f t="shared" si="59"/>
        <v>811242000</v>
      </c>
    </row>
    <row r="1253" spans="1:13" x14ac:dyDescent="0.25">
      <c r="A1253" t="s">
        <v>442</v>
      </c>
      <c r="B1253" t="s">
        <v>11</v>
      </c>
      <c r="C1253">
        <v>42369</v>
      </c>
      <c r="D1253" s="61">
        <v>3495443000</v>
      </c>
      <c r="E1253" s="61">
        <v>1969675000</v>
      </c>
      <c r="F1253" s="61">
        <v>176744000</v>
      </c>
      <c r="G1253" s="61">
        <v>0</v>
      </c>
      <c r="H1253" s="61">
        <v>494422000</v>
      </c>
      <c r="I1253" t="s">
        <v>36</v>
      </c>
      <c r="J1253" t="s">
        <v>37</v>
      </c>
      <c r="K1253" s="61">
        <f t="shared" si="57"/>
        <v>1525768000</v>
      </c>
      <c r="L1253" s="61">
        <f t="shared" si="58"/>
        <v>671166000</v>
      </c>
      <c r="M1253" s="61">
        <f t="shared" si="59"/>
        <v>854602000</v>
      </c>
    </row>
    <row r="1254" spans="1:13" x14ac:dyDescent="0.25">
      <c r="A1254" t="s">
        <v>443</v>
      </c>
      <c r="B1254" t="s">
        <v>6</v>
      </c>
      <c r="C1254">
        <v>41639</v>
      </c>
      <c r="D1254" s="61">
        <v>14265000000</v>
      </c>
      <c r="E1254" s="61">
        <v>8314000000</v>
      </c>
      <c r="F1254" s="61">
        <v>3486000000</v>
      </c>
      <c r="G1254" s="61">
        <v>463000000</v>
      </c>
      <c r="H1254" s="61">
        <v>452000000</v>
      </c>
      <c r="I1254" t="s">
        <v>53</v>
      </c>
      <c r="J1254" t="s">
        <v>187</v>
      </c>
      <c r="K1254" s="61">
        <f t="shared" si="57"/>
        <v>5951000000</v>
      </c>
      <c r="L1254" s="61">
        <f t="shared" si="58"/>
        <v>4401000000</v>
      </c>
      <c r="M1254" s="61">
        <f t="shared" si="59"/>
        <v>1550000000</v>
      </c>
    </row>
    <row r="1255" spans="1:13" x14ac:dyDescent="0.25">
      <c r="A1255" t="s">
        <v>443</v>
      </c>
      <c r="B1255" t="s">
        <v>9</v>
      </c>
      <c r="C1255">
        <v>42004</v>
      </c>
      <c r="D1255" s="61">
        <v>14791000000</v>
      </c>
      <c r="E1255" s="61">
        <v>8348000000</v>
      </c>
      <c r="F1255" s="61">
        <v>4013000000</v>
      </c>
      <c r="G1255" s="61">
        <v>483000000</v>
      </c>
      <c r="H1255" s="61">
        <v>450000000</v>
      </c>
      <c r="I1255" t="s">
        <v>53</v>
      </c>
      <c r="J1255" t="s">
        <v>187</v>
      </c>
      <c r="K1255" s="61">
        <f t="shared" si="57"/>
        <v>6443000000</v>
      </c>
      <c r="L1255" s="61">
        <f t="shared" si="58"/>
        <v>4946000000</v>
      </c>
      <c r="M1255" s="61">
        <f t="shared" si="59"/>
        <v>1497000000</v>
      </c>
    </row>
    <row r="1256" spans="1:13" x14ac:dyDescent="0.25">
      <c r="A1256" t="s">
        <v>443</v>
      </c>
      <c r="B1256" t="s">
        <v>10</v>
      </c>
      <c r="C1256">
        <v>42369</v>
      </c>
      <c r="D1256" s="61">
        <v>14766000000</v>
      </c>
      <c r="E1256" s="61">
        <v>8206000000</v>
      </c>
      <c r="F1256" s="61">
        <v>3624000000</v>
      </c>
      <c r="G1256" s="61">
        <v>476000000</v>
      </c>
      <c r="H1256" s="61">
        <v>471000000</v>
      </c>
      <c r="I1256" t="s">
        <v>53</v>
      </c>
      <c r="J1256" t="s">
        <v>187</v>
      </c>
      <c r="K1256" s="61">
        <f t="shared" si="57"/>
        <v>6560000000</v>
      </c>
      <c r="L1256" s="61">
        <f t="shared" si="58"/>
        <v>4571000000</v>
      </c>
      <c r="M1256" s="61">
        <f t="shared" si="59"/>
        <v>1989000000</v>
      </c>
    </row>
    <row r="1257" spans="1:13" x14ac:dyDescent="0.25">
      <c r="A1257" t="s">
        <v>443</v>
      </c>
      <c r="B1257" t="s">
        <v>11</v>
      </c>
      <c r="C1257">
        <v>42735</v>
      </c>
      <c r="D1257" s="61">
        <v>14751000000</v>
      </c>
      <c r="E1257" s="61">
        <v>8063000000</v>
      </c>
      <c r="F1257" s="61">
        <v>4630000000</v>
      </c>
      <c r="G1257" s="61">
        <v>466000000</v>
      </c>
      <c r="H1257" s="61">
        <v>462000000</v>
      </c>
      <c r="I1257" t="s">
        <v>53</v>
      </c>
      <c r="J1257" t="s">
        <v>187</v>
      </c>
      <c r="K1257" s="61">
        <f t="shared" si="57"/>
        <v>6688000000</v>
      </c>
      <c r="L1257" s="61">
        <f t="shared" si="58"/>
        <v>5558000000</v>
      </c>
      <c r="M1257" s="61">
        <f t="shared" si="59"/>
        <v>1130000000</v>
      </c>
    </row>
    <row r="1258" spans="1:13" x14ac:dyDescent="0.25">
      <c r="A1258" t="s">
        <v>444</v>
      </c>
      <c r="B1258" t="s">
        <v>6</v>
      </c>
      <c r="C1258">
        <v>41274</v>
      </c>
      <c r="D1258" s="61">
        <v>12132000000</v>
      </c>
      <c r="E1258" s="61">
        <v>4876000000</v>
      </c>
      <c r="F1258" s="61">
        <v>3143000000</v>
      </c>
      <c r="G1258" s="61">
        <v>0</v>
      </c>
      <c r="H1258" s="61">
        <v>1087000000</v>
      </c>
      <c r="I1258" t="s">
        <v>36</v>
      </c>
      <c r="J1258" t="s">
        <v>39</v>
      </c>
      <c r="K1258" s="61">
        <f t="shared" si="57"/>
        <v>7256000000</v>
      </c>
      <c r="L1258" s="61">
        <f t="shared" si="58"/>
        <v>4230000000</v>
      </c>
      <c r="M1258" s="61">
        <f t="shared" si="59"/>
        <v>3026000000</v>
      </c>
    </row>
    <row r="1259" spans="1:13" x14ac:dyDescent="0.25">
      <c r="A1259" t="s">
        <v>444</v>
      </c>
      <c r="B1259" t="s">
        <v>9</v>
      </c>
      <c r="C1259">
        <v>41639</v>
      </c>
      <c r="D1259" s="61">
        <v>7263000000</v>
      </c>
      <c r="E1259" s="61">
        <v>1751000000</v>
      </c>
      <c r="F1259" s="61">
        <v>2108000000</v>
      </c>
      <c r="G1259" s="61">
        <v>0</v>
      </c>
      <c r="H1259" s="61">
        <v>843000000</v>
      </c>
      <c r="I1259" t="s">
        <v>36</v>
      </c>
      <c r="J1259" t="s">
        <v>39</v>
      </c>
      <c r="K1259" s="61">
        <f t="shared" si="57"/>
        <v>5512000000</v>
      </c>
      <c r="L1259" s="61">
        <f t="shared" si="58"/>
        <v>2951000000</v>
      </c>
      <c r="M1259" s="61">
        <f t="shared" si="59"/>
        <v>2561000000</v>
      </c>
    </row>
    <row r="1260" spans="1:13" x14ac:dyDescent="0.25">
      <c r="A1260" t="s">
        <v>444</v>
      </c>
      <c r="B1260" t="s">
        <v>10</v>
      </c>
      <c r="C1260">
        <v>42004</v>
      </c>
      <c r="D1260" s="61">
        <v>7852000000</v>
      </c>
      <c r="E1260" s="61">
        <v>1889000000</v>
      </c>
      <c r="F1260" s="61">
        <v>2173000000</v>
      </c>
      <c r="G1260" s="61">
        <v>0</v>
      </c>
      <c r="H1260" s="61">
        <v>923000000</v>
      </c>
      <c r="I1260" t="s">
        <v>36</v>
      </c>
      <c r="J1260" t="s">
        <v>39</v>
      </c>
      <c r="K1260" s="61">
        <f t="shared" si="57"/>
        <v>5963000000</v>
      </c>
      <c r="L1260" s="61">
        <f t="shared" si="58"/>
        <v>3096000000</v>
      </c>
      <c r="M1260" s="61">
        <f t="shared" si="59"/>
        <v>2867000000</v>
      </c>
    </row>
    <row r="1261" spans="1:13" x14ac:dyDescent="0.25">
      <c r="A1261" t="s">
        <v>444</v>
      </c>
      <c r="B1261" t="s">
        <v>11</v>
      </c>
      <c r="C1261">
        <v>42369</v>
      </c>
      <c r="D1261" s="61">
        <v>7669000000</v>
      </c>
      <c r="E1261" s="61">
        <v>1718000000</v>
      </c>
      <c r="F1261" s="61">
        <v>2237000000</v>
      </c>
      <c r="G1261" s="61">
        <v>0</v>
      </c>
      <c r="H1261" s="61">
        <v>883000000</v>
      </c>
      <c r="I1261" t="s">
        <v>36</v>
      </c>
      <c r="J1261" t="s">
        <v>39</v>
      </c>
      <c r="K1261" s="61">
        <f t="shared" si="57"/>
        <v>5951000000</v>
      </c>
      <c r="L1261" s="61">
        <f t="shared" si="58"/>
        <v>3120000000</v>
      </c>
      <c r="M1261" s="61">
        <f t="shared" si="59"/>
        <v>2831000000</v>
      </c>
    </row>
    <row r="1262" spans="1:13" x14ac:dyDescent="0.25">
      <c r="A1262" t="s">
        <v>445</v>
      </c>
      <c r="B1262" t="s">
        <v>6</v>
      </c>
      <c r="C1262">
        <v>41274</v>
      </c>
      <c r="D1262" s="61">
        <v>84847000000</v>
      </c>
      <c r="E1262" s="61">
        <v>66635000000</v>
      </c>
      <c r="F1262" s="61">
        <v>17504000000</v>
      </c>
      <c r="G1262" s="61">
        <v>0</v>
      </c>
      <c r="H1262" s="61">
        <v>0</v>
      </c>
      <c r="I1262" t="s">
        <v>41</v>
      </c>
      <c r="J1262" t="s">
        <v>373</v>
      </c>
      <c r="K1262" s="61">
        <f t="shared" si="57"/>
        <v>18212000000</v>
      </c>
      <c r="L1262" s="61">
        <f t="shared" si="58"/>
        <v>17504000000</v>
      </c>
      <c r="M1262" s="61">
        <f t="shared" si="59"/>
        <v>708000000</v>
      </c>
    </row>
    <row r="1263" spans="1:13" x14ac:dyDescent="0.25">
      <c r="A1263" t="s">
        <v>445</v>
      </c>
      <c r="B1263" t="s">
        <v>9</v>
      </c>
      <c r="C1263">
        <v>41639</v>
      </c>
      <c r="D1263" s="61">
        <v>41461000000</v>
      </c>
      <c r="E1263" s="61">
        <v>26973000000</v>
      </c>
      <c r="F1263" s="61">
        <v>16172000000</v>
      </c>
      <c r="G1263" s="61">
        <v>0</v>
      </c>
      <c r="H1263" s="61">
        <v>0</v>
      </c>
      <c r="I1263" t="s">
        <v>41</v>
      </c>
      <c r="J1263" t="s">
        <v>373</v>
      </c>
      <c r="K1263" s="61">
        <f t="shared" si="57"/>
        <v>14488000000</v>
      </c>
      <c r="L1263" s="61">
        <f t="shared" si="58"/>
        <v>16172000000</v>
      </c>
      <c r="M1263" s="61">
        <f t="shared" si="59"/>
        <v>-1684000000</v>
      </c>
    </row>
    <row r="1264" spans="1:13" x14ac:dyDescent="0.25">
      <c r="A1264" t="s">
        <v>445</v>
      </c>
      <c r="B1264" t="s">
        <v>10</v>
      </c>
      <c r="C1264">
        <v>42004</v>
      </c>
      <c r="D1264" s="61">
        <v>54105000000</v>
      </c>
      <c r="E1264" s="61">
        <v>33560000000</v>
      </c>
      <c r="F1264" s="61">
        <v>18786000000</v>
      </c>
      <c r="G1264" s="61">
        <v>0</v>
      </c>
      <c r="H1264" s="61">
        <v>0</v>
      </c>
      <c r="I1264" t="s">
        <v>41</v>
      </c>
      <c r="J1264" t="s">
        <v>373</v>
      </c>
      <c r="K1264" s="61">
        <f t="shared" si="57"/>
        <v>20545000000</v>
      </c>
      <c r="L1264" s="61">
        <f t="shared" si="58"/>
        <v>18786000000</v>
      </c>
      <c r="M1264" s="61">
        <f t="shared" si="59"/>
        <v>1759000000</v>
      </c>
    </row>
    <row r="1265" spans="1:13" x14ac:dyDescent="0.25">
      <c r="A1265" t="s">
        <v>445</v>
      </c>
      <c r="B1265" t="s">
        <v>11</v>
      </c>
      <c r="C1265">
        <v>42369</v>
      </c>
      <c r="D1265" s="61">
        <v>57119000000</v>
      </c>
      <c r="E1265" s="61">
        <v>32747000000</v>
      </c>
      <c r="F1265" s="61">
        <v>16603000000</v>
      </c>
      <c r="G1265" s="61">
        <v>0</v>
      </c>
      <c r="H1265" s="61">
        <v>0</v>
      </c>
      <c r="I1265" t="s">
        <v>41</v>
      </c>
      <c r="J1265" t="s">
        <v>373</v>
      </c>
      <c r="K1265" s="61">
        <f t="shared" si="57"/>
        <v>24372000000</v>
      </c>
      <c r="L1265" s="61">
        <f t="shared" si="58"/>
        <v>16603000000</v>
      </c>
      <c r="M1265" s="61">
        <f t="shared" si="59"/>
        <v>7769000000</v>
      </c>
    </row>
    <row r="1266" spans="1:13" x14ac:dyDescent="0.25">
      <c r="A1266" t="s">
        <v>446</v>
      </c>
      <c r="B1266" t="s">
        <v>6</v>
      </c>
      <c r="C1266">
        <v>41274</v>
      </c>
      <c r="D1266" s="61">
        <v>179290000000</v>
      </c>
      <c r="E1266" s="61">
        <v>158446000000</v>
      </c>
      <c r="F1266" s="61">
        <v>15443000000</v>
      </c>
      <c r="G1266" s="61">
        <v>0</v>
      </c>
      <c r="H1266" s="61">
        <v>931000000</v>
      </c>
      <c r="I1266" t="s">
        <v>77</v>
      </c>
      <c r="J1266" t="s">
        <v>335</v>
      </c>
      <c r="K1266" s="61">
        <f t="shared" si="57"/>
        <v>20844000000</v>
      </c>
      <c r="L1266" s="61">
        <f t="shared" si="58"/>
        <v>16374000000</v>
      </c>
      <c r="M1266" s="61">
        <f t="shared" si="59"/>
        <v>4470000000</v>
      </c>
    </row>
    <row r="1267" spans="1:13" x14ac:dyDescent="0.25">
      <c r="A1267" t="s">
        <v>446</v>
      </c>
      <c r="B1267" t="s">
        <v>9</v>
      </c>
      <c r="C1267">
        <v>41639</v>
      </c>
      <c r="D1267" s="61">
        <v>171596000000</v>
      </c>
      <c r="E1267" s="61">
        <v>152451000000</v>
      </c>
      <c r="F1267" s="61">
        <v>15597000000</v>
      </c>
      <c r="G1267" s="61">
        <v>0</v>
      </c>
      <c r="H1267" s="61">
        <v>971000000</v>
      </c>
      <c r="I1267" t="s">
        <v>77</v>
      </c>
      <c r="J1267" t="s">
        <v>335</v>
      </c>
      <c r="K1267" s="61">
        <f t="shared" si="57"/>
        <v>19145000000</v>
      </c>
      <c r="L1267" s="61">
        <f t="shared" si="58"/>
        <v>16568000000</v>
      </c>
      <c r="M1267" s="61">
        <f t="shared" si="59"/>
        <v>2577000000</v>
      </c>
    </row>
    <row r="1268" spans="1:13" x14ac:dyDescent="0.25">
      <c r="A1268" t="s">
        <v>446</v>
      </c>
      <c r="B1268" t="s">
        <v>10</v>
      </c>
      <c r="C1268">
        <v>42004</v>
      </c>
      <c r="D1268" s="61">
        <v>161212000000</v>
      </c>
      <c r="E1268" s="61">
        <v>140183000000</v>
      </c>
      <c r="F1268" s="61">
        <v>16703000000</v>
      </c>
      <c r="G1268" s="61">
        <v>0</v>
      </c>
      <c r="H1268" s="61">
        <v>1019000000</v>
      </c>
      <c r="I1268" t="s">
        <v>77</v>
      </c>
      <c r="J1268" t="s">
        <v>335</v>
      </c>
      <c r="K1268" s="61">
        <f t="shared" si="57"/>
        <v>21029000000</v>
      </c>
      <c r="L1268" s="61">
        <f t="shared" si="58"/>
        <v>17722000000</v>
      </c>
      <c r="M1268" s="61">
        <f t="shared" si="59"/>
        <v>3307000000</v>
      </c>
    </row>
    <row r="1269" spans="1:13" x14ac:dyDescent="0.25">
      <c r="A1269" t="s">
        <v>446</v>
      </c>
      <c r="B1269" t="s">
        <v>11</v>
      </c>
      <c r="C1269">
        <v>42369</v>
      </c>
      <c r="D1269" s="61">
        <v>98975000000</v>
      </c>
      <c r="E1269" s="61">
        <v>77693000000</v>
      </c>
      <c r="F1269" s="61">
        <v>15747000000</v>
      </c>
      <c r="G1269" s="61">
        <v>0</v>
      </c>
      <c r="H1269" s="61">
        <v>1099000000</v>
      </c>
      <c r="I1269" t="s">
        <v>77</v>
      </c>
      <c r="J1269" t="s">
        <v>335</v>
      </c>
      <c r="K1269" s="61">
        <f t="shared" si="57"/>
        <v>21282000000</v>
      </c>
      <c r="L1269" s="61">
        <f t="shared" si="58"/>
        <v>16846000000</v>
      </c>
      <c r="M1269" s="61">
        <f t="shared" si="59"/>
        <v>4436000000</v>
      </c>
    </row>
    <row r="1270" spans="1:13" x14ac:dyDescent="0.25">
      <c r="A1270" t="s">
        <v>447</v>
      </c>
      <c r="B1270" t="s">
        <v>6</v>
      </c>
      <c r="C1270">
        <v>41308</v>
      </c>
      <c r="D1270" s="61">
        <v>6043000000</v>
      </c>
      <c r="E1270" s="61">
        <v>2793800000</v>
      </c>
      <c r="F1270" s="61">
        <v>2594300000</v>
      </c>
      <c r="G1270" s="61">
        <v>0</v>
      </c>
      <c r="H1270" s="61">
        <v>0</v>
      </c>
      <c r="I1270" t="s">
        <v>13</v>
      </c>
      <c r="J1270" t="s">
        <v>283</v>
      </c>
      <c r="K1270" s="61">
        <f t="shared" si="57"/>
        <v>3249200000</v>
      </c>
      <c r="L1270" s="61">
        <f t="shared" si="58"/>
        <v>2594300000</v>
      </c>
      <c r="M1270" s="61">
        <f t="shared" si="59"/>
        <v>654900000</v>
      </c>
    </row>
    <row r="1271" spans="1:13" x14ac:dyDescent="0.25">
      <c r="A1271" t="s">
        <v>447</v>
      </c>
      <c r="B1271" t="s">
        <v>9</v>
      </c>
      <c r="C1271">
        <v>41672</v>
      </c>
      <c r="D1271" s="61">
        <v>8186400000</v>
      </c>
      <c r="E1271" s="61">
        <v>3967100000</v>
      </c>
      <c r="F1271" s="61">
        <v>3673500000</v>
      </c>
      <c r="G1271" s="61">
        <v>0</v>
      </c>
      <c r="H1271" s="61">
        <v>0</v>
      </c>
      <c r="I1271" t="s">
        <v>13</v>
      </c>
      <c r="J1271" t="s">
        <v>283</v>
      </c>
      <c r="K1271" s="61">
        <f t="shared" si="57"/>
        <v>4219300000</v>
      </c>
      <c r="L1271" s="61">
        <f t="shared" si="58"/>
        <v>3673500000</v>
      </c>
      <c r="M1271" s="61">
        <f t="shared" si="59"/>
        <v>545800000</v>
      </c>
    </row>
    <row r="1272" spans="1:13" x14ac:dyDescent="0.25">
      <c r="A1272" t="s">
        <v>447</v>
      </c>
      <c r="B1272" t="s">
        <v>10</v>
      </c>
      <c r="C1272">
        <v>42036</v>
      </c>
      <c r="D1272" s="61">
        <v>8241200000</v>
      </c>
      <c r="E1272" s="61">
        <v>3914500000</v>
      </c>
      <c r="F1272" s="61">
        <v>3713600000</v>
      </c>
      <c r="G1272" s="61">
        <v>0</v>
      </c>
      <c r="H1272" s="61">
        <v>0</v>
      </c>
      <c r="I1272" t="s">
        <v>13</v>
      </c>
      <c r="J1272" t="s">
        <v>283</v>
      </c>
      <c r="K1272" s="61">
        <f t="shared" si="57"/>
        <v>4326700000</v>
      </c>
      <c r="L1272" s="61">
        <f t="shared" si="58"/>
        <v>3713600000</v>
      </c>
      <c r="M1272" s="61">
        <f t="shared" si="59"/>
        <v>613100000</v>
      </c>
    </row>
    <row r="1273" spans="1:13" x14ac:dyDescent="0.25">
      <c r="A1273" t="s">
        <v>447</v>
      </c>
      <c r="B1273" t="s">
        <v>11</v>
      </c>
      <c r="C1273">
        <v>42400</v>
      </c>
      <c r="D1273" s="61">
        <v>8020300000</v>
      </c>
      <c r="E1273" s="61">
        <v>3858700000</v>
      </c>
      <c r="F1273" s="61">
        <v>3417700000</v>
      </c>
      <c r="G1273" s="61">
        <v>0</v>
      </c>
      <c r="H1273" s="61">
        <v>0</v>
      </c>
      <c r="I1273" t="s">
        <v>13</v>
      </c>
      <c r="J1273" t="s">
        <v>283</v>
      </c>
      <c r="K1273" s="61">
        <f t="shared" si="57"/>
        <v>4161600000</v>
      </c>
      <c r="L1273" s="61">
        <f t="shared" si="58"/>
        <v>3417700000</v>
      </c>
      <c r="M1273" s="61">
        <f t="shared" si="59"/>
        <v>743900000</v>
      </c>
    </row>
    <row r="1274" spans="1:13" x14ac:dyDescent="0.25">
      <c r="A1274" t="s">
        <v>448</v>
      </c>
      <c r="B1274" t="s">
        <v>6</v>
      </c>
      <c r="C1274">
        <v>41274</v>
      </c>
      <c r="D1274" s="61">
        <v>5920269000</v>
      </c>
      <c r="E1274" s="61">
        <v>4982562000</v>
      </c>
      <c r="F1274" s="61">
        <v>434894000</v>
      </c>
      <c r="G1274" s="61">
        <v>0</v>
      </c>
      <c r="H1274" s="61">
        <v>37691000</v>
      </c>
      <c r="I1274" t="s">
        <v>7</v>
      </c>
      <c r="J1274" t="s">
        <v>158</v>
      </c>
      <c r="K1274" s="61">
        <f t="shared" si="57"/>
        <v>937707000</v>
      </c>
      <c r="L1274" s="61">
        <f t="shared" si="58"/>
        <v>472585000</v>
      </c>
      <c r="M1274" s="61">
        <f t="shared" si="59"/>
        <v>465122000</v>
      </c>
    </row>
    <row r="1275" spans="1:13" x14ac:dyDescent="0.25">
      <c r="A1275" t="s">
        <v>448</v>
      </c>
      <c r="B1275" t="s">
        <v>9</v>
      </c>
      <c r="C1275">
        <v>41639</v>
      </c>
      <c r="D1275" s="61">
        <v>6411577000</v>
      </c>
      <c r="E1275" s="61">
        <v>5424644000</v>
      </c>
      <c r="F1275" s="61">
        <v>485069000</v>
      </c>
      <c r="G1275" s="61">
        <v>0</v>
      </c>
      <c r="H1275" s="61">
        <v>25865000</v>
      </c>
      <c r="I1275" t="s">
        <v>7</v>
      </c>
      <c r="J1275" t="s">
        <v>158</v>
      </c>
      <c r="K1275" s="61">
        <f t="shared" si="57"/>
        <v>986933000</v>
      </c>
      <c r="L1275" s="61">
        <f t="shared" si="58"/>
        <v>510934000</v>
      </c>
      <c r="M1275" s="61">
        <f t="shared" si="59"/>
        <v>475999000</v>
      </c>
    </row>
    <row r="1276" spans="1:13" x14ac:dyDescent="0.25">
      <c r="A1276" t="s">
        <v>448</v>
      </c>
      <c r="B1276" t="s">
        <v>10</v>
      </c>
      <c r="C1276">
        <v>42004</v>
      </c>
      <c r="D1276" s="61">
        <v>7747229000</v>
      </c>
      <c r="E1276" s="61">
        <v>6578435000</v>
      </c>
      <c r="F1276" s="61">
        <v>705477000</v>
      </c>
      <c r="G1276" s="61">
        <v>0</v>
      </c>
      <c r="H1276" s="61">
        <v>34257000</v>
      </c>
      <c r="I1276" t="s">
        <v>7</v>
      </c>
      <c r="J1276" t="s">
        <v>158</v>
      </c>
      <c r="K1276" s="61">
        <f t="shared" si="57"/>
        <v>1168794000</v>
      </c>
      <c r="L1276" s="61">
        <f t="shared" si="58"/>
        <v>739734000</v>
      </c>
      <c r="M1276" s="61">
        <f t="shared" si="59"/>
        <v>429060000</v>
      </c>
    </row>
    <row r="1277" spans="1:13" x14ac:dyDescent="0.25">
      <c r="A1277" t="s">
        <v>448</v>
      </c>
      <c r="B1277" t="s">
        <v>11</v>
      </c>
      <c r="C1277">
        <v>42369</v>
      </c>
      <c r="D1277" s="61">
        <v>7572436000</v>
      </c>
      <c r="E1277" s="61">
        <v>6648771000</v>
      </c>
      <c r="F1277" s="61">
        <v>592863000</v>
      </c>
      <c r="G1277" s="61">
        <v>0</v>
      </c>
      <c r="H1277" s="61">
        <v>34848000</v>
      </c>
      <c r="I1277" t="s">
        <v>7</v>
      </c>
      <c r="J1277" t="s">
        <v>158</v>
      </c>
      <c r="K1277" s="61">
        <f t="shared" si="57"/>
        <v>923665000</v>
      </c>
      <c r="L1277" s="61">
        <f t="shared" si="58"/>
        <v>627711000</v>
      </c>
      <c r="M1277" s="61">
        <f t="shared" si="59"/>
        <v>295954000</v>
      </c>
    </row>
    <row r="1278" spans="1:13" x14ac:dyDescent="0.25">
      <c r="A1278" t="s">
        <v>449</v>
      </c>
      <c r="B1278" t="s">
        <v>6</v>
      </c>
      <c r="C1278">
        <v>41274</v>
      </c>
      <c r="D1278" s="61">
        <v>11224000000</v>
      </c>
      <c r="E1278" s="61">
        <v>6396000000</v>
      </c>
      <c r="F1278" s="61">
        <v>1227000000</v>
      </c>
      <c r="G1278" s="61">
        <v>98000000</v>
      </c>
      <c r="H1278" s="61">
        <v>1001000000</v>
      </c>
      <c r="I1278" t="s">
        <v>53</v>
      </c>
      <c r="J1278" t="s">
        <v>81</v>
      </c>
      <c r="K1278" s="61">
        <f t="shared" si="57"/>
        <v>4828000000</v>
      </c>
      <c r="L1278" s="61">
        <f t="shared" si="58"/>
        <v>2326000000</v>
      </c>
      <c r="M1278" s="61">
        <f t="shared" si="59"/>
        <v>2502000000</v>
      </c>
    </row>
    <row r="1279" spans="1:13" x14ac:dyDescent="0.25">
      <c r="A1279" t="s">
        <v>449</v>
      </c>
      <c r="B1279" t="s">
        <v>9</v>
      </c>
      <c r="C1279">
        <v>41639</v>
      </c>
      <c r="D1279" s="61">
        <v>11925000000</v>
      </c>
      <c r="E1279" s="61">
        <v>6744000000</v>
      </c>
      <c r="F1279" s="61">
        <v>1349000000</v>
      </c>
      <c r="G1279" s="61">
        <v>98000000</v>
      </c>
      <c r="H1279" s="61">
        <v>1109000000</v>
      </c>
      <c r="I1279" t="s">
        <v>53</v>
      </c>
      <c r="J1279" t="s">
        <v>81</v>
      </c>
      <c r="K1279" s="61">
        <f t="shared" si="57"/>
        <v>5181000000</v>
      </c>
      <c r="L1279" s="61">
        <f t="shared" si="58"/>
        <v>2556000000</v>
      </c>
      <c r="M1279" s="61">
        <f t="shared" si="59"/>
        <v>2625000000</v>
      </c>
    </row>
    <row r="1280" spans="1:13" x14ac:dyDescent="0.25">
      <c r="A1280" t="s">
        <v>449</v>
      </c>
      <c r="B1280" t="s">
        <v>10</v>
      </c>
      <c r="C1280">
        <v>42004</v>
      </c>
      <c r="D1280" s="61">
        <v>12273000000</v>
      </c>
      <c r="E1280" s="61">
        <v>6962000000</v>
      </c>
      <c r="F1280" s="61">
        <v>1437000000</v>
      </c>
      <c r="G1280" s="61">
        <v>96000000</v>
      </c>
      <c r="H1280" s="61">
        <v>1170000000</v>
      </c>
      <c r="I1280" t="s">
        <v>53</v>
      </c>
      <c r="J1280" t="s">
        <v>81</v>
      </c>
      <c r="K1280" s="61">
        <f t="shared" si="57"/>
        <v>5311000000</v>
      </c>
      <c r="L1280" s="61">
        <f t="shared" si="58"/>
        <v>2703000000</v>
      </c>
      <c r="M1280" s="61">
        <f t="shared" si="59"/>
        <v>2608000000</v>
      </c>
    </row>
    <row r="1281" spans="1:13" x14ac:dyDescent="0.25">
      <c r="A1281" t="s">
        <v>449</v>
      </c>
      <c r="B1281" t="s">
        <v>11</v>
      </c>
      <c r="C1281">
        <v>42369</v>
      </c>
      <c r="D1281" s="61">
        <v>10776000000</v>
      </c>
      <c r="E1281" s="61">
        <v>5960000000</v>
      </c>
      <c r="F1281" s="61">
        <v>1296000000</v>
      </c>
      <c r="G1281" s="61">
        <v>93000000</v>
      </c>
      <c r="H1281" s="61">
        <v>1106000000</v>
      </c>
      <c r="I1281" t="s">
        <v>53</v>
      </c>
      <c r="J1281" t="s">
        <v>81</v>
      </c>
      <c r="K1281" s="61">
        <f t="shared" si="57"/>
        <v>4816000000</v>
      </c>
      <c r="L1281" s="61">
        <f t="shared" si="58"/>
        <v>2495000000</v>
      </c>
      <c r="M1281" s="61">
        <f t="shared" si="59"/>
        <v>2321000000</v>
      </c>
    </row>
    <row r="1282" spans="1:13" x14ac:dyDescent="0.25">
      <c r="A1282" t="s">
        <v>450</v>
      </c>
      <c r="B1282" t="s">
        <v>6</v>
      </c>
      <c r="C1282">
        <v>41546</v>
      </c>
      <c r="D1282" s="61">
        <v>24866000000</v>
      </c>
      <c r="E1282" s="61">
        <v>9820000000</v>
      </c>
      <c r="F1282" s="61">
        <v>2849000000</v>
      </c>
      <c r="G1282" s="61">
        <v>4967000000</v>
      </c>
      <c r="H1282" s="61">
        <v>0</v>
      </c>
      <c r="I1282" t="s">
        <v>16</v>
      </c>
      <c r="J1282" t="s">
        <v>28</v>
      </c>
      <c r="K1282" s="61">
        <f t="shared" ref="K1282:K1345" si="60">D1282-E1282</f>
        <v>15046000000</v>
      </c>
      <c r="L1282" s="61">
        <f t="shared" ref="L1282:L1345" si="61">F1282+G1282+H1282</f>
        <v>7816000000</v>
      </c>
      <c r="M1282" s="61">
        <f t="shared" si="59"/>
        <v>7230000000</v>
      </c>
    </row>
    <row r="1283" spans="1:13" x14ac:dyDescent="0.25">
      <c r="A1283" t="s">
        <v>450</v>
      </c>
      <c r="B1283" t="s">
        <v>9</v>
      </c>
      <c r="C1283">
        <v>41910</v>
      </c>
      <c r="D1283" s="61">
        <v>26487000000</v>
      </c>
      <c r="E1283" s="61">
        <v>10686000000</v>
      </c>
      <c r="F1283" s="61">
        <v>2774000000</v>
      </c>
      <c r="G1283" s="61">
        <v>5477000000</v>
      </c>
      <c r="H1283" s="61">
        <v>0</v>
      </c>
      <c r="I1283" t="s">
        <v>16</v>
      </c>
      <c r="J1283" t="s">
        <v>28</v>
      </c>
      <c r="K1283" s="61">
        <f t="shared" si="60"/>
        <v>15801000000</v>
      </c>
      <c r="L1283" s="61">
        <f t="shared" si="61"/>
        <v>8251000000</v>
      </c>
      <c r="M1283" s="61">
        <f t="shared" ref="M1283:M1346" si="62">K1283-L1283</f>
        <v>7550000000</v>
      </c>
    </row>
    <row r="1284" spans="1:13" x14ac:dyDescent="0.25">
      <c r="A1284" t="s">
        <v>450</v>
      </c>
      <c r="B1284" t="s">
        <v>10</v>
      </c>
      <c r="C1284">
        <v>42274</v>
      </c>
      <c r="D1284" s="61">
        <v>25281000000</v>
      </c>
      <c r="E1284" s="61">
        <v>10378000000</v>
      </c>
      <c r="F1284" s="61">
        <v>3637000000</v>
      </c>
      <c r="G1284" s="61">
        <v>5490000000</v>
      </c>
      <c r="H1284" s="61">
        <v>0</v>
      </c>
      <c r="I1284" t="s">
        <v>16</v>
      </c>
      <c r="J1284" t="s">
        <v>28</v>
      </c>
      <c r="K1284" s="61">
        <f t="shared" si="60"/>
        <v>14903000000</v>
      </c>
      <c r="L1284" s="61">
        <f t="shared" si="61"/>
        <v>9127000000</v>
      </c>
      <c r="M1284" s="61">
        <f t="shared" si="62"/>
        <v>5776000000</v>
      </c>
    </row>
    <row r="1285" spans="1:13" x14ac:dyDescent="0.25">
      <c r="A1285" t="s">
        <v>450</v>
      </c>
      <c r="B1285" t="s">
        <v>11</v>
      </c>
      <c r="C1285">
        <v>42638</v>
      </c>
      <c r="D1285" s="61">
        <v>23554000000</v>
      </c>
      <c r="E1285" s="61">
        <v>9749000000</v>
      </c>
      <c r="F1285" s="61">
        <v>2159000000</v>
      </c>
      <c r="G1285" s="61">
        <v>5151000000</v>
      </c>
      <c r="H1285" s="61">
        <v>0</v>
      </c>
      <c r="I1285" t="s">
        <v>16</v>
      </c>
      <c r="J1285" t="s">
        <v>28</v>
      </c>
      <c r="K1285" s="61">
        <f t="shared" si="60"/>
        <v>13805000000</v>
      </c>
      <c r="L1285" s="61">
        <f t="shared" si="61"/>
        <v>7310000000</v>
      </c>
      <c r="M1285" s="61">
        <f t="shared" si="62"/>
        <v>6495000000</v>
      </c>
    </row>
    <row r="1286" spans="1:13" x14ac:dyDescent="0.25">
      <c r="A1286" t="s">
        <v>451</v>
      </c>
      <c r="B1286" t="s">
        <v>6</v>
      </c>
      <c r="C1286">
        <v>41727</v>
      </c>
      <c r="D1286" s="61">
        <v>1148231000</v>
      </c>
      <c r="E1286" s="61">
        <v>743304000</v>
      </c>
      <c r="F1286" s="61">
        <v>180317000</v>
      </c>
      <c r="G1286" s="61">
        <v>197269000</v>
      </c>
      <c r="H1286" s="61">
        <v>0</v>
      </c>
      <c r="I1286" t="s">
        <v>16</v>
      </c>
      <c r="J1286" t="s">
        <v>28</v>
      </c>
      <c r="K1286" s="61">
        <f t="shared" si="60"/>
        <v>404927000</v>
      </c>
      <c r="L1286" s="61">
        <f t="shared" si="61"/>
        <v>377586000</v>
      </c>
      <c r="M1286" s="61">
        <f t="shared" si="62"/>
        <v>27341000</v>
      </c>
    </row>
    <row r="1287" spans="1:13" x14ac:dyDescent="0.25">
      <c r="A1287" t="s">
        <v>451</v>
      </c>
      <c r="B1287" t="s">
        <v>9</v>
      </c>
      <c r="C1287">
        <v>42091</v>
      </c>
      <c r="D1287" s="61">
        <v>1710966000</v>
      </c>
      <c r="E1287" s="61">
        <v>1021658000</v>
      </c>
      <c r="F1287" s="61">
        <v>309348000</v>
      </c>
      <c r="G1287" s="61">
        <v>257494000</v>
      </c>
      <c r="H1287" s="61">
        <v>0</v>
      </c>
      <c r="I1287" t="s">
        <v>16</v>
      </c>
      <c r="J1287" t="s">
        <v>28</v>
      </c>
      <c r="K1287" s="61">
        <f t="shared" si="60"/>
        <v>689308000</v>
      </c>
      <c r="L1287" s="61">
        <f t="shared" si="61"/>
        <v>566842000</v>
      </c>
      <c r="M1287" s="61">
        <f t="shared" si="62"/>
        <v>122466000</v>
      </c>
    </row>
    <row r="1288" spans="1:13" x14ac:dyDescent="0.25">
      <c r="A1288" t="s">
        <v>451</v>
      </c>
      <c r="B1288" t="s">
        <v>10</v>
      </c>
      <c r="C1288">
        <v>42462</v>
      </c>
      <c r="D1288" s="61">
        <v>2610726000</v>
      </c>
      <c r="E1288" s="61">
        <v>1561173000</v>
      </c>
      <c r="F1288" s="61">
        <v>588822000</v>
      </c>
      <c r="G1288" s="61">
        <v>448763000</v>
      </c>
      <c r="H1288" s="61">
        <v>0</v>
      </c>
      <c r="I1288" t="s">
        <v>16</v>
      </c>
      <c r="J1288" t="s">
        <v>28</v>
      </c>
      <c r="K1288" s="61">
        <f t="shared" si="60"/>
        <v>1049553000</v>
      </c>
      <c r="L1288" s="61">
        <f t="shared" si="61"/>
        <v>1037585000</v>
      </c>
      <c r="M1288" s="61">
        <f t="shared" si="62"/>
        <v>11968000</v>
      </c>
    </row>
    <row r="1289" spans="1:13" x14ac:dyDescent="0.25">
      <c r="A1289" t="s">
        <v>452</v>
      </c>
      <c r="B1289" t="s">
        <v>6</v>
      </c>
      <c r="C1289">
        <v>41639</v>
      </c>
      <c r="D1289" s="61">
        <v>6419285000</v>
      </c>
      <c r="E1289" s="61">
        <v>5099484000</v>
      </c>
      <c r="F1289" s="61">
        <v>922340000</v>
      </c>
      <c r="G1289" s="61">
        <v>0</v>
      </c>
      <c r="H1289" s="61">
        <v>0</v>
      </c>
      <c r="I1289" t="s">
        <v>7</v>
      </c>
      <c r="J1289" t="s">
        <v>158</v>
      </c>
      <c r="K1289" s="61">
        <f t="shared" si="60"/>
        <v>1319801000</v>
      </c>
      <c r="L1289" s="61">
        <f t="shared" si="61"/>
        <v>922340000</v>
      </c>
      <c r="M1289" s="61">
        <f t="shared" si="62"/>
        <v>397461000</v>
      </c>
    </row>
    <row r="1290" spans="1:13" x14ac:dyDescent="0.25">
      <c r="A1290" t="s">
        <v>452</v>
      </c>
      <c r="B1290" t="s">
        <v>9</v>
      </c>
      <c r="C1290">
        <v>42004</v>
      </c>
      <c r="D1290" s="61">
        <v>6638774000</v>
      </c>
      <c r="E1290" s="61">
        <v>5253040000</v>
      </c>
      <c r="F1290" s="61">
        <v>1030014000</v>
      </c>
      <c r="G1290" s="61">
        <v>0</v>
      </c>
      <c r="H1290" s="61">
        <v>0</v>
      </c>
      <c r="I1290" t="s">
        <v>7</v>
      </c>
      <c r="J1290" t="s">
        <v>158</v>
      </c>
      <c r="K1290" s="61">
        <f t="shared" si="60"/>
        <v>1385734000</v>
      </c>
      <c r="L1290" s="61">
        <f t="shared" si="61"/>
        <v>1030014000</v>
      </c>
      <c r="M1290" s="61">
        <f t="shared" si="62"/>
        <v>355720000</v>
      </c>
    </row>
    <row r="1291" spans="1:13" x14ac:dyDescent="0.25">
      <c r="A1291" t="s">
        <v>452</v>
      </c>
      <c r="B1291" t="s">
        <v>10</v>
      </c>
      <c r="C1291">
        <v>42369</v>
      </c>
      <c r="D1291" s="61">
        <v>6571893000</v>
      </c>
      <c r="E1291" s="61">
        <v>5086449000</v>
      </c>
      <c r="F1291" s="61">
        <v>961579000</v>
      </c>
      <c r="G1291" s="61">
        <v>0</v>
      </c>
      <c r="H1291" s="61">
        <v>0</v>
      </c>
      <c r="I1291" t="s">
        <v>7</v>
      </c>
      <c r="J1291" t="s">
        <v>158</v>
      </c>
      <c r="K1291" s="61">
        <f t="shared" si="60"/>
        <v>1485444000</v>
      </c>
      <c r="L1291" s="61">
        <f t="shared" si="61"/>
        <v>961579000</v>
      </c>
      <c r="M1291" s="61">
        <f t="shared" si="62"/>
        <v>523865000</v>
      </c>
    </row>
    <row r="1292" spans="1:13" x14ac:dyDescent="0.25">
      <c r="A1292" t="s">
        <v>452</v>
      </c>
      <c r="B1292" t="s">
        <v>11</v>
      </c>
      <c r="C1292">
        <v>42735</v>
      </c>
      <c r="D1292" s="61">
        <v>6786984000</v>
      </c>
      <c r="E1292" s="61">
        <v>5285568000</v>
      </c>
      <c r="F1292" s="61">
        <v>956158000</v>
      </c>
      <c r="G1292" s="61">
        <v>0</v>
      </c>
      <c r="H1292" s="61">
        <v>0</v>
      </c>
      <c r="I1292" t="s">
        <v>7</v>
      </c>
      <c r="J1292" t="s">
        <v>158</v>
      </c>
      <c r="K1292" s="61">
        <f t="shared" si="60"/>
        <v>1501416000</v>
      </c>
      <c r="L1292" s="61">
        <f t="shared" si="61"/>
        <v>956158000</v>
      </c>
      <c r="M1292" s="61">
        <f t="shared" si="62"/>
        <v>545258000</v>
      </c>
    </row>
    <row r="1293" spans="1:13" x14ac:dyDescent="0.25">
      <c r="A1293" t="s">
        <v>453</v>
      </c>
      <c r="B1293" t="s">
        <v>6</v>
      </c>
      <c r="C1293">
        <v>41274</v>
      </c>
      <c r="D1293" s="61">
        <v>7688024000</v>
      </c>
      <c r="E1293" s="61">
        <v>5157434000</v>
      </c>
      <c r="F1293" s="61">
        <v>1011543000</v>
      </c>
      <c r="G1293" s="61">
        <v>0</v>
      </c>
      <c r="H1293" s="61">
        <v>730493000</v>
      </c>
      <c r="I1293" t="s">
        <v>13</v>
      </c>
      <c r="J1293" t="s">
        <v>127</v>
      </c>
      <c r="K1293" s="61">
        <f t="shared" si="60"/>
        <v>2530590000</v>
      </c>
      <c r="L1293" s="61">
        <f t="shared" si="61"/>
        <v>1742036000</v>
      </c>
      <c r="M1293" s="61">
        <f t="shared" si="62"/>
        <v>788554000</v>
      </c>
    </row>
    <row r="1294" spans="1:13" x14ac:dyDescent="0.25">
      <c r="A1294" t="s">
        <v>453</v>
      </c>
      <c r="B1294" t="s">
        <v>9</v>
      </c>
      <c r="C1294">
        <v>41639</v>
      </c>
      <c r="D1294" s="61">
        <v>7959894000</v>
      </c>
      <c r="E1294" s="61">
        <v>5305270000</v>
      </c>
      <c r="F1294" s="61">
        <v>1044819000</v>
      </c>
      <c r="G1294" s="61">
        <v>0</v>
      </c>
      <c r="H1294" s="61">
        <v>754711000</v>
      </c>
      <c r="I1294" t="s">
        <v>13</v>
      </c>
      <c r="J1294" t="s">
        <v>127</v>
      </c>
      <c r="K1294" s="61">
        <f t="shared" si="60"/>
        <v>2654624000</v>
      </c>
      <c r="L1294" s="61">
        <f t="shared" si="61"/>
        <v>1799530000</v>
      </c>
      <c r="M1294" s="61">
        <f t="shared" si="62"/>
        <v>855094000</v>
      </c>
    </row>
    <row r="1295" spans="1:13" x14ac:dyDescent="0.25">
      <c r="A1295" t="s">
        <v>453</v>
      </c>
      <c r="B1295" t="s">
        <v>10</v>
      </c>
      <c r="C1295">
        <v>42004</v>
      </c>
      <c r="D1295" s="61">
        <v>8073855000</v>
      </c>
      <c r="E1295" s="61">
        <v>5306281000</v>
      </c>
      <c r="F1295" s="61">
        <v>1048952000</v>
      </c>
      <c r="G1295" s="61">
        <v>0</v>
      </c>
      <c r="H1295" s="61">
        <v>772445000</v>
      </c>
      <c r="I1295" t="s">
        <v>13</v>
      </c>
      <c r="J1295" t="s">
        <v>127</v>
      </c>
      <c r="K1295" s="61">
        <f t="shared" si="60"/>
        <v>2767574000</v>
      </c>
      <c r="L1295" s="61">
        <f t="shared" si="61"/>
        <v>1821397000</v>
      </c>
      <c r="M1295" s="61">
        <f t="shared" si="62"/>
        <v>946177000</v>
      </c>
    </row>
    <row r="1296" spans="1:13" x14ac:dyDescent="0.25">
      <c r="A1296" t="s">
        <v>453</v>
      </c>
      <c r="B1296" t="s">
        <v>11</v>
      </c>
      <c r="C1296">
        <v>42369</v>
      </c>
      <c r="D1296" s="61">
        <v>8299074000</v>
      </c>
      <c r="E1296" s="61">
        <v>5099393000</v>
      </c>
      <c r="F1296" s="61">
        <v>1086504000</v>
      </c>
      <c r="G1296" s="61">
        <v>0</v>
      </c>
      <c r="H1296" s="61">
        <v>827008000</v>
      </c>
      <c r="I1296" t="s">
        <v>13</v>
      </c>
      <c r="J1296" t="s">
        <v>127</v>
      </c>
      <c r="K1296" s="61">
        <f t="shared" si="60"/>
        <v>3199681000</v>
      </c>
      <c r="L1296" s="61">
        <f t="shared" si="61"/>
        <v>1913512000</v>
      </c>
      <c r="M1296" s="61">
        <f t="shared" si="62"/>
        <v>1286169000</v>
      </c>
    </row>
    <row r="1297" spans="1:13" x14ac:dyDescent="0.25">
      <c r="A1297" t="s">
        <v>454</v>
      </c>
      <c r="B1297" t="s">
        <v>6</v>
      </c>
      <c r="C1297">
        <v>41639</v>
      </c>
      <c r="D1297" s="61">
        <v>2104745000</v>
      </c>
      <c r="E1297" s="61">
        <v>155355000</v>
      </c>
      <c r="F1297" s="61">
        <v>346393000</v>
      </c>
      <c r="G1297" s="61">
        <v>859947000</v>
      </c>
      <c r="H1297" s="61">
        <v>0</v>
      </c>
      <c r="I1297" t="s">
        <v>19</v>
      </c>
      <c r="J1297" t="s">
        <v>60</v>
      </c>
      <c r="K1297" s="61">
        <f t="shared" si="60"/>
        <v>1949390000</v>
      </c>
      <c r="L1297" s="61">
        <f t="shared" si="61"/>
        <v>1206340000</v>
      </c>
      <c r="M1297" s="61">
        <f t="shared" si="62"/>
        <v>743050000</v>
      </c>
    </row>
    <row r="1298" spans="1:13" x14ac:dyDescent="0.25">
      <c r="A1298" t="s">
        <v>454</v>
      </c>
      <c r="B1298" t="s">
        <v>9</v>
      </c>
      <c r="C1298">
        <v>42004</v>
      </c>
      <c r="D1298" s="61">
        <v>2819557000</v>
      </c>
      <c r="E1298" s="61">
        <v>205018000</v>
      </c>
      <c r="F1298" s="61">
        <v>519267000</v>
      </c>
      <c r="G1298" s="61">
        <v>1271353000</v>
      </c>
      <c r="H1298" s="61">
        <v>0</v>
      </c>
      <c r="I1298" t="s">
        <v>19</v>
      </c>
      <c r="J1298" t="s">
        <v>60</v>
      </c>
      <c r="K1298" s="61">
        <f t="shared" si="60"/>
        <v>2614539000</v>
      </c>
      <c r="L1298" s="61">
        <f t="shared" si="61"/>
        <v>1790620000</v>
      </c>
      <c r="M1298" s="61">
        <f t="shared" si="62"/>
        <v>823919000</v>
      </c>
    </row>
    <row r="1299" spans="1:13" x14ac:dyDescent="0.25">
      <c r="A1299" t="s">
        <v>454</v>
      </c>
      <c r="B1299" t="s">
        <v>10</v>
      </c>
      <c r="C1299">
        <v>42369</v>
      </c>
      <c r="D1299" s="61">
        <v>4103728000</v>
      </c>
      <c r="E1299" s="61">
        <v>392709000</v>
      </c>
      <c r="F1299" s="61">
        <v>838526000</v>
      </c>
      <c r="G1299" s="61">
        <v>1620577000</v>
      </c>
      <c r="H1299" s="61">
        <v>0</v>
      </c>
      <c r="I1299" t="s">
        <v>19</v>
      </c>
      <c r="J1299" t="s">
        <v>60</v>
      </c>
      <c r="K1299" s="61">
        <f t="shared" si="60"/>
        <v>3711019000</v>
      </c>
      <c r="L1299" s="61">
        <f t="shared" si="61"/>
        <v>2459103000</v>
      </c>
      <c r="M1299" s="61">
        <f t="shared" si="62"/>
        <v>1251916000</v>
      </c>
    </row>
    <row r="1300" spans="1:13" x14ac:dyDescent="0.25">
      <c r="A1300" t="s">
        <v>454</v>
      </c>
      <c r="B1300" t="s">
        <v>11</v>
      </c>
      <c r="C1300">
        <v>42735</v>
      </c>
      <c r="D1300" s="61">
        <v>4860427000</v>
      </c>
      <c r="E1300" s="61">
        <v>299694000</v>
      </c>
      <c r="F1300" s="61">
        <v>1177697000</v>
      </c>
      <c r="G1300" s="61">
        <v>2052295000</v>
      </c>
      <c r="H1300" s="61">
        <v>0</v>
      </c>
      <c r="I1300" t="s">
        <v>19</v>
      </c>
      <c r="J1300" t="s">
        <v>60</v>
      </c>
      <c r="K1300" s="61">
        <f t="shared" si="60"/>
        <v>4560733000</v>
      </c>
      <c r="L1300" s="61">
        <f t="shared" si="61"/>
        <v>3229992000</v>
      </c>
      <c r="M1300" s="61">
        <f t="shared" si="62"/>
        <v>1330741000</v>
      </c>
    </row>
    <row r="1301" spans="1:13" x14ac:dyDescent="0.25">
      <c r="A1301" t="s">
        <v>455</v>
      </c>
      <c r="B1301" t="s">
        <v>6</v>
      </c>
      <c r="C1301">
        <v>41639</v>
      </c>
      <c r="D1301" s="61">
        <v>4245895000</v>
      </c>
      <c r="E1301" s="61">
        <v>2522803000</v>
      </c>
      <c r="F1301" s="61">
        <v>1324815000</v>
      </c>
      <c r="G1301" s="61">
        <v>0</v>
      </c>
      <c r="H1301" s="61">
        <v>1700000</v>
      </c>
      <c r="I1301" t="s">
        <v>7</v>
      </c>
      <c r="J1301" t="s">
        <v>456</v>
      </c>
      <c r="K1301" s="61">
        <f t="shared" si="60"/>
        <v>1723092000</v>
      </c>
      <c r="L1301" s="61">
        <f t="shared" si="61"/>
        <v>1326515000</v>
      </c>
      <c r="M1301" s="61">
        <f t="shared" si="62"/>
        <v>396577000</v>
      </c>
    </row>
    <row r="1302" spans="1:13" x14ac:dyDescent="0.25">
      <c r="A1302" t="s">
        <v>455</v>
      </c>
      <c r="B1302" t="s">
        <v>9</v>
      </c>
      <c r="C1302">
        <v>42004</v>
      </c>
      <c r="D1302" s="61">
        <v>4695014000</v>
      </c>
      <c r="E1302" s="61">
        <v>2772098000</v>
      </c>
      <c r="F1302" s="61">
        <v>1425734000</v>
      </c>
      <c r="G1302" s="61">
        <v>0</v>
      </c>
      <c r="H1302" s="61">
        <v>557000</v>
      </c>
      <c r="I1302" t="s">
        <v>7</v>
      </c>
      <c r="J1302" t="s">
        <v>456</v>
      </c>
      <c r="K1302" s="61">
        <f t="shared" si="60"/>
        <v>1922916000</v>
      </c>
      <c r="L1302" s="61">
        <f t="shared" si="61"/>
        <v>1426291000</v>
      </c>
      <c r="M1302" s="61">
        <f t="shared" si="62"/>
        <v>496625000</v>
      </c>
    </row>
    <row r="1303" spans="1:13" x14ac:dyDescent="0.25">
      <c r="A1303" t="s">
        <v>455</v>
      </c>
      <c r="B1303" t="s">
        <v>10</v>
      </c>
      <c r="C1303">
        <v>42369</v>
      </c>
      <c r="D1303" s="61">
        <v>5094933000</v>
      </c>
      <c r="E1303" s="61">
        <v>2980462000</v>
      </c>
      <c r="F1303" s="61">
        <v>1533799000</v>
      </c>
      <c r="G1303" s="61">
        <v>0</v>
      </c>
      <c r="H1303" s="61">
        <v>192000</v>
      </c>
      <c r="I1303" t="s">
        <v>7</v>
      </c>
      <c r="J1303" t="s">
        <v>456</v>
      </c>
      <c r="K1303" s="61">
        <f t="shared" si="60"/>
        <v>2114471000</v>
      </c>
      <c r="L1303" s="61">
        <f t="shared" si="61"/>
        <v>1533991000</v>
      </c>
      <c r="M1303" s="61">
        <f t="shared" si="62"/>
        <v>580480000</v>
      </c>
    </row>
    <row r="1304" spans="1:13" x14ac:dyDescent="0.25">
      <c r="A1304" t="s">
        <v>455</v>
      </c>
      <c r="B1304" t="s">
        <v>11</v>
      </c>
      <c r="C1304">
        <v>42735</v>
      </c>
      <c r="D1304" s="61">
        <v>5250399000</v>
      </c>
      <c r="E1304" s="61">
        <v>3089723000</v>
      </c>
      <c r="F1304" s="61">
        <v>1606217000</v>
      </c>
      <c r="G1304" s="61">
        <v>0</v>
      </c>
      <c r="H1304" s="61">
        <v>1237000</v>
      </c>
      <c r="I1304" t="s">
        <v>7</v>
      </c>
      <c r="J1304" t="s">
        <v>456</v>
      </c>
      <c r="K1304" s="61">
        <f t="shared" si="60"/>
        <v>2160676000</v>
      </c>
      <c r="L1304" s="61">
        <f t="shared" si="61"/>
        <v>1607454000</v>
      </c>
      <c r="M1304" s="61">
        <f t="shared" si="62"/>
        <v>553222000</v>
      </c>
    </row>
    <row r="1305" spans="1:13" x14ac:dyDescent="0.25">
      <c r="A1305" t="s">
        <v>457</v>
      </c>
      <c r="B1305" t="s">
        <v>6</v>
      </c>
      <c r="C1305">
        <v>41333</v>
      </c>
      <c r="D1305" s="61">
        <v>1328817000</v>
      </c>
      <c r="E1305" s="61">
        <v>200600000</v>
      </c>
      <c r="F1305" s="61">
        <v>660887000</v>
      </c>
      <c r="G1305" s="61">
        <v>263150000</v>
      </c>
      <c r="H1305" s="61">
        <v>0</v>
      </c>
      <c r="I1305" t="s">
        <v>16</v>
      </c>
      <c r="J1305" t="s">
        <v>394</v>
      </c>
      <c r="K1305" s="61">
        <f t="shared" si="60"/>
        <v>1128217000</v>
      </c>
      <c r="L1305" s="61">
        <f t="shared" si="61"/>
        <v>924037000</v>
      </c>
      <c r="M1305" s="61">
        <f t="shared" si="62"/>
        <v>204180000</v>
      </c>
    </row>
    <row r="1306" spans="1:13" x14ac:dyDescent="0.25">
      <c r="A1306" t="s">
        <v>457</v>
      </c>
      <c r="B1306" t="s">
        <v>9</v>
      </c>
      <c r="C1306">
        <v>41698</v>
      </c>
      <c r="D1306" s="61">
        <v>1534615000</v>
      </c>
      <c r="E1306" s="61">
        <v>232600000</v>
      </c>
      <c r="F1306" s="61">
        <v>750292000</v>
      </c>
      <c r="G1306" s="61">
        <v>317263000</v>
      </c>
      <c r="H1306" s="61">
        <v>0</v>
      </c>
      <c r="I1306" t="s">
        <v>16</v>
      </c>
      <c r="J1306" t="s">
        <v>394</v>
      </c>
      <c r="K1306" s="61">
        <f t="shared" si="60"/>
        <v>1302015000</v>
      </c>
      <c r="L1306" s="61">
        <f t="shared" si="61"/>
        <v>1067555000</v>
      </c>
      <c r="M1306" s="61">
        <f t="shared" si="62"/>
        <v>234460000</v>
      </c>
    </row>
    <row r="1307" spans="1:13" x14ac:dyDescent="0.25">
      <c r="A1307" t="s">
        <v>457</v>
      </c>
      <c r="B1307" t="s">
        <v>10</v>
      </c>
      <c r="C1307">
        <v>42063</v>
      </c>
      <c r="D1307" s="61">
        <v>1789489000</v>
      </c>
      <c r="E1307" s="61">
        <v>273199000</v>
      </c>
      <c r="F1307" s="61">
        <v>898440000</v>
      </c>
      <c r="G1307" s="61">
        <v>367856000</v>
      </c>
      <c r="H1307" s="61">
        <v>0</v>
      </c>
      <c r="I1307" t="s">
        <v>16</v>
      </c>
      <c r="J1307" t="s">
        <v>394</v>
      </c>
      <c r="K1307" s="61">
        <f t="shared" si="60"/>
        <v>1516290000</v>
      </c>
      <c r="L1307" s="61">
        <f t="shared" si="61"/>
        <v>1266296000</v>
      </c>
      <c r="M1307" s="61">
        <f t="shared" si="62"/>
        <v>249994000</v>
      </c>
    </row>
    <row r="1308" spans="1:13" x14ac:dyDescent="0.25">
      <c r="A1308" t="s">
        <v>457</v>
      </c>
      <c r="B1308" t="s">
        <v>11</v>
      </c>
      <c r="C1308">
        <v>42429</v>
      </c>
      <c r="D1308" s="61">
        <v>2052230000</v>
      </c>
      <c r="E1308" s="61">
        <v>309629000</v>
      </c>
      <c r="F1308" s="61">
        <v>1041231000</v>
      </c>
      <c r="G1308" s="61">
        <v>413322000</v>
      </c>
      <c r="H1308" s="61">
        <v>0</v>
      </c>
      <c r="I1308" t="s">
        <v>16</v>
      </c>
      <c r="J1308" t="s">
        <v>394</v>
      </c>
      <c r="K1308" s="61">
        <f t="shared" si="60"/>
        <v>1742601000</v>
      </c>
      <c r="L1308" s="61">
        <f t="shared" si="61"/>
        <v>1454553000</v>
      </c>
      <c r="M1308" s="61">
        <f t="shared" si="62"/>
        <v>288048000</v>
      </c>
    </row>
    <row r="1309" spans="1:13" x14ac:dyDescent="0.25">
      <c r="A1309" t="s">
        <v>458</v>
      </c>
      <c r="B1309" t="s">
        <v>6</v>
      </c>
      <c r="C1309">
        <v>41363</v>
      </c>
      <c r="D1309" s="61">
        <v>6945000000</v>
      </c>
      <c r="E1309" s="61">
        <v>2789000000</v>
      </c>
      <c r="F1309" s="61">
        <v>2971000000</v>
      </c>
      <c r="G1309" s="61">
        <v>0</v>
      </c>
      <c r="H1309" s="61">
        <v>27000000</v>
      </c>
      <c r="I1309" t="s">
        <v>13</v>
      </c>
      <c r="J1309" t="s">
        <v>283</v>
      </c>
      <c r="K1309" s="61">
        <f t="shared" si="60"/>
        <v>4156000000</v>
      </c>
      <c r="L1309" s="61">
        <f t="shared" si="61"/>
        <v>2998000000</v>
      </c>
      <c r="M1309" s="61">
        <f t="shared" si="62"/>
        <v>1158000000</v>
      </c>
    </row>
    <row r="1310" spans="1:13" x14ac:dyDescent="0.25">
      <c r="A1310" t="s">
        <v>458</v>
      </c>
      <c r="B1310" t="s">
        <v>9</v>
      </c>
      <c r="C1310">
        <v>41727</v>
      </c>
      <c r="D1310" s="61">
        <v>7450000000</v>
      </c>
      <c r="E1310" s="61">
        <v>3140000000</v>
      </c>
      <c r="F1310" s="61">
        <v>3142000000</v>
      </c>
      <c r="G1310" s="61">
        <v>0</v>
      </c>
      <c r="H1310" s="61">
        <v>35000000</v>
      </c>
      <c r="I1310" t="s">
        <v>13</v>
      </c>
      <c r="J1310" t="s">
        <v>283</v>
      </c>
      <c r="K1310" s="61">
        <f t="shared" si="60"/>
        <v>4310000000</v>
      </c>
      <c r="L1310" s="61">
        <f t="shared" si="61"/>
        <v>3177000000</v>
      </c>
      <c r="M1310" s="61">
        <f t="shared" si="62"/>
        <v>1133000000</v>
      </c>
    </row>
    <row r="1311" spans="1:13" x14ac:dyDescent="0.25">
      <c r="A1311" t="s">
        <v>458</v>
      </c>
      <c r="B1311" t="s">
        <v>10</v>
      </c>
      <c r="C1311">
        <v>42091</v>
      </c>
      <c r="D1311" s="61">
        <v>7620000000</v>
      </c>
      <c r="E1311" s="61">
        <v>3242000000</v>
      </c>
      <c r="F1311" s="61">
        <v>3301000000</v>
      </c>
      <c r="G1311" s="61">
        <v>0</v>
      </c>
      <c r="H1311" s="61">
        <v>25000000</v>
      </c>
      <c r="I1311" t="s">
        <v>13</v>
      </c>
      <c r="J1311" t="s">
        <v>283</v>
      </c>
      <c r="K1311" s="61">
        <f t="shared" si="60"/>
        <v>4378000000</v>
      </c>
      <c r="L1311" s="61">
        <f t="shared" si="61"/>
        <v>3326000000</v>
      </c>
      <c r="M1311" s="61">
        <f t="shared" si="62"/>
        <v>1052000000</v>
      </c>
    </row>
    <row r="1312" spans="1:13" x14ac:dyDescent="0.25">
      <c r="A1312" t="s">
        <v>458</v>
      </c>
      <c r="B1312" t="s">
        <v>11</v>
      </c>
      <c r="C1312">
        <v>42462</v>
      </c>
      <c r="D1312" s="61">
        <v>7405000000</v>
      </c>
      <c r="E1312" s="61">
        <v>3218000000</v>
      </c>
      <c r="F1312" s="61">
        <v>3389000000</v>
      </c>
      <c r="G1312" s="61">
        <v>0</v>
      </c>
      <c r="H1312" s="61">
        <v>24000000</v>
      </c>
      <c r="I1312" t="s">
        <v>13</v>
      </c>
      <c r="J1312" t="s">
        <v>283</v>
      </c>
      <c r="K1312" s="61">
        <f t="shared" si="60"/>
        <v>4187000000</v>
      </c>
      <c r="L1312" s="61">
        <f t="shared" si="61"/>
        <v>3413000000</v>
      </c>
      <c r="M1312" s="61">
        <f t="shared" si="62"/>
        <v>774000000</v>
      </c>
    </row>
    <row r="1313" spans="1:13" x14ac:dyDescent="0.25">
      <c r="A1313" t="s">
        <v>459</v>
      </c>
      <c r="B1313" t="s">
        <v>6</v>
      </c>
      <c r="C1313">
        <v>41547</v>
      </c>
      <c r="D1313" s="61">
        <v>6351900000</v>
      </c>
      <c r="E1313" s="61">
        <v>3778100000</v>
      </c>
      <c r="F1313" s="61">
        <v>1537700000</v>
      </c>
      <c r="G1313" s="61">
        <v>0</v>
      </c>
      <c r="H1313" s="61">
        <v>0</v>
      </c>
      <c r="I1313" t="s">
        <v>7</v>
      </c>
      <c r="J1313" t="s">
        <v>158</v>
      </c>
      <c r="K1313" s="61">
        <f t="shared" si="60"/>
        <v>2573800000</v>
      </c>
      <c r="L1313" s="61">
        <f t="shared" si="61"/>
        <v>1537700000</v>
      </c>
      <c r="M1313" s="61">
        <f t="shared" si="62"/>
        <v>1036100000</v>
      </c>
    </row>
    <row r="1314" spans="1:13" x14ac:dyDescent="0.25">
      <c r="A1314" t="s">
        <v>459</v>
      </c>
      <c r="B1314" t="s">
        <v>9</v>
      </c>
      <c r="C1314">
        <v>41912</v>
      </c>
      <c r="D1314" s="61">
        <v>6623500000</v>
      </c>
      <c r="E1314" s="61">
        <v>3869600000</v>
      </c>
      <c r="F1314" s="61">
        <v>1570100000</v>
      </c>
      <c r="G1314" s="61">
        <v>0</v>
      </c>
      <c r="H1314" s="61">
        <v>0</v>
      </c>
      <c r="I1314" t="s">
        <v>7</v>
      </c>
      <c r="J1314" t="s">
        <v>158</v>
      </c>
      <c r="K1314" s="61">
        <f t="shared" si="60"/>
        <v>2753900000</v>
      </c>
      <c r="L1314" s="61">
        <f t="shared" si="61"/>
        <v>1570100000</v>
      </c>
      <c r="M1314" s="61">
        <f t="shared" si="62"/>
        <v>1183800000</v>
      </c>
    </row>
    <row r="1315" spans="1:13" x14ac:dyDescent="0.25">
      <c r="A1315" t="s">
        <v>459</v>
      </c>
      <c r="B1315" t="s">
        <v>10</v>
      </c>
      <c r="C1315">
        <v>42277</v>
      </c>
      <c r="D1315" s="61">
        <v>6307900000</v>
      </c>
      <c r="E1315" s="61">
        <v>3604800000</v>
      </c>
      <c r="F1315" s="61">
        <v>1506400000</v>
      </c>
      <c r="G1315" s="61">
        <v>0</v>
      </c>
      <c r="H1315" s="61">
        <v>0</v>
      </c>
      <c r="I1315" t="s">
        <v>7</v>
      </c>
      <c r="J1315" t="s">
        <v>158</v>
      </c>
      <c r="K1315" s="61">
        <f t="shared" si="60"/>
        <v>2703100000</v>
      </c>
      <c r="L1315" s="61">
        <f t="shared" si="61"/>
        <v>1506400000</v>
      </c>
      <c r="M1315" s="61">
        <f t="shared" si="62"/>
        <v>1196700000</v>
      </c>
    </row>
    <row r="1316" spans="1:13" x14ac:dyDescent="0.25">
      <c r="A1316" t="s">
        <v>459</v>
      </c>
      <c r="B1316" t="s">
        <v>11</v>
      </c>
      <c r="C1316">
        <v>42643</v>
      </c>
      <c r="D1316" s="61">
        <v>5879500000</v>
      </c>
      <c r="E1316" s="61">
        <v>3404000000</v>
      </c>
      <c r="F1316" s="61">
        <v>1467400000</v>
      </c>
      <c r="G1316" s="61">
        <v>0</v>
      </c>
      <c r="H1316" s="61">
        <v>0</v>
      </c>
      <c r="I1316" t="s">
        <v>7</v>
      </c>
      <c r="J1316" t="s">
        <v>158</v>
      </c>
      <c r="K1316" s="61">
        <f t="shared" si="60"/>
        <v>2475500000</v>
      </c>
      <c r="L1316" s="61">
        <f t="shared" si="61"/>
        <v>1467400000</v>
      </c>
      <c r="M1316" s="61">
        <f t="shared" si="62"/>
        <v>1008100000</v>
      </c>
    </row>
    <row r="1317" spans="1:13" x14ac:dyDescent="0.25">
      <c r="A1317" t="s">
        <v>460</v>
      </c>
      <c r="B1317" t="s">
        <v>6</v>
      </c>
      <c r="C1317">
        <v>41274</v>
      </c>
      <c r="D1317" s="61">
        <v>2993489000</v>
      </c>
      <c r="E1317" s="61">
        <v>1321772000</v>
      </c>
      <c r="F1317" s="61">
        <v>914130000</v>
      </c>
      <c r="G1317" s="61">
        <v>0</v>
      </c>
      <c r="H1317" s="61">
        <v>0</v>
      </c>
      <c r="I1317" t="s">
        <v>7</v>
      </c>
      <c r="J1317" t="s">
        <v>158</v>
      </c>
      <c r="K1317" s="61">
        <f t="shared" si="60"/>
        <v>1671717000</v>
      </c>
      <c r="L1317" s="61">
        <f t="shared" si="61"/>
        <v>914130000</v>
      </c>
      <c r="M1317" s="61">
        <f t="shared" si="62"/>
        <v>757587000</v>
      </c>
    </row>
    <row r="1318" spans="1:13" x14ac:dyDescent="0.25">
      <c r="A1318" t="s">
        <v>460</v>
      </c>
      <c r="B1318" t="s">
        <v>9</v>
      </c>
      <c r="C1318">
        <v>41639</v>
      </c>
      <c r="D1318" s="61">
        <v>3238128000</v>
      </c>
      <c r="E1318" s="61">
        <v>1355200000</v>
      </c>
      <c r="F1318" s="61">
        <v>1040567000</v>
      </c>
      <c r="G1318" s="61">
        <v>0</v>
      </c>
      <c r="H1318" s="61">
        <v>0</v>
      </c>
      <c r="I1318" t="s">
        <v>7</v>
      </c>
      <c r="J1318" t="s">
        <v>158</v>
      </c>
      <c r="K1318" s="61">
        <f t="shared" si="60"/>
        <v>1882928000</v>
      </c>
      <c r="L1318" s="61">
        <f t="shared" si="61"/>
        <v>1040567000</v>
      </c>
      <c r="M1318" s="61">
        <f t="shared" si="62"/>
        <v>842361000</v>
      </c>
    </row>
    <row r="1319" spans="1:13" x14ac:dyDescent="0.25">
      <c r="A1319" t="s">
        <v>460</v>
      </c>
      <c r="B1319" t="s">
        <v>10</v>
      </c>
      <c r="C1319">
        <v>42004</v>
      </c>
      <c r="D1319" s="61">
        <v>3549494000</v>
      </c>
      <c r="E1319" s="61">
        <v>1447595000</v>
      </c>
      <c r="F1319" s="61">
        <v>1102426000</v>
      </c>
      <c r="G1319" s="61">
        <v>0</v>
      </c>
      <c r="H1319" s="61">
        <v>0</v>
      </c>
      <c r="I1319" t="s">
        <v>7</v>
      </c>
      <c r="J1319" t="s">
        <v>158</v>
      </c>
      <c r="K1319" s="61">
        <f t="shared" si="60"/>
        <v>2101899000</v>
      </c>
      <c r="L1319" s="61">
        <f t="shared" si="61"/>
        <v>1102426000</v>
      </c>
      <c r="M1319" s="61">
        <f t="shared" si="62"/>
        <v>999473000</v>
      </c>
    </row>
    <row r="1320" spans="1:13" x14ac:dyDescent="0.25">
      <c r="A1320" t="s">
        <v>460</v>
      </c>
      <c r="B1320" t="s">
        <v>11</v>
      </c>
      <c r="C1320">
        <v>42369</v>
      </c>
      <c r="D1320" s="61">
        <v>3582395000</v>
      </c>
      <c r="E1320" s="61">
        <v>1417749000</v>
      </c>
      <c r="F1320" s="61">
        <v>1136728000</v>
      </c>
      <c r="G1320" s="61">
        <v>0</v>
      </c>
      <c r="H1320" s="61">
        <v>0</v>
      </c>
      <c r="I1320" t="s">
        <v>7</v>
      </c>
      <c r="J1320" t="s">
        <v>158</v>
      </c>
      <c r="K1320" s="61">
        <f t="shared" si="60"/>
        <v>2164646000</v>
      </c>
      <c r="L1320" s="61">
        <f t="shared" si="61"/>
        <v>1136728000</v>
      </c>
      <c r="M1320" s="61">
        <f t="shared" si="62"/>
        <v>1027918000</v>
      </c>
    </row>
    <row r="1321" spans="1:13" x14ac:dyDescent="0.25">
      <c r="A1321" t="s">
        <v>461</v>
      </c>
      <c r="B1321" t="s">
        <v>6</v>
      </c>
      <c r="C1321">
        <v>41307</v>
      </c>
      <c r="D1321" s="61">
        <v>9721065000</v>
      </c>
      <c r="E1321" s="61">
        <v>7011428000</v>
      </c>
      <c r="F1321" s="61">
        <v>1437886000</v>
      </c>
      <c r="G1321" s="61">
        <v>0</v>
      </c>
      <c r="H1321" s="61">
        <v>0</v>
      </c>
      <c r="I1321" t="s">
        <v>13</v>
      </c>
      <c r="J1321" t="s">
        <v>251</v>
      </c>
      <c r="K1321" s="61">
        <f t="shared" si="60"/>
        <v>2709637000</v>
      </c>
      <c r="L1321" s="61">
        <f t="shared" si="61"/>
        <v>1437886000</v>
      </c>
      <c r="M1321" s="61">
        <f t="shared" si="62"/>
        <v>1271751000</v>
      </c>
    </row>
    <row r="1322" spans="1:13" x14ac:dyDescent="0.25">
      <c r="A1322" t="s">
        <v>461</v>
      </c>
      <c r="B1322" t="s">
        <v>9</v>
      </c>
      <c r="C1322">
        <v>41671</v>
      </c>
      <c r="D1322" s="61">
        <v>10230353000</v>
      </c>
      <c r="E1322" s="61">
        <v>7360924000</v>
      </c>
      <c r="F1322" s="61">
        <v>1526366000</v>
      </c>
      <c r="G1322" s="61">
        <v>0</v>
      </c>
      <c r="H1322" s="61">
        <v>0</v>
      </c>
      <c r="I1322" t="s">
        <v>13</v>
      </c>
      <c r="J1322" t="s">
        <v>251</v>
      </c>
      <c r="K1322" s="61">
        <f t="shared" si="60"/>
        <v>2869429000</v>
      </c>
      <c r="L1322" s="61">
        <f t="shared" si="61"/>
        <v>1526366000</v>
      </c>
      <c r="M1322" s="61">
        <f t="shared" si="62"/>
        <v>1343063000</v>
      </c>
    </row>
    <row r="1323" spans="1:13" x14ac:dyDescent="0.25">
      <c r="A1323" t="s">
        <v>461</v>
      </c>
      <c r="B1323" t="s">
        <v>10</v>
      </c>
      <c r="C1323">
        <v>42035</v>
      </c>
      <c r="D1323" s="61">
        <v>11041677000</v>
      </c>
      <c r="E1323" s="61">
        <v>7937956000</v>
      </c>
      <c r="F1323" s="61">
        <v>1615371000</v>
      </c>
      <c r="G1323" s="61">
        <v>0</v>
      </c>
      <c r="H1323" s="61">
        <v>0</v>
      </c>
      <c r="I1323" t="s">
        <v>13</v>
      </c>
      <c r="J1323" t="s">
        <v>251</v>
      </c>
      <c r="K1323" s="61">
        <f t="shared" si="60"/>
        <v>3103721000</v>
      </c>
      <c r="L1323" s="61">
        <f t="shared" si="61"/>
        <v>1615371000</v>
      </c>
      <c r="M1323" s="61">
        <f t="shared" si="62"/>
        <v>1488350000</v>
      </c>
    </row>
    <row r="1324" spans="1:13" x14ac:dyDescent="0.25">
      <c r="A1324" t="s">
        <v>461</v>
      </c>
      <c r="B1324" t="s">
        <v>11</v>
      </c>
      <c r="C1324">
        <v>42399</v>
      </c>
      <c r="D1324" s="61">
        <v>11939999000</v>
      </c>
      <c r="E1324" s="61">
        <v>8576873000</v>
      </c>
      <c r="F1324" s="61">
        <v>1738755000</v>
      </c>
      <c r="G1324" s="61">
        <v>0</v>
      </c>
      <c r="H1324" s="61">
        <v>0</v>
      </c>
      <c r="I1324" t="s">
        <v>13</v>
      </c>
      <c r="J1324" t="s">
        <v>251</v>
      </c>
      <c r="K1324" s="61">
        <f t="shared" si="60"/>
        <v>3363126000</v>
      </c>
      <c r="L1324" s="61">
        <f t="shared" si="61"/>
        <v>1738755000</v>
      </c>
      <c r="M1324" s="61">
        <f t="shared" si="62"/>
        <v>1624371000</v>
      </c>
    </row>
    <row r="1325" spans="1:13" x14ac:dyDescent="0.25">
      <c r="A1325" t="s">
        <v>462</v>
      </c>
      <c r="B1325" t="s">
        <v>6</v>
      </c>
      <c r="C1325">
        <v>41274</v>
      </c>
      <c r="D1325" s="61">
        <v>1367135000</v>
      </c>
      <c r="E1325" s="61">
        <v>328784000</v>
      </c>
      <c r="F1325" s="61">
        <v>248136000</v>
      </c>
      <c r="G1325" s="61">
        <v>0</v>
      </c>
      <c r="H1325" s="61">
        <v>445228000</v>
      </c>
      <c r="I1325" t="s">
        <v>77</v>
      </c>
      <c r="J1325" t="s">
        <v>78</v>
      </c>
      <c r="K1325" s="61">
        <f t="shared" si="60"/>
        <v>1038351000</v>
      </c>
      <c r="L1325" s="61">
        <f t="shared" si="61"/>
        <v>693364000</v>
      </c>
      <c r="M1325" s="61">
        <f t="shared" si="62"/>
        <v>344987000</v>
      </c>
    </row>
    <row r="1326" spans="1:13" x14ac:dyDescent="0.25">
      <c r="A1326" t="s">
        <v>462</v>
      </c>
      <c r="B1326" t="s">
        <v>9</v>
      </c>
      <c r="C1326">
        <v>41639</v>
      </c>
      <c r="D1326" s="61">
        <v>1832253000</v>
      </c>
      <c r="E1326" s="61">
        <v>516119000</v>
      </c>
      <c r="F1326" s="61">
        <v>391707000</v>
      </c>
      <c r="G1326" s="61">
        <v>0</v>
      </c>
      <c r="H1326" s="61">
        <v>492397000</v>
      </c>
      <c r="I1326" t="s">
        <v>77</v>
      </c>
      <c r="J1326" t="s">
        <v>78</v>
      </c>
      <c r="K1326" s="61">
        <f t="shared" si="60"/>
        <v>1316134000</v>
      </c>
      <c r="L1326" s="61">
        <f t="shared" si="61"/>
        <v>884104000</v>
      </c>
      <c r="M1326" s="61">
        <f t="shared" si="62"/>
        <v>432030000</v>
      </c>
    </row>
    <row r="1327" spans="1:13" x14ac:dyDescent="0.25">
      <c r="A1327" t="s">
        <v>462</v>
      </c>
      <c r="B1327" t="s">
        <v>10</v>
      </c>
      <c r="C1327">
        <v>42004</v>
      </c>
      <c r="D1327" s="61">
        <v>2042537000</v>
      </c>
      <c r="E1327" s="61">
        <v>605752000</v>
      </c>
      <c r="F1327" s="61">
        <v>191802000</v>
      </c>
      <c r="G1327" s="61">
        <v>0</v>
      </c>
      <c r="H1327" s="61">
        <v>551032000</v>
      </c>
      <c r="I1327" t="s">
        <v>77</v>
      </c>
      <c r="J1327" t="s">
        <v>78</v>
      </c>
      <c r="K1327" s="61">
        <f t="shared" si="60"/>
        <v>1436785000</v>
      </c>
      <c r="L1327" s="61">
        <f t="shared" si="61"/>
        <v>742834000</v>
      </c>
      <c r="M1327" s="61">
        <f t="shared" si="62"/>
        <v>693951000</v>
      </c>
    </row>
    <row r="1328" spans="1:13" x14ac:dyDescent="0.25">
      <c r="A1328" t="s">
        <v>462</v>
      </c>
      <c r="B1328" t="s">
        <v>11</v>
      </c>
      <c r="C1328">
        <v>42369</v>
      </c>
      <c r="D1328" s="61">
        <v>1181704000</v>
      </c>
      <c r="E1328" s="61">
        <v>648968000</v>
      </c>
      <c r="F1328" s="61">
        <v>165318000</v>
      </c>
      <c r="G1328" s="61">
        <v>0</v>
      </c>
      <c r="H1328" s="61">
        <v>581155000</v>
      </c>
      <c r="I1328" t="s">
        <v>77</v>
      </c>
      <c r="J1328" t="s">
        <v>78</v>
      </c>
      <c r="K1328" s="61">
        <f t="shared" si="60"/>
        <v>532736000</v>
      </c>
      <c r="L1328" s="61">
        <f t="shared" si="61"/>
        <v>746473000</v>
      </c>
      <c r="M1328" s="61">
        <f t="shared" si="62"/>
        <v>-213737000</v>
      </c>
    </row>
    <row r="1329" spans="1:13" x14ac:dyDescent="0.25">
      <c r="A1329" t="s">
        <v>463</v>
      </c>
      <c r="B1329" t="s">
        <v>6</v>
      </c>
      <c r="C1329">
        <v>41639</v>
      </c>
      <c r="D1329" s="61">
        <v>8417200000</v>
      </c>
      <c r="E1329" s="61">
        <v>5234700000</v>
      </c>
      <c r="F1329" s="61">
        <v>1088100000</v>
      </c>
      <c r="G1329" s="61">
        <v>0</v>
      </c>
      <c r="H1329" s="61">
        <v>877400000</v>
      </c>
      <c r="I1329" t="s">
        <v>7</v>
      </c>
      <c r="J1329" t="s">
        <v>158</v>
      </c>
      <c r="K1329" s="61">
        <f t="shared" si="60"/>
        <v>3182500000</v>
      </c>
      <c r="L1329" s="61">
        <f t="shared" si="61"/>
        <v>1965500000</v>
      </c>
      <c r="M1329" s="61">
        <f t="shared" si="62"/>
        <v>1217000000</v>
      </c>
    </row>
    <row r="1330" spans="1:13" x14ac:dyDescent="0.25">
      <c r="A1330" t="s">
        <v>463</v>
      </c>
      <c r="B1330" t="s">
        <v>9</v>
      </c>
      <c r="C1330">
        <v>42004</v>
      </c>
      <c r="D1330" s="61">
        <v>8803300000</v>
      </c>
      <c r="E1330" s="61">
        <v>5643100000</v>
      </c>
      <c r="F1330" s="61">
        <v>998400000</v>
      </c>
      <c r="G1330" s="61">
        <v>0</v>
      </c>
      <c r="H1330" s="61">
        <v>906900000</v>
      </c>
      <c r="I1330" t="s">
        <v>7</v>
      </c>
      <c r="J1330" t="s">
        <v>158</v>
      </c>
      <c r="K1330" s="61">
        <f t="shared" si="60"/>
        <v>3160200000</v>
      </c>
      <c r="L1330" s="61">
        <f t="shared" si="61"/>
        <v>1905300000</v>
      </c>
      <c r="M1330" s="61">
        <f t="shared" si="62"/>
        <v>1254900000</v>
      </c>
    </row>
    <row r="1331" spans="1:13" x14ac:dyDescent="0.25">
      <c r="A1331" t="s">
        <v>463</v>
      </c>
      <c r="B1331" t="s">
        <v>10</v>
      </c>
      <c r="C1331">
        <v>42369</v>
      </c>
      <c r="D1331" s="61">
        <v>9115000000</v>
      </c>
      <c r="E1331" s="61">
        <v>5518600000</v>
      </c>
      <c r="F1331" s="61">
        <v>1067000000</v>
      </c>
      <c r="G1331" s="61">
        <v>0</v>
      </c>
      <c r="H1331" s="61">
        <v>970600000</v>
      </c>
      <c r="I1331" t="s">
        <v>7</v>
      </c>
      <c r="J1331" t="s">
        <v>158</v>
      </c>
      <c r="K1331" s="61">
        <f t="shared" si="60"/>
        <v>3596400000</v>
      </c>
      <c r="L1331" s="61">
        <f t="shared" si="61"/>
        <v>2037600000</v>
      </c>
      <c r="M1331" s="61">
        <f t="shared" si="62"/>
        <v>1558800000</v>
      </c>
    </row>
    <row r="1332" spans="1:13" x14ac:dyDescent="0.25">
      <c r="A1332" t="s">
        <v>463</v>
      </c>
      <c r="B1332" t="s">
        <v>11</v>
      </c>
      <c r="C1332">
        <v>42735</v>
      </c>
      <c r="D1332" s="61">
        <v>9387700000</v>
      </c>
      <c r="E1332" s="61">
        <v>5764000000</v>
      </c>
      <c r="F1332" s="61">
        <v>1054500000</v>
      </c>
      <c r="G1332" s="61">
        <v>0</v>
      </c>
      <c r="H1332" s="61">
        <v>991100000</v>
      </c>
      <c r="I1332" t="s">
        <v>7</v>
      </c>
      <c r="J1332" t="s">
        <v>158</v>
      </c>
      <c r="K1332" s="61">
        <f t="shared" si="60"/>
        <v>3623700000</v>
      </c>
      <c r="L1332" s="61">
        <f t="shared" si="61"/>
        <v>2045600000</v>
      </c>
      <c r="M1332" s="61">
        <f t="shared" si="62"/>
        <v>1578100000</v>
      </c>
    </row>
    <row r="1333" spans="1:13" x14ac:dyDescent="0.25">
      <c r="A1333" t="s">
        <v>464</v>
      </c>
      <c r="B1333" t="s">
        <v>6</v>
      </c>
      <c r="C1333">
        <v>41546</v>
      </c>
      <c r="D1333" s="61">
        <v>14866800000</v>
      </c>
      <c r="E1333" s="61">
        <v>6382300000</v>
      </c>
      <c r="F1333" s="61">
        <v>5655800000</v>
      </c>
      <c r="G1333" s="61">
        <v>0</v>
      </c>
      <c r="H1333" s="61">
        <v>621400000</v>
      </c>
      <c r="I1333" t="s">
        <v>13</v>
      </c>
      <c r="J1333" t="s">
        <v>149</v>
      </c>
      <c r="K1333" s="61">
        <f t="shared" si="60"/>
        <v>8484500000</v>
      </c>
      <c r="L1333" s="61">
        <f t="shared" si="61"/>
        <v>6277200000</v>
      </c>
      <c r="M1333" s="61">
        <f t="shared" si="62"/>
        <v>2207300000</v>
      </c>
    </row>
    <row r="1334" spans="1:13" x14ac:dyDescent="0.25">
      <c r="A1334" t="s">
        <v>464</v>
      </c>
      <c r="B1334" t="s">
        <v>9</v>
      </c>
      <c r="C1334">
        <v>41910</v>
      </c>
      <c r="D1334" s="61">
        <v>16447800000</v>
      </c>
      <c r="E1334" s="61">
        <v>6858800000</v>
      </c>
      <c r="F1334" s="61">
        <v>6086800000</v>
      </c>
      <c r="G1334" s="61">
        <v>0</v>
      </c>
      <c r="H1334" s="61">
        <v>709600000</v>
      </c>
      <c r="I1334" t="s">
        <v>13</v>
      </c>
      <c r="J1334" t="s">
        <v>149</v>
      </c>
      <c r="K1334" s="61">
        <f t="shared" si="60"/>
        <v>9589000000</v>
      </c>
      <c r="L1334" s="61">
        <f t="shared" si="61"/>
        <v>6796400000</v>
      </c>
      <c r="M1334" s="61">
        <f t="shared" si="62"/>
        <v>2792600000</v>
      </c>
    </row>
    <row r="1335" spans="1:13" x14ac:dyDescent="0.25">
      <c r="A1335" t="s">
        <v>464</v>
      </c>
      <c r="B1335" t="s">
        <v>10</v>
      </c>
      <c r="C1335">
        <v>42274</v>
      </c>
      <c r="D1335" s="61">
        <v>19162700000</v>
      </c>
      <c r="E1335" s="61">
        <v>7787500000</v>
      </c>
      <c r="F1335" s="61">
        <v>7130200000</v>
      </c>
      <c r="G1335" s="61">
        <v>0</v>
      </c>
      <c r="H1335" s="61">
        <v>893900000</v>
      </c>
      <c r="I1335" t="s">
        <v>13</v>
      </c>
      <c r="J1335" t="s">
        <v>149</v>
      </c>
      <c r="K1335" s="61">
        <f t="shared" si="60"/>
        <v>11375200000</v>
      </c>
      <c r="L1335" s="61">
        <f t="shared" si="61"/>
        <v>8024100000</v>
      </c>
      <c r="M1335" s="61">
        <f t="shared" si="62"/>
        <v>3351100000</v>
      </c>
    </row>
    <row r="1336" spans="1:13" x14ac:dyDescent="0.25">
      <c r="A1336" t="s">
        <v>464</v>
      </c>
      <c r="B1336" t="s">
        <v>11</v>
      </c>
      <c r="C1336">
        <v>42645</v>
      </c>
      <c r="D1336" s="61">
        <v>21315900000</v>
      </c>
      <c r="E1336" s="61">
        <v>8511100000</v>
      </c>
      <c r="F1336" s="61">
        <v>7970300000</v>
      </c>
      <c r="G1336" s="61">
        <v>0</v>
      </c>
      <c r="H1336" s="61">
        <v>980800000</v>
      </c>
      <c r="I1336" t="s">
        <v>13</v>
      </c>
      <c r="J1336" t="s">
        <v>149</v>
      </c>
      <c r="K1336" s="61">
        <f t="shared" si="60"/>
        <v>12804800000</v>
      </c>
      <c r="L1336" s="61">
        <f t="shared" si="61"/>
        <v>8951100000</v>
      </c>
      <c r="M1336" s="61">
        <f t="shared" si="62"/>
        <v>3853700000</v>
      </c>
    </row>
    <row r="1337" spans="1:13" x14ac:dyDescent="0.25">
      <c r="A1337" t="s">
        <v>465</v>
      </c>
      <c r="B1337" t="s">
        <v>6</v>
      </c>
      <c r="C1337">
        <v>41274</v>
      </c>
      <c r="D1337" s="61">
        <v>4176000000</v>
      </c>
      <c r="E1337" s="61">
        <v>2754000000</v>
      </c>
      <c r="F1337" s="61">
        <v>207000000</v>
      </c>
      <c r="G1337" s="61">
        <v>0</v>
      </c>
      <c r="H1337" s="61">
        <v>356000000</v>
      </c>
      <c r="I1337" t="s">
        <v>36</v>
      </c>
      <c r="J1337" t="s">
        <v>37</v>
      </c>
      <c r="K1337" s="61">
        <f t="shared" si="60"/>
        <v>1422000000</v>
      </c>
      <c r="L1337" s="61">
        <f t="shared" si="61"/>
        <v>563000000</v>
      </c>
      <c r="M1337" s="61">
        <f t="shared" si="62"/>
        <v>859000000</v>
      </c>
    </row>
    <row r="1338" spans="1:13" x14ac:dyDescent="0.25">
      <c r="A1338" t="s">
        <v>465</v>
      </c>
      <c r="B1338" t="s">
        <v>9</v>
      </c>
      <c r="C1338">
        <v>41639</v>
      </c>
      <c r="D1338" s="61">
        <v>4495000000</v>
      </c>
      <c r="E1338" s="61">
        <v>2987000000</v>
      </c>
      <c r="F1338" s="61">
        <v>220000000</v>
      </c>
      <c r="G1338" s="61">
        <v>0</v>
      </c>
      <c r="H1338" s="61">
        <v>378000000</v>
      </c>
      <c r="I1338" t="s">
        <v>36</v>
      </c>
      <c r="J1338" t="s">
        <v>37</v>
      </c>
      <c r="K1338" s="61">
        <f t="shared" si="60"/>
        <v>1508000000</v>
      </c>
      <c r="L1338" s="61">
        <f t="shared" si="61"/>
        <v>598000000</v>
      </c>
      <c r="M1338" s="61">
        <f t="shared" si="62"/>
        <v>910000000</v>
      </c>
    </row>
    <row r="1339" spans="1:13" x14ac:dyDescent="0.25">
      <c r="A1339" t="s">
        <v>465</v>
      </c>
      <c r="B1339" t="s">
        <v>10</v>
      </c>
      <c r="C1339">
        <v>42004</v>
      </c>
      <c r="D1339" s="61">
        <v>4951000000</v>
      </c>
      <c r="E1339" s="61">
        <v>3331000000</v>
      </c>
      <c r="F1339" s="61">
        <v>229000000</v>
      </c>
      <c r="G1339" s="61">
        <v>0</v>
      </c>
      <c r="H1339" s="61">
        <v>384000000</v>
      </c>
      <c r="I1339" t="s">
        <v>36</v>
      </c>
      <c r="J1339" t="s">
        <v>37</v>
      </c>
      <c r="K1339" s="61">
        <f t="shared" si="60"/>
        <v>1620000000</v>
      </c>
      <c r="L1339" s="61">
        <f t="shared" si="61"/>
        <v>613000000</v>
      </c>
      <c r="M1339" s="61">
        <f t="shared" si="62"/>
        <v>1007000000</v>
      </c>
    </row>
    <row r="1340" spans="1:13" x14ac:dyDescent="0.25">
      <c r="A1340" t="s">
        <v>465</v>
      </c>
      <c r="B1340" t="s">
        <v>11</v>
      </c>
      <c r="C1340">
        <v>42369</v>
      </c>
      <c r="D1340" s="61">
        <v>4380000000</v>
      </c>
      <c r="E1340" s="61">
        <v>2714000000</v>
      </c>
      <c r="F1340" s="61">
        <v>234000000</v>
      </c>
      <c r="G1340" s="61">
        <v>0</v>
      </c>
      <c r="H1340" s="61">
        <v>358000000</v>
      </c>
      <c r="I1340" t="s">
        <v>36</v>
      </c>
      <c r="J1340" t="s">
        <v>37</v>
      </c>
      <c r="K1340" s="61">
        <f t="shared" si="60"/>
        <v>1666000000</v>
      </c>
      <c r="L1340" s="61">
        <f t="shared" si="61"/>
        <v>592000000</v>
      </c>
      <c r="M1340" s="61">
        <f t="shared" si="62"/>
        <v>1074000000</v>
      </c>
    </row>
    <row r="1341" spans="1:13" x14ac:dyDescent="0.25">
      <c r="A1341" t="s">
        <v>466</v>
      </c>
      <c r="B1341" t="s">
        <v>6</v>
      </c>
      <c r="C1341">
        <v>41274</v>
      </c>
      <c r="D1341" s="61">
        <v>5075000000</v>
      </c>
      <c r="E1341" s="61">
        <v>2417000000</v>
      </c>
      <c r="F1341" s="61">
        <v>337000000</v>
      </c>
      <c r="G1341" s="61">
        <v>0</v>
      </c>
      <c r="H1341" s="61">
        <v>746000000</v>
      </c>
      <c r="I1341" t="s">
        <v>77</v>
      </c>
      <c r="J1341" t="s">
        <v>335</v>
      </c>
      <c r="K1341" s="61">
        <f t="shared" si="60"/>
        <v>2658000000</v>
      </c>
      <c r="L1341" s="61">
        <f t="shared" si="61"/>
        <v>1083000000</v>
      </c>
      <c r="M1341" s="61">
        <f t="shared" si="62"/>
        <v>1575000000</v>
      </c>
    </row>
    <row r="1342" spans="1:13" x14ac:dyDescent="0.25">
      <c r="A1342" t="s">
        <v>466</v>
      </c>
      <c r="B1342" t="s">
        <v>9</v>
      </c>
      <c r="C1342">
        <v>41639</v>
      </c>
      <c r="D1342" s="61">
        <v>5518000000</v>
      </c>
      <c r="E1342" s="61">
        <v>2707000000</v>
      </c>
      <c r="F1342" s="61">
        <v>373000000</v>
      </c>
      <c r="G1342" s="61">
        <v>0</v>
      </c>
      <c r="H1342" s="61">
        <v>772000000</v>
      </c>
      <c r="I1342" t="s">
        <v>77</v>
      </c>
      <c r="J1342" t="s">
        <v>335</v>
      </c>
      <c r="K1342" s="61">
        <f t="shared" si="60"/>
        <v>2811000000</v>
      </c>
      <c r="L1342" s="61">
        <f t="shared" si="61"/>
        <v>1145000000</v>
      </c>
      <c r="M1342" s="61">
        <f t="shared" si="62"/>
        <v>1666000000</v>
      </c>
    </row>
    <row r="1343" spans="1:13" x14ac:dyDescent="0.25">
      <c r="A1343" t="s">
        <v>466</v>
      </c>
      <c r="B1343" t="s">
        <v>10</v>
      </c>
      <c r="C1343">
        <v>42004</v>
      </c>
      <c r="D1343" s="61">
        <v>5903000000</v>
      </c>
      <c r="E1343" s="61">
        <v>2790000000</v>
      </c>
      <c r="F1343" s="61">
        <v>393000000</v>
      </c>
      <c r="G1343" s="61">
        <v>0</v>
      </c>
      <c r="H1343" s="61">
        <v>796000000</v>
      </c>
      <c r="I1343" t="s">
        <v>77</v>
      </c>
      <c r="J1343" t="s">
        <v>335</v>
      </c>
      <c r="K1343" s="61">
        <f t="shared" si="60"/>
        <v>3113000000</v>
      </c>
      <c r="L1343" s="61">
        <f t="shared" si="61"/>
        <v>1189000000</v>
      </c>
      <c r="M1343" s="61">
        <f t="shared" si="62"/>
        <v>1924000000</v>
      </c>
    </row>
    <row r="1344" spans="1:13" x14ac:dyDescent="0.25">
      <c r="A1344" t="s">
        <v>466</v>
      </c>
      <c r="B1344" t="s">
        <v>11</v>
      </c>
      <c r="C1344">
        <v>42369</v>
      </c>
      <c r="D1344" s="61">
        <v>5234000000</v>
      </c>
      <c r="E1344" s="61">
        <v>2335000000</v>
      </c>
      <c r="F1344" s="61">
        <v>353000000</v>
      </c>
      <c r="G1344" s="61">
        <v>0</v>
      </c>
      <c r="H1344" s="61">
        <v>764000000</v>
      </c>
      <c r="I1344" t="s">
        <v>77</v>
      </c>
      <c r="J1344" t="s">
        <v>335</v>
      </c>
      <c r="K1344" s="61">
        <f t="shared" si="60"/>
        <v>2899000000</v>
      </c>
      <c r="L1344" s="61">
        <f t="shared" si="61"/>
        <v>1117000000</v>
      </c>
      <c r="M1344" s="61">
        <f t="shared" si="62"/>
        <v>1782000000</v>
      </c>
    </row>
    <row r="1345" spans="1:13" x14ac:dyDescent="0.25">
      <c r="A1345" t="s">
        <v>467</v>
      </c>
      <c r="B1345" t="s">
        <v>6</v>
      </c>
      <c r="C1345">
        <v>41639</v>
      </c>
      <c r="D1345" s="61">
        <v>7690800000</v>
      </c>
      <c r="E1345" s="61">
        <v>5100900000</v>
      </c>
      <c r="F1345" s="61">
        <v>1788300000</v>
      </c>
      <c r="G1345" s="61">
        <v>0</v>
      </c>
      <c r="H1345" s="61">
        <v>123200000</v>
      </c>
      <c r="I1345" t="s">
        <v>53</v>
      </c>
      <c r="J1345" t="s">
        <v>90</v>
      </c>
      <c r="K1345" s="61">
        <f t="shared" si="60"/>
        <v>2589900000</v>
      </c>
      <c r="L1345" s="61">
        <f t="shared" si="61"/>
        <v>1911500000</v>
      </c>
      <c r="M1345" s="61">
        <f t="shared" si="62"/>
        <v>678400000</v>
      </c>
    </row>
    <row r="1346" spans="1:13" x14ac:dyDescent="0.25">
      <c r="A1346" t="s">
        <v>467</v>
      </c>
      <c r="B1346" t="s">
        <v>9</v>
      </c>
      <c r="C1346">
        <v>42004</v>
      </c>
      <c r="D1346" s="61">
        <v>7750500000</v>
      </c>
      <c r="E1346" s="61">
        <v>5062900000</v>
      </c>
      <c r="F1346" s="61">
        <v>1849400000</v>
      </c>
      <c r="G1346" s="61">
        <v>0</v>
      </c>
      <c r="H1346" s="61">
        <v>118900000</v>
      </c>
      <c r="I1346" t="s">
        <v>53</v>
      </c>
      <c r="J1346" t="s">
        <v>90</v>
      </c>
      <c r="K1346" s="61">
        <f t="shared" ref="K1346:K1409" si="63">D1346-E1346</f>
        <v>2687600000</v>
      </c>
      <c r="L1346" s="61">
        <f t="shared" ref="L1346:L1409" si="64">F1346+G1346+H1346</f>
        <v>1968300000</v>
      </c>
      <c r="M1346" s="61">
        <f t="shared" si="62"/>
        <v>719300000</v>
      </c>
    </row>
    <row r="1347" spans="1:13" x14ac:dyDescent="0.25">
      <c r="A1347" t="s">
        <v>467</v>
      </c>
      <c r="B1347" t="s">
        <v>10</v>
      </c>
      <c r="C1347">
        <v>42369</v>
      </c>
      <c r="D1347" s="61">
        <v>7031500000</v>
      </c>
      <c r="E1347" s="61">
        <v>4444900000</v>
      </c>
      <c r="F1347" s="61">
        <v>1656200000</v>
      </c>
      <c r="G1347" s="61">
        <v>0</v>
      </c>
      <c r="H1347" s="61">
        <v>88700000</v>
      </c>
      <c r="I1347" t="s">
        <v>53</v>
      </c>
      <c r="J1347" t="s">
        <v>90</v>
      </c>
      <c r="K1347" s="61">
        <f t="shared" si="63"/>
        <v>2586600000</v>
      </c>
      <c r="L1347" s="61">
        <f t="shared" si="64"/>
        <v>1744900000</v>
      </c>
      <c r="M1347" s="61">
        <f t="shared" ref="M1347:M1410" si="65">K1347-L1347</f>
        <v>841700000</v>
      </c>
    </row>
    <row r="1348" spans="1:13" x14ac:dyDescent="0.25">
      <c r="A1348" t="s">
        <v>467</v>
      </c>
      <c r="B1348" t="s">
        <v>11</v>
      </c>
      <c r="C1348">
        <v>42735</v>
      </c>
      <c r="D1348" s="61">
        <v>6778300000</v>
      </c>
      <c r="E1348" s="61">
        <v>4246700000</v>
      </c>
      <c r="F1348" s="61">
        <v>1604400000</v>
      </c>
      <c r="G1348" s="61">
        <v>0</v>
      </c>
      <c r="H1348" s="61">
        <v>94900000</v>
      </c>
      <c r="I1348" t="s">
        <v>53</v>
      </c>
      <c r="J1348" t="s">
        <v>90</v>
      </c>
      <c r="K1348" s="61">
        <f t="shared" si="63"/>
        <v>2531600000</v>
      </c>
      <c r="L1348" s="61">
        <f t="shared" si="64"/>
        <v>1699300000</v>
      </c>
      <c r="M1348" s="61">
        <f t="shared" si="65"/>
        <v>832300000</v>
      </c>
    </row>
    <row r="1349" spans="1:13" x14ac:dyDescent="0.25">
      <c r="A1349" t="s">
        <v>468</v>
      </c>
      <c r="B1349" t="s">
        <v>6</v>
      </c>
      <c r="C1349">
        <v>41274</v>
      </c>
      <c r="D1349" s="61">
        <v>9534462000</v>
      </c>
      <c r="E1349" s="61">
        <v>5328236000</v>
      </c>
      <c r="F1349" s="61">
        <v>3264896000</v>
      </c>
      <c r="G1349" s="61">
        <v>0</v>
      </c>
      <c r="H1349" s="61">
        <v>0</v>
      </c>
      <c r="I1349" t="s">
        <v>53</v>
      </c>
      <c r="J1349" t="s">
        <v>54</v>
      </c>
      <c r="K1349" s="61">
        <f t="shared" si="63"/>
        <v>4206226000</v>
      </c>
      <c r="L1349" s="61">
        <f t="shared" si="64"/>
        <v>3264896000</v>
      </c>
      <c r="M1349" s="61">
        <f t="shared" si="65"/>
        <v>941330000</v>
      </c>
    </row>
    <row r="1350" spans="1:13" x14ac:dyDescent="0.25">
      <c r="A1350" t="s">
        <v>468</v>
      </c>
      <c r="B1350" t="s">
        <v>9</v>
      </c>
      <c r="C1350">
        <v>41639</v>
      </c>
      <c r="D1350" s="61">
        <v>10185532000</v>
      </c>
      <c r="E1350" s="61">
        <v>5568966000</v>
      </c>
      <c r="F1350" s="61">
        <v>3470200000</v>
      </c>
      <c r="G1350" s="61">
        <v>0</v>
      </c>
      <c r="H1350" s="61">
        <v>0</v>
      </c>
      <c r="I1350" t="s">
        <v>53</v>
      </c>
      <c r="J1350" t="s">
        <v>54</v>
      </c>
      <c r="K1350" s="61">
        <f t="shared" si="63"/>
        <v>4616566000</v>
      </c>
      <c r="L1350" s="61">
        <f t="shared" si="64"/>
        <v>3470200000</v>
      </c>
      <c r="M1350" s="61">
        <f t="shared" si="65"/>
        <v>1146366000</v>
      </c>
    </row>
    <row r="1351" spans="1:13" x14ac:dyDescent="0.25">
      <c r="A1351" t="s">
        <v>468</v>
      </c>
      <c r="B1351" t="s">
        <v>10</v>
      </c>
      <c r="C1351">
        <v>42004</v>
      </c>
      <c r="D1351" s="61">
        <v>11129533000</v>
      </c>
      <c r="E1351" s="61">
        <v>5965049000</v>
      </c>
      <c r="F1351" s="61">
        <v>3860448000</v>
      </c>
      <c r="G1351" s="61">
        <v>0</v>
      </c>
      <c r="H1351" s="61">
        <v>0</v>
      </c>
      <c r="I1351" t="s">
        <v>53</v>
      </c>
      <c r="J1351" t="s">
        <v>54</v>
      </c>
      <c r="K1351" s="61">
        <f t="shared" si="63"/>
        <v>5164484000</v>
      </c>
      <c r="L1351" s="61">
        <f t="shared" si="64"/>
        <v>3860448000</v>
      </c>
      <c r="M1351" s="61">
        <f t="shared" si="65"/>
        <v>1304036000</v>
      </c>
    </row>
    <row r="1352" spans="1:13" x14ac:dyDescent="0.25">
      <c r="A1352" t="s">
        <v>468</v>
      </c>
      <c r="B1352" t="s">
        <v>11</v>
      </c>
      <c r="C1352">
        <v>42369</v>
      </c>
      <c r="D1352" s="61">
        <v>11339304000</v>
      </c>
      <c r="E1352" s="61">
        <v>5780078000</v>
      </c>
      <c r="F1352" s="61">
        <v>3943786000</v>
      </c>
      <c r="G1352" s="61">
        <v>0</v>
      </c>
      <c r="H1352" s="61">
        <v>0</v>
      </c>
      <c r="I1352" t="s">
        <v>53</v>
      </c>
      <c r="J1352" t="s">
        <v>54</v>
      </c>
      <c r="K1352" s="61">
        <f t="shared" si="63"/>
        <v>5559226000</v>
      </c>
      <c r="L1352" s="61">
        <f t="shared" si="64"/>
        <v>3943786000</v>
      </c>
      <c r="M1352" s="61">
        <f t="shared" si="65"/>
        <v>1615440000</v>
      </c>
    </row>
    <row r="1353" spans="1:13" x14ac:dyDescent="0.25">
      <c r="A1353" t="s">
        <v>469</v>
      </c>
      <c r="B1353" t="s">
        <v>6</v>
      </c>
      <c r="C1353">
        <v>41307</v>
      </c>
      <c r="D1353" s="61">
        <v>3983400000</v>
      </c>
      <c r="E1353" s="61">
        <v>2446000000</v>
      </c>
      <c r="F1353" s="61">
        <v>976900000</v>
      </c>
      <c r="G1353" s="61">
        <v>0</v>
      </c>
      <c r="H1353" s="61">
        <v>0</v>
      </c>
      <c r="I1353" t="s">
        <v>13</v>
      </c>
      <c r="J1353" t="s">
        <v>73</v>
      </c>
      <c r="K1353" s="61">
        <f t="shared" si="63"/>
        <v>1537400000</v>
      </c>
      <c r="L1353" s="61">
        <f t="shared" si="64"/>
        <v>976900000</v>
      </c>
      <c r="M1353" s="61">
        <f t="shared" si="65"/>
        <v>560500000</v>
      </c>
    </row>
    <row r="1354" spans="1:13" x14ac:dyDescent="0.25">
      <c r="A1354" t="s">
        <v>469</v>
      </c>
      <c r="B1354" t="s">
        <v>9</v>
      </c>
      <c r="C1354">
        <v>41671</v>
      </c>
      <c r="D1354" s="61">
        <v>4209200000</v>
      </c>
      <c r="E1354" s="61">
        <v>2628700000</v>
      </c>
      <c r="F1354" s="61">
        <v>1010000000</v>
      </c>
      <c r="G1354" s="61">
        <v>0</v>
      </c>
      <c r="H1354" s="61">
        <v>0</v>
      </c>
      <c r="I1354" t="s">
        <v>13</v>
      </c>
      <c r="J1354" t="s">
        <v>73</v>
      </c>
      <c r="K1354" s="61">
        <f t="shared" si="63"/>
        <v>1580500000</v>
      </c>
      <c r="L1354" s="61">
        <f t="shared" si="64"/>
        <v>1010000000</v>
      </c>
      <c r="M1354" s="61">
        <f t="shared" si="65"/>
        <v>570500000</v>
      </c>
    </row>
    <row r="1355" spans="1:13" x14ac:dyDescent="0.25">
      <c r="A1355" t="s">
        <v>469</v>
      </c>
      <c r="B1355" t="s">
        <v>10</v>
      </c>
      <c r="C1355">
        <v>42037</v>
      </c>
      <c r="D1355" s="61">
        <v>5736300000</v>
      </c>
      <c r="E1355" s="61">
        <v>3662100000</v>
      </c>
      <c r="F1355" s="61">
        <v>1497600000</v>
      </c>
      <c r="G1355" s="61">
        <v>0</v>
      </c>
      <c r="H1355" s="61">
        <v>0</v>
      </c>
      <c r="I1355" t="s">
        <v>13</v>
      </c>
      <c r="J1355" t="s">
        <v>73</v>
      </c>
      <c r="K1355" s="61">
        <f t="shared" si="63"/>
        <v>2074200000</v>
      </c>
      <c r="L1355" s="61">
        <f t="shared" si="64"/>
        <v>1497600000</v>
      </c>
      <c r="M1355" s="61">
        <f t="shared" si="65"/>
        <v>576600000</v>
      </c>
    </row>
    <row r="1356" spans="1:13" x14ac:dyDescent="0.25">
      <c r="A1356" t="s">
        <v>469</v>
      </c>
      <c r="B1356" t="s">
        <v>11</v>
      </c>
      <c r="C1356">
        <v>42399</v>
      </c>
      <c r="D1356" s="61">
        <v>6550200000</v>
      </c>
      <c r="E1356" s="61">
        <v>4109800000</v>
      </c>
      <c r="F1356" s="61">
        <v>1736700000</v>
      </c>
      <c r="G1356" s="61">
        <v>0</v>
      </c>
      <c r="H1356" s="61">
        <v>0</v>
      </c>
      <c r="I1356" t="s">
        <v>13</v>
      </c>
      <c r="J1356" t="s">
        <v>73</v>
      </c>
      <c r="K1356" s="61">
        <f t="shared" si="63"/>
        <v>2440400000</v>
      </c>
      <c r="L1356" s="61">
        <f t="shared" si="64"/>
        <v>1736700000</v>
      </c>
      <c r="M1356" s="61">
        <f t="shared" si="65"/>
        <v>703700000</v>
      </c>
    </row>
    <row r="1357" spans="1:13" x14ac:dyDescent="0.25">
      <c r="A1357" t="s">
        <v>470</v>
      </c>
      <c r="B1357" t="s">
        <v>6</v>
      </c>
      <c r="C1357">
        <v>41394</v>
      </c>
      <c r="D1357" s="61">
        <v>5897700000</v>
      </c>
      <c r="E1357" s="61">
        <v>3870100000</v>
      </c>
      <c r="F1357" s="61">
        <v>1020400000</v>
      </c>
      <c r="G1357" s="61">
        <v>0</v>
      </c>
      <c r="H1357" s="61">
        <v>96800000</v>
      </c>
      <c r="I1357" t="s">
        <v>30</v>
      </c>
      <c r="J1357" t="s">
        <v>118</v>
      </c>
      <c r="K1357" s="61">
        <f t="shared" si="63"/>
        <v>2027600000</v>
      </c>
      <c r="L1357" s="61">
        <f t="shared" si="64"/>
        <v>1117200000</v>
      </c>
      <c r="M1357" s="61">
        <f t="shared" si="65"/>
        <v>910400000</v>
      </c>
    </row>
    <row r="1358" spans="1:13" x14ac:dyDescent="0.25">
      <c r="A1358" t="s">
        <v>470</v>
      </c>
      <c r="B1358" t="s">
        <v>9</v>
      </c>
      <c r="C1358">
        <v>41759</v>
      </c>
      <c r="D1358" s="61">
        <v>5610600000</v>
      </c>
      <c r="E1358" s="61">
        <v>3579600000</v>
      </c>
      <c r="F1358" s="61">
        <v>1013100000</v>
      </c>
      <c r="G1358" s="61">
        <v>0</v>
      </c>
      <c r="H1358" s="61">
        <v>98900000</v>
      </c>
      <c r="I1358" t="s">
        <v>30</v>
      </c>
      <c r="J1358" t="s">
        <v>118</v>
      </c>
      <c r="K1358" s="61">
        <f t="shared" si="63"/>
        <v>2031000000</v>
      </c>
      <c r="L1358" s="61">
        <f t="shared" si="64"/>
        <v>1112000000</v>
      </c>
      <c r="M1358" s="61">
        <f t="shared" si="65"/>
        <v>919000000</v>
      </c>
    </row>
    <row r="1359" spans="1:13" x14ac:dyDescent="0.25">
      <c r="A1359" t="s">
        <v>470</v>
      </c>
      <c r="B1359" t="s">
        <v>10</v>
      </c>
      <c r="C1359">
        <v>42124</v>
      </c>
      <c r="D1359" s="61">
        <v>5692700000</v>
      </c>
      <c r="E1359" s="61">
        <v>3724000000</v>
      </c>
      <c r="F1359" s="61">
        <v>1085800000</v>
      </c>
      <c r="G1359" s="61">
        <v>0</v>
      </c>
      <c r="H1359" s="61">
        <v>110900000</v>
      </c>
      <c r="I1359" t="s">
        <v>30</v>
      </c>
      <c r="J1359" t="s">
        <v>118</v>
      </c>
      <c r="K1359" s="61">
        <f t="shared" si="63"/>
        <v>1968700000</v>
      </c>
      <c r="L1359" s="61">
        <f t="shared" si="64"/>
        <v>1196700000</v>
      </c>
      <c r="M1359" s="61">
        <f t="shared" si="65"/>
        <v>772000000</v>
      </c>
    </row>
    <row r="1360" spans="1:13" x14ac:dyDescent="0.25">
      <c r="A1360" t="s">
        <v>470</v>
      </c>
      <c r="B1360" t="s">
        <v>11</v>
      </c>
      <c r="C1360">
        <v>42490</v>
      </c>
      <c r="D1360" s="61">
        <v>7811200000</v>
      </c>
      <c r="E1360" s="61">
        <v>4843400000</v>
      </c>
      <c r="F1360" s="61">
        <v>1614100000</v>
      </c>
      <c r="G1360" s="61">
        <v>0</v>
      </c>
      <c r="H1360" s="61">
        <v>208400000</v>
      </c>
      <c r="I1360" t="s">
        <v>30</v>
      </c>
      <c r="J1360" t="s">
        <v>118</v>
      </c>
      <c r="K1360" s="61">
        <f t="shared" si="63"/>
        <v>2967800000</v>
      </c>
      <c r="L1360" s="61">
        <f t="shared" si="64"/>
        <v>1822500000</v>
      </c>
      <c r="M1360" s="61">
        <f t="shared" si="65"/>
        <v>1145300000</v>
      </c>
    </row>
    <row r="1361" spans="1:13" x14ac:dyDescent="0.25">
      <c r="A1361" t="s">
        <v>471</v>
      </c>
      <c r="B1361" t="s">
        <v>6</v>
      </c>
      <c r="C1361">
        <v>41274</v>
      </c>
      <c r="D1361" s="61">
        <v>1290052000</v>
      </c>
      <c r="E1361" s="61">
        <v>470243000</v>
      </c>
      <c r="F1361" s="61">
        <v>120310000</v>
      </c>
      <c r="G1361" s="61">
        <v>0</v>
      </c>
      <c r="H1361" s="61">
        <v>330418000</v>
      </c>
      <c r="I1361" t="s">
        <v>46</v>
      </c>
      <c r="J1361" t="s">
        <v>472</v>
      </c>
      <c r="K1361" s="61">
        <f t="shared" si="63"/>
        <v>819809000</v>
      </c>
      <c r="L1361" s="61">
        <f t="shared" si="64"/>
        <v>450728000</v>
      </c>
      <c r="M1361" s="61">
        <f t="shared" si="65"/>
        <v>369081000</v>
      </c>
    </row>
    <row r="1362" spans="1:13" x14ac:dyDescent="0.25">
      <c r="A1362" t="s">
        <v>471</v>
      </c>
      <c r="B1362" t="s">
        <v>9</v>
      </c>
      <c r="C1362">
        <v>41639</v>
      </c>
      <c r="D1362" s="61">
        <v>1371065000</v>
      </c>
      <c r="E1362" s="61">
        <v>479665000</v>
      </c>
      <c r="F1362" s="61">
        <v>122128000</v>
      </c>
      <c r="G1362" s="61">
        <v>0</v>
      </c>
      <c r="H1362" s="61">
        <v>340316000</v>
      </c>
      <c r="I1362" t="s">
        <v>46</v>
      </c>
      <c r="J1362" t="s">
        <v>472</v>
      </c>
      <c r="K1362" s="61">
        <f t="shared" si="63"/>
        <v>891400000</v>
      </c>
      <c r="L1362" s="61">
        <f t="shared" si="64"/>
        <v>462444000</v>
      </c>
      <c r="M1362" s="61">
        <f t="shared" si="65"/>
        <v>428956000</v>
      </c>
    </row>
    <row r="1363" spans="1:13" x14ac:dyDescent="0.25">
      <c r="A1363" t="s">
        <v>471</v>
      </c>
      <c r="B1363" t="s">
        <v>10</v>
      </c>
      <c r="C1363">
        <v>42004</v>
      </c>
      <c r="D1363" s="61">
        <v>1519978000</v>
      </c>
      <c r="E1363" s="61">
        <v>500126000</v>
      </c>
      <c r="F1363" s="61">
        <v>133502000</v>
      </c>
      <c r="G1363" s="61">
        <v>0</v>
      </c>
      <c r="H1363" s="61">
        <v>393987000</v>
      </c>
      <c r="I1363" t="s">
        <v>46</v>
      </c>
      <c r="J1363" t="s">
        <v>472</v>
      </c>
      <c r="K1363" s="61">
        <f t="shared" si="63"/>
        <v>1019852000</v>
      </c>
      <c r="L1363" s="61">
        <f t="shared" si="64"/>
        <v>527489000</v>
      </c>
      <c r="M1363" s="61">
        <f t="shared" si="65"/>
        <v>492363000</v>
      </c>
    </row>
    <row r="1364" spans="1:13" x14ac:dyDescent="0.25">
      <c r="A1364" t="s">
        <v>471</v>
      </c>
      <c r="B1364" t="s">
        <v>11</v>
      </c>
      <c r="C1364">
        <v>42369</v>
      </c>
      <c r="D1364" s="61">
        <v>1662829000</v>
      </c>
      <c r="E1364" s="61">
        <v>534326000</v>
      </c>
      <c r="F1364" s="61">
        <v>139137000</v>
      </c>
      <c r="G1364" s="61">
        <v>0</v>
      </c>
      <c r="H1364" s="61">
        <v>588235000</v>
      </c>
      <c r="I1364" t="s">
        <v>46</v>
      </c>
      <c r="J1364" t="s">
        <v>472</v>
      </c>
      <c r="K1364" s="61">
        <f t="shared" si="63"/>
        <v>1128503000</v>
      </c>
      <c r="L1364" s="61">
        <f t="shared" si="64"/>
        <v>727372000</v>
      </c>
      <c r="M1364" s="61">
        <f t="shared" si="65"/>
        <v>401131000</v>
      </c>
    </row>
    <row r="1365" spans="1:13" x14ac:dyDescent="0.25">
      <c r="A1365" t="s">
        <v>473</v>
      </c>
      <c r="B1365" t="s">
        <v>6</v>
      </c>
      <c r="C1365">
        <v>41639</v>
      </c>
      <c r="D1365" s="61">
        <v>3237500000</v>
      </c>
      <c r="E1365" s="61">
        <v>1638900000</v>
      </c>
      <c r="F1365" s="61">
        <v>1012400000</v>
      </c>
      <c r="G1365" s="61">
        <v>0</v>
      </c>
      <c r="H1365" s="61">
        <v>0</v>
      </c>
      <c r="I1365" t="s">
        <v>13</v>
      </c>
      <c r="J1365" t="s">
        <v>474</v>
      </c>
      <c r="K1365" s="61">
        <f t="shared" si="63"/>
        <v>1598600000</v>
      </c>
      <c r="L1365" s="61">
        <f t="shared" si="64"/>
        <v>1012400000</v>
      </c>
      <c r="M1365" s="61">
        <f t="shared" si="65"/>
        <v>586200000</v>
      </c>
    </row>
    <row r="1366" spans="1:13" x14ac:dyDescent="0.25">
      <c r="A1366" t="s">
        <v>473</v>
      </c>
      <c r="B1366" t="s">
        <v>9</v>
      </c>
      <c r="C1366">
        <v>42007</v>
      </c>
      <c r="D1366" s="61">
        <v>3492600000</v>
      </c>
      <c r="E1366" s="61">
        <v>1759200000</v>
      </c>
      <c r="F1366" s="61">
        <v>1048700000</v>
      </c>
      <c r="G1366" s="61">
        <v>0</v>
      </c>
      <c r="H1366" s="61">
        <v>0</v>
      </c>
      <c r="I1366" t="s">
        <v>13</v>
      </c>
      <c r="J1366" t="s">
        <v>474</v>
      </c>
      <c r="K1366" s="61">
        <f t="shared" si="63"/>
        <v>1733400000</v>
      </c>
      <c r="L1366" s="61">
        <f t="shared" si="64"/>
        <v>1048700000</v>
      </c>
      <c r="M1366" s="61">
        <f t="shared" si="65"/>
        <v>684700000</v>
      </c>
    </row>
    <row r="1367" spans="1:13" x14ac:dyDescent="0.25">
      <c r="A1367" t="s">
        <v>473</v>
      </c>
      <c r="B1367" t="s">
        <v>10</v>
      </c>
      <c r="C1367">
        <v>42371</v>
      </c>
      <c r="D1367" s="61">
        <v>3593100000</v>
      </c>
      <c r="E1367" s="61">
        <v>1774600000</v>
      </c>
      <c r="F1367" s="61">
        <v>1053700000</v>
      </c>
      <c r="G1367" s="61">
        <v>0</v>
      </c>
      <c r="H1367" s="61">
        <v>0</v>
      </c>
      <c r="I1367" t="s">
        <v>13</v>
      </c>
      <c r="J1367" t="s">
        <v>474</v>
      </c>
      <c r="K1367" s="61">
        <f t="shared" si="63"/>
        <v>1818500000</v>
      </c>
      <c r="L1367" s="61">
        <f t="shared" si="64"/>
        <v>1053700000</v>
      </c>
      <c r="M1367" s="61">
        <f t="shared" si="65"/>
        <v>764800000</v>
      </c>
    </row>
    <row r="1368" spans="1:13" x14ac:dyDescent="0.25">
      <c r="A1368" t="s">
        <v>473</v>
      </c>
      <c r="B1368" t="s">
        <v>11</v>
      </c>
      <c r="C1368">
        <v>42735</v>
      </c>
      <c r="D1368" s="61">
        <v>3711800000</v>
      </c>
      <c r="E1368" s="61">
        <v>1803500000</v>
      </c>
      <c r="F1368" s="61">
        <v>1054100000</v>
      </c>
      <c r="G1368" s="61">
        <v>0</v>
      </c>
      <c r="H1368" s="61">
        <v>0</v>
      </c>
      <c r="I1368" t="s">
        <v>13</v>
      </c>
      <c r="J1368" t="s">
        <v>474</v>
      </c>
      <c r="K1368" s="61">
        <f t="shared" si="63"/>
        <v>1908300000</v>
      </c>
      <c r="L1368" s="61">
        <f t="shared" si="64"/>
        <v>1054100000</v>
      </c>
      <c r="M1368" s="61">
        <f t="shared" si="65"/>
        <v>854200000</v>
      </c>
    </row>
    <row r="1369" spans="1:13" x14ac:dyDescent="0.25">
      <c r="A1369" t="s">
        <v>475</v>
      </c>
      <c r="B1369" t="s">
        <v>6</v>
      </c>
      <c r="C1369">
        <v>41274</v>
      </c>
      <c r="D1369" s="61">
        <v>2307182000</v>
      </c>
      <c r="E1369" s="61">
        <v>610836000</v>
      </c>
      <c r="F1369" s="61">
        <v>655473000</v>
      </c>
      <c r="G1369" s="61">
        <v>0</v>
      </c>
      <c r="H1369" s="61">
        <v>107591000</v>
      </c>
      <c r="I1369" t="s">
        <v>13</v>
      </c>
      <c r="J1369" t="s">
        <v>198</v>
      </c>
      <c r="K1369" s="61">
        <f t="shared" si="63"/>
        <v>1696346000</v>
      </c>
      <c r="L1369" s="61">
        <f t="shared" si="64"/>
        <v>763064000</v>
      </c>
      <c r="M1369" s="61">
        <f t="shared" si="65"/>
        <v>933282000</v>
      </c>
    </row>
    <row r="1370" spans="1:13" x14ac:dyDescent="0.25">
      <c r="A1370" t="s">
        <v>475</v>
      </c>
      <c r="B1370" t="s">
        <v>9</v>
      </c>
      <c r="C1370">
        <v>41639</v>
      </c>
      <c r="D1370" s="61">
        <v>2530809000</v>
      </c>
      <c r="E1370" s="61">
        <v>699294000</v>
      </c>
      <c r="F1370" s="61">
        <v>729055000</v>
      </c>
      <c r="G1370" s="61">
        <v>0</v>
      </c>
      <c r="H1370" s="61">
        <v>117580000</v>
      </c>
      <c r="I1370" t="s">
        <v>13</v>
      </c>
      <c r="J1370" t="s">
        <v>198</v>
      </c>
      <c r="K1370" s="61">
        <f t="shared" si="63"/>
        <v>1831515000</v>
      </c>
      <c r="L1370" s="61">
        <f t="shared" si="64"/>
        <v>846635000</v>
      </c>
      <c r="M1370" s="61">
        <f t="shared" si="65"/>
        <v>984880000</v>
      </c>
    </row>
    <row r="1371" spans="1:13" x14ac:dyDescent="0.25">
      <c r="A1371" t="s">
        <v>475</v>
      </c>
      <c r="B1371" t="s">
        <v>10</v>
      </c>
      <c r="C1371">
        <v>42004</v>
      </c>
      <c r="D1371" s="61">
        <v>2665456000</v>
      </c>
      <c r="E1371" s="61">
        <v>778896000</v>
      </c>
      <c r="F1371" s="61">
        <v>764799000</v>
      </c>
      <c r="G1371" s="61">
        <v>0</v>
      </c>
      <c r="H1371" s="61">
        <v>128582000</v>
      </c>
      <c r="I1371" t="s">
        <v>13</v>
      </c>
      <c r="J1371" t="s">
        <v>198</v>
      </c>
      <c r="K1371" s="61">
        <f t="shared" si="63"/>
        <v>1886560000</v>
      </c>
      <c r="L1371" s="61">
        <f t="shared" si="64"/>
        <v>893381000</v>
      </c>
      <c r="M1371" s="61">
        <f t="shared" si="65"/>
        <v>993179000</v>
      </c>
    </row>
    <row r="1372" spans="1:13" x14ac:dyDescent="0.25">
      <c r="A1372" t="s">
        <v>475</v>
      </c>
      <c r="B1372" t="s">
        <v>11</v>
      </c>
      <c r="C1372">
        <v>42369</v>
      </c>
      <c r="D1372" s="61">
        <v>3018227000</v>
      </c>
      <c r="E1372" s="61">
        <v>987357000</v>
      </c>
      <c r="F1372" s="61">
        <v>785179000</v>
      </c>
      <c r="G1372" s="61">
        <v>0</v>
      </c>
      <c r="H1372" s="61">
        <v>137596000</v>
      </c>
      <c r="I1372" t="s">
        <v>13</v>
      </c>
      <c r="J1372" t="s">
        <v>198</v>
      </c>
      <c r="K1372" s="61">
        <f t="shared" si="63"/>
        <v>2030870000</v>
      </c>
      <c r="L1372" s="61">
        <f t="shared" si="64"/>
        <v>922775000</v>
      </c>
      <c r="M1372" s="61">
        <f t="shared" si="65"/>
        <v>1108095000</v>
      </c>
    </row>
    <row r="1373" spans="1:13" x14ac:dyDescent="0.25">
      <c r="A1373" t="s">
        <v>476</v>
      </c>
      <c r="B1373" t="s">
        <v>6</v>
      </c>
      <c r="C1373">
        <v>41274</v>
      </c>
      <c r="D1373" s="61">
        <v>16537000000</v>
      </c>
      <c r="E1373" s="61">
        <v>9373000000</v>
      </c>
      <c r="F1373" s="61">
        <v>914000000</v>
      </c>
      <c r="G1373" s="61">
        <v>0</v>
      </c>
      <c r="H1373" s="61">
        <v>1787000000</v>
      </c>
      <c r="I1373" t="s">
        <v>36</v>
      </c>
      <c r="J1373" t="s">
        <v>39</v>
      </c>
      <c r="K1373" s="61">
        <f t="shared" si="63"/>
        <v>7164000000</v>
      </c>
      <c r="L1373" s="61">
        <f t="shared" si="64"/>
        <v>2701000000</v>
      </c>
      <c r="M1373" s="61">
        <f t="shared" si="65"/>
        <v>4463000000</v>
      </c>
    </row>
    <row r="1374" spans="1:13" x14ac:dyDescent="0.25">
      <c r="A1374" t="s">
        <v>476</v>
      </c>
      <c r="B1374" t="s">
        <v>9</v>
      </c>
      <c r="C1374">
        <v>41639</v>
      </c>
      <c r="D1374" s="61">
        <v>17087000000</v>
      </c>
      <c r="E1374" s="61">
        <v>9817000000</v>
      </c>
      <c r="F1374" s="61">
        <v>934000000</v>
      </c>
      <c r="G1374" s="61">
        <v>0</v>
      </c>
      <c r="H1374" s="61">
        <v>1901000000</v>
      </c>
      <c r="I1374" t="s">
        <v>36</v>
      </c>
      <c r="J1374" t="s">
        <v>39</v>
      </c>
      <c r="K1374" s="61">
        <f t="shared" si="63"/>
        <v>7270000000</v>
      </c>
      <c r="L1374" s="61">
        <f t="shared" si="64"/>
        <v>2835000000</v>
      </c>
      <c r="M1374" s="61">
        <f t="shared" si="65"/>
        <v>4435000000</v>
      </c>
    </row>
    <row r="1375" spans="1:13" x14ac:dyDescent="0.25">
      <c r="A1375" t="s">
        <v>476</v>
      </c>
      <c r="B1375" t="s">
        <v>10</v>
      </c>
      <c r="C1375">
        <v>42004</v>
      </c>
      <c r="D1375" s="61">
        <v>18467000000</v>
      </c>
      <c r="E1375" s="61">
        <v>11031000000</v>
      </c>
      <c r="F1375" s="61">
        <v>981000000</v>
      </c>
      <c r="G1375" s="61">
        <v>0</v>
      </c>
      <c r="H1375" s="61">
        <v>1945000000</v>
      </c>
      <c r="I1375" t="s">
        <v>36</v>
      </c>
      <c r="J1375" t="s">
        <v>39</v>
      </c>
      <c r="K1375" s="61">
        <f t="shared" si="63"/>
        <v>7436000000</v>
      </c>
      <c r="L1375" s="61">
        <f t="shared" si="64"/>
        <v>2926000000</v>
      </c>
      <c r="M1375" s="61">
        <f t="shared" si="65"/>
        <v>4510000000</v>
      </c>
    </row>
    <row r="1376" spans="1:13" x14ac:dyDescent="0.25">
      <c r="A1376" t="s">
        <v>476</v>
      </c>
      <c r="B1376" t="s">
        <v>11</v>
      </c>
      <c r="C1376">
        <v>42369</v>
      </c>
      <c r="D1376" s="61">
        <v>17489000000</v>
      </c>
      <c r="E1376" s="61">
        <v>9811000000</v>
      </c>
      <c r="F1376" s="61">
        <v>997000000</v>
      </c>
      <c r="G1376" s="61">
        <v>0</v>
      </c>
      <c r="H1376" s="61">
        <v>2034000000</v>
      </c>
      <c r="I1376" t="s">
        <v>36</v>
      </c>
      <c r="J1376" t="s">
        <v>39</v>
      </c>
      <c r="K1376" s="61">
        <f t="shared" si="63"/>
        <v>7678000000</v>
      </c>
      <c r="L1376" s="61">
        <f t="shared" si="64"/>
        <v>3031000000</v>
      </c>
      <c r="M1376" s="61">
        <f t="shared" si="65"/>
        <v>4647000000</v>
      </c>
    </row>
    <row r="1377" spans="1:13" x14ac:dyDescent="0.25">
      <c r="A1377" t="s">
        <v>477</v>
      </c>
      <c r="B1377" t="s">
        <v>6</v>
      </c>
      <c r="C1377">
        <v>41274</v>
      </c>
      <c r="D1377" s="61">
        <v>4256157000</v>
      </c>
      <c r="E1377" s="61">
        <v>800380000</v>
      </c>
      <c r="F1377" s="61">
        <v>376687000</v>
      </c>
      <c r="G1377" s="61">
        <v>0</v>
      </c>
      <c r="H1377" s="61">
        <v>1068382000</v>
      </c>
      <c r="I1377" t="s">
        <v>46</v>
      </c>
      <c r="J1377" t="s">
        <v>47</v>
      </c>
      <c r="K1377" s="61">
        <f t="shared" si="63"/>
        <v>3455777000</v>
      </c>
      <c r="L1377" s="61">
        <f t="shared" si="64"/>
        <v>1445069000</v>
      </c>
      <c r="M1377" s="61">
        <f t="shared" si="65"/>
        <v>2010708000</v>
      </c>
    </row>
    <row r="1378" spans="1:13" x14ac:dyDescent="0.25">
      <c r="A1378" t="s">
        <v>477</v>
      </c>
      <c r="B1378" t="s">
        <v>9</v>
      </c>
      <c r="C1378">
        <v>41639</v>
      </c>
      <c r="D1378" s="61">
        <v>4543849000</v>
      </c>
      <c r="E1378" s="61">
        <v>837946000</v>
      </c>
      <c r="F1378" s="61">
        <v>402369000</v>
      </c>
      <c r="G1378" s="61">
        <v>0</v>
      </c>
      <c r="H1378" s="61">
        <v>1107700000</v>
      </c>
      <c r="I1378" t="s">
        <v>46</v>
      </c>
      <c r="J1378" t="s">
        <v>47</v>
      </c>
      <c r="K1378" s="61">
        <f t="shared" si="63"/>
        <v>3705903000</v>
      </c>
      <c r="L1378" s="61">
        <f t="shared" si="64"/>
        <v>1510069000</v>
      </c>
      <c r="M1378" s="61">
        <f t="shared" si="65"/>
        <v>2195834000</v>
      </c>
    </row>
    <row r="1379" spans="1:13" x14ac:dyDescent="0.25">
      <c r="A1379" t="s">
        <v>477</v>
      </c>
      <c r="B1379" t="s">
        <v>10</v>
      </c>
      <c r="C1379">
        <v>42004</v>
      </c>
      <c r="D1379" s="61">
        <v>4870818000</v>
      </c>
      <c r="E1379" s="61">
        <v>882803000</v>
      </c>
      <c r="F1379" s="61">
        <v>446845000</v>
      </c>
      <c r="G1379" s="61">
        <v>0</v>
      </c>
      <c r="H1379" s="61">
        <v>1143827000</v>
      </c>
      <c r="I1379" t="s">
        <v>46</v>
      </c>
      <c r="J1379" t="s">
        <v>47</v>
      </c>
      <c r="K1379" s="61">
        <f t="shared" si="63"/>
        <v>3988015000</v>
      </c>
      <c r="L1379" s="61">
        <f t="shared" si="64"/>
        <v>1590672000</v>
      </c>
      <c r="M1379" s="61">
        <f t="shared" si="65"/>
        <v>2397343000</v>
      </c>
    </row>
    <row r="1380" spans="1:13" x14ac:dyDescent="0.25">
      <c r="A1380" t="s">
        <v>477</v>
      </c>
      <c r="B1380" t="s">
        <v>11</v>
      </c>
      <c r="C1380">
        <v>42369</v>
      </c>
      <c r="D1380" s="61">
        <v>5266103000</v>
      </c>
      <c r="E1380" s="61">
        <v>960192000</v>
      </c>
      <c r="F1380" s="61">
        <v>452835000</v>
      </c>
      <c r="G1380" s="61">
        <v>0</v>
      </c>
      <c r="H1380" s="61">
        <v>1177568000</v>
      </c>
      <c r="I1380" t="s">
        <v>46</v>
      </c>
      <c r="J1380" t="s">
        <v>47</v>
      </c>
      <c r="K1380" s="61">
        <f t="shared" si="63"/>
        <v>4305911000</v>
      </c>
      <c r="L1380" s="61">
        <f t="shared" si="64"/>
        <v>1630403000</v>
      </c>
      <c r="M1380" s="61">
        <f t="shared" si="65"/>
        <v>2675508000</v>
      </c>
    </row>
    <row r="1381" spans="1:13" x14ac:dyDescent="0.25">
      <c r="A1381" t="s">
        <v>478</v>
      </c>
      <c r="B1381" t="s">
        <v>6</v>
      </c>
      <c r="C1381">
        <v>41307</v>
      </c>
      <c r="D1381" s="61">
        <v>24380510000</v>
      </c>
      <c r="E1381" s="61">
        <v>17889249000</v>
      </c>
      <c r="F1381" s="61">
        <v>4884284000</v>
      </c>
      <c r="G1381" s="61">
        <v>0</v>
      </c>
      <c r="H1381" s="61">
        <v>78900000</v>
      </c>
      <c r="I1381" t="s">
        <v>13</v>
      </c>
      <c r="J1381" t="s">
        <v>73</v>
      </c>
      <c r="K1381" s="61">
        <f t="shared" si="63"/>
        <v>6491261000</v>
      </c>
      <c r="L1381" s="61">
        <f t="shared" si="64"/>
        <v>4963184000</v>
      </c>
      <c r="M1381" s="61">
        <f t="shared" si="65"/>
        <v>1528077000</v>
      </c>
    </row>
    <row r="1382" spans="1:13" x14ac:dyDescent="0.25">
      <c r="A1382" t="s">
        <v>478</v>
      </c>
      <c r="B1382" t="s">
        <v>9</v>
      </c>
      <c r="C1382">
        <v>41671</v>
      </c>
      <c r="D1382" s="61">
        <v>23114000000</v>
      </c>
      <c r="E1382" s="61">
        <v>17082000000</v>
      </c>
      <c r="F1382" s="61">
        <v>4735000000</v>
      </c>
      <c r="G1382" s="61">
        <v>0</v>
      </c>
      <c r="H1382" s="61">
        <v>55000000</v>
      </c>
      <c r="I1382" t="s">
        <v>13</v>
      </c>
      <c r="J1382" t="s">
        <v>73</v>
      </c>
      <c r="K1382" s="61">
        <f t="shared" si="63"/>
        <v>6032000000</v>
      </c>
      <c r="L1382" s="61">
        <f t="shared" si="64"/>
        <v>4790000000</v>
      </c>
      <c r="M1382" s="61">
        <f t="shared" si="65"/>
        <v>1242000000</v>
      </c>
    </row>
    <row r="1383" spans="1:13" x14ac:dyDescent="0.25">
      <c r="A1383" t="s">
        <v>478</v>
      </c>
      <c r="B1383" t="s">
        <v>10</v>
      </c>
      <c r="C1383">
        <v>42035</v>
      </c>
      <c r="D1383" s="61">
        <v>22492000000</v>
      </c>
      <c r="E1383" s="61">
        <v>16691000000</v>
      </c>
      <c r="F1383" s="61">
        <v>4816000000</v>
      </c>
      <c r="G1383" s="61">
        <v>0</v>
      </c>
      <c r="H1383" s="61">
        <v>62000000</v>
      </c>
      <c r="I1383" t="s">
        <v>13</v>
      </c>
      <c r="J1383" t="s">
        <v>73</v>
      </c>
      <c r="K1383" s="61">
        <f t="shared" si="63"/>
        <v>5801000000</v>
      </c>
      <c r="L1383" s="61">
        <f t="shared" si="64"/>
        <v>4878000000</v>
      </c>
      <c r="M1383" s="61">
        <f t="shared" si="65"/>
        <v>923000000</v>
      </c>
    </row>
    <row r="1384" spans="1:13" x14ac:dyDescent="0.25">
      <c r="A1384" t="s">
        <v>478</v>
      </c>
      <c r="B1384" t="s">
        <v>11</v>
      </c>
      <c r="C1384">
        <v>42399</v>
      </c>
      <c r="D1384" s="61">
        <v>21059000000</v>
      </c>
      <c r="E1384" s="61">
        <v>15545000000</v>
      </c>
      <c r="F1384" s="61">
        <v>4600000000</v>
      </c>
      <c r="G1384" s="61">
        <v>0</v>
      </c>
      <c r="H1384" s="61">
        <v>67000000</v>
      </c>
      <c r="I1384" t="s">
        <v>13</v>
      </c>
      <c r="J1384" t="s">
        <v>73</v>
      </c>
      <c r="K1384" s="61">
        <f t="shared" si="63"/>
        <v>5514000000</v>
      </c>
      <c r="L1384" s="61">
        <f t="shared" si="64"/>
        <v>4667000000</v>
      </c>
      <c r="M1384" s="61">
        <f t="shared" si="65"/>
        <v>847000000</v>
      </c>
    </row>
    <row r="1385" spans="1:13" x14ac:dyDescent="0.25">
      <c r="A1385" t="s">
        <v>479</v>
      </c>
      <c r="B1385" t="s">
        <v>6</v>
      </c>
      <c r="C1385">
        <v>41274</v>
      </c>
      <c r="D1385" s="61">
        <v>1913149000</v>
      </c>
      <c r="E1385" s="61">
        <v>1055844000</v>
      </c>
      <c r="F1385" s="61">
        <v>356817000</v>
      </c>
      <c r="G1385" s="61">
        <v>0</v>
      </c>
      <c r="H1385" s="61">
        <v>31652000</v>
      </c>
      <c r="I1385" t="s">
        <v>7</v>
      </c>
      <c r="J1385" t="s">
        <v>158</v>
      </c>
      <c r="K1385" s="61">
        <f t="shared" si="63"/>
        <v>857305000</v>
      </c>
      <c r="L1385" s="61">
        <f t="shared" si="64"/>
        <v>388469000</v>
      </c>
      <c r="M1385" s="61">
        <f t="shared" si="65"/>
        <v>468836000</v>
      </c>
    </row>
    <row r="1386" spans="1:13" x14ac:dyDescent="0.25">
      <c r="A1386" t="s">
        <v>479</v>
      </c>
      <c r="B1386" t="s">
        <v>9</v>
      </c>
      <c r="C1386">
        <v>41639</v>
      </c>
      <c r="D1386" s="61">
        <v>2142807000</v>
      </c>
      <c r="E1386" s="61">
        <v>1178173000</v>
      </c>
      <c r="F1386" s="61">
        <v>390610000</v>
      </c>
      <c r="G1386" s="61">
        <v>0</v>
      </c>
      <c r="H1386" s="61">
        <v>38405000</v>
      </c>
      <c r="I1386" t="s">
        <v>7</v>
      </c>
      <c r="J1386" t="s">
        <v>158</v>
      </c>
      <c r="K1386" s="61">
        <f t="shared" si="63"/>
        <v>964634000</v>
      </c>
      <c r="L1386" s="61">
        <f t="shared" si="64"/>
        <v>429015000</v>
      </c>
      <c r="M1386" s="61">
        <f t="shared" si="65"/>
        <v>535619000</v>
      </c>
    </row>
    <row r="1387" spans="1:13" x14ac:dyDescent="0.25">
      <c r="A1387" t="s">
        <v>479</v>
      </c>
      <c r="B1387" t="s">
        <v>10</v>
      </c>
      <c r="C1387">
        <v>42004</v>
      </c>
      <c r="D1387" s="61">
        <v>2555601000</v>
      </c>
      <c r="E1387" s="61">
        <v>1461190000</v>
      </c>
      <c r="F1387" s="61">
        <v>489937000</v>
      </c>
      <c r="G1387" s="61">
        <v>0</v>
      </c>
      <c r="H1387" s="61">
        <v>48138000</v>
      </c>
      <c r="I1387" t="s">
        <v>7</v>
      </c>
      <c r="J1387" t="s">
        <v>158</v>
      </c>
      <c r="K1387" s="61">
        <f t="shared" si="63"/>
        <v>1094411000</v>
      </c>
      <c r="L1387" s="61">
        <f t="shared" si="64"/>
        <v>538075000</v>
      </c>
      <c r="M1387" s="61">
        <f t="shared" si="65"/>
        <v>556336000</v>
      </c>
    </row>
    <row r="1388" spans="1:13" x14ac:dyDescent="0.25">
      <c r="A1388" t="s">
        <v>479</v>
      </c>
      <c r="B1388" t="s">
        <v>11</v>
      </c>
      <c r="C1388">
        <v>42369</v>
      </c>
      <c r="D1388" s="61">
        <v>2985908000</v>
      </c>
      <c r="E1388" s="61">
        <v>1719723000</v>
      </c>
      <c r="F1388" s="61">
        <v>712803000</v>
      </c>
      <c r="G1388" s="61">
        <v>0</v>
      </c>
      <c r="H1388" s="61">
        <v>65770000</v>
      </c>
      <c r="I1388" t="s">
        <v>7</v>
      </c>
      <c r="J1388" t="s">
        <v>158</v>
      </c>
      <c r="K1388" s="61">
        <f t="shared" si="63"/>
        <v>1266185000</v>
      </c>
      <c r="L1388" s="61">
        <f t="shared" si="64"/>
        <v>778573000</v>
      </c>
      <c r="M1388" s="61">
        <f t="shared" si="65"/>
        <v>487612000</v>
      </c>
    </row>
    <row r="1389" spans="1:13" x14ac:dyDescent="0.25">
      <c r="A1389" t="s">
        <v>480</v>
      </c>
      <c r="B1389" t="s">
        <v>6</v>
      </c>
      <c r="C1389">
        <v>41274</v>
      </c>
      <c r="D1389" s="61">
        <v>9647000000</v>
      </c>
      <c r="E1389" s="61">
        <v>6646000000</v>
      </c>
      <c r="F1389" s="61">
        <v>359000000</v>
      </c>
      <c r="G1389" s="61">
        <v>0</v>
      </c>
      <c r="H1389" s="61">
        <v>1090000000</v>
      </c>
      <c r="I1389" t="s">
        <v>36</v>
      </c>
      <c r="J1389" t="s">
        <v>37</v>
      </c>
      <c r="K1389" s="61">
        <f t="shared" si="63"/>
        <v>3001000000</v>
      </c>
      <c r="L1389" s="61">
        <f t="shared" si="64"/>
        <v>1449000000</v>
      </c>
      <c r="M1389" s="61">
        <f t="shared" si="65"/>
        <v>1552000000</v>
      </c>
    </row>
    <row r="1390" spans="1:13" x14ac:dyDescent="0.25">
      <c r="A1390" t="s">
        <v>480</v>
      </c>
      <c r="B1390" t="s">
        <v>9</v>
      </c>
      <c r="C1390">
        <v>41639</v>
      </c>
      <c r="D1390" s="61">
        <v>10557000000</v>
      </c>
      <c r="E1390" s="61">
        <v>7186000000</v>
      </c>
      <c r="F1390" s="61">
        <v>574000000</v>
      </c>
      <c r="G1390" s="61">
        <v>0</v>
      </c>
      <c r="H1390" s="61">
        <v>1113000000</v>
      </c>
      <c r="I1390" t="s">
        <v>36</v>
      </c>
      <c r="J1390" t="s">
        <v>37</v>
      </c>
      <c r="K1390" s="61">
        <f t="shared" si="63"/>
        <v>3371000000</v>
      </c>
      <c r="L1390" s="61">
        <f t="shared" si="64"/>
        <v>1687000000</v>
      </c>
      <c r="M1390" s="61">
        <f t="shared" si="65"/>
        <v>1684000000</v>
      </c>
    </row>
    <row r="1391" spans="1:13" x14ac:dyDescent="0.25">
      <c r="A1391" t="s">
        <v>480</v>
      </c>
      <c r="B1391" t="s">
        <v>10</v>
      </c>
      <c r="C1391">
        <v>42004</v>
      </c>
      <c r="D1391" s="61">
        <v>11035000000</v>
      </c>
      <c r="E1391" s="61">
        <v>7689000000</v>
      </c>
      <c r="F1391" s="61">
        <v>414000000</v>
      </c>
      <c r="G1391" s="61">
        <v>0</v>
      </c>
      <c r="H1391" s="61">
        <v>1156000000</v>
      </c>
      <c r="I1391" t="s">
        <v>36</v>
      </c>
      <c r="J1391" t="s">
        <v>37</v>
      </c>
      <c r="K1391" s="61">
        <f t="shared" si="63"/>
        <v>3346000000</v>
      </c>
      <c r="L1391" s="61">
        <f t="shared" si="64"/>
        <v>1570000000</v>
      </c>
      <c r="M1391" s="61">
        <f t="shared" si="65"/>
        <v>1776000000</v>
      </c>
    </row>
    <row r="1392" spans="1:13" x14ac:dyDescent="0.25">
      <c r="A1392" t="s">
        <v>480</v>
      </c>
      <c r="B1392" t="s">
        <v>11</v>
      </c>
      <c r="C1392">
        <v>42369</v>
      </c>
      <c r="D1392" s="61">
        <v>10231000000</v>
      </c>
      <c r="E1392" s="61">
        <v>6648000000</v>
      </c>
      <c r="F1392" s="61">
        <v>397000000</v>
      </c>
      <c r="G1392" s="61">
        <v>0</v>
      </c>
      <c r="H1392" s="61">
        <v>1250000000</v>
      </c>
      <c r="I1392" t="s">
        <v>36</v>
      </c>
      <c r="J1392" t="s">
        <v>37</v>
      </c>
      <c r="K1392" s="61">
        <f t="shared" si="63"/>
        <v>3583000000</v>
      </c>
      <c r="L1392" s="61">
        <f t="shared" si="64"/>
        <v>1647000000</v>
      </c>
      <c r="M1392" s="61">
        <f t="shared" si="65"/>
        <v>1936000000</v>
      </c>
    </row>
    <row r="1393" spans="1:13" x14ac:dyDescent="0.25">
      <c r="A1393" t="s">
        <v>481</v>
      </c>
      <c r="B1393" t="s">
        <v>6</v>
      </c>
      <c r="C1393">
        <v>41274</v>
      </c>
      <c r="D1393" s="61">
        <v>11240000000</v>
      </c>
      <c r="E1393" s="61">
        <v>429000000</v>
      </c>
      <c r="F1393" s="61">
        <v>6073000000</v>
      </c>
      <c r="G1393" s="61">
        <v>0</v>
      </c>
      <c r="H1393" s="61">
        <v>1441000000</v>
      </c>
      <c r="I1393" t="s">
        <v>41</v>
      </c>
      <c r="J1393" t="s">
        <v>99</v>
      </c>
      <c r="K1393" s="61">
        <f t="shared" si="63"/>
        <v>10811000000</v>
      </c>
      <c r="L1393" s="61">
        <f t="shared" si="64"/>
        <v>7514000000</v>
      </c>
      <c r="M1393" s="61">
        <f t="shared" si="65"/>
        <v>3297000000</v>
      </c>
    </row>
    <row r="1394" spans="1:13" x14ac:dyDescent="0.25">
      <c r="A1394" t="s">
        <v>481</v>
      </c>
      <c r="B1394" t="s">
        <v>9</v>
      </c>
      <c r="C1394">
        <v>41639</v>
      </c>
      <c r="D1394" s="61">
        <v>8602000000</v>
      </c>
      <c r="E1394" s="61">
        <v>291000000</v>
      </c>
      <c r="F1394" s="61">
        <v>5808000000</v>
      </c>
      <c r="G1394" s="61">
        <v>0</v>
      </c>
      <c r="H1394" s="61">
        <v>576000000</v>
      </c>
      <c r="I1394" t="s">
        <v>41</v>
      </c>
      <c r="J1394" t="s">
        <v>99</v>
      </c>
      <c r="K1394" s="61">
        <f t="shared" si="63"/>
        <v>8311000000</v>
      </c>
      <c r="L1394" s="61">
        <f t="shared" si="64"/>
        <v>6384000000</v>
      </c>
      <c r="M1394" s="61">
        <f t="shared" si="65"/>
        <v>1927000000</v>
      </c>
    </row>
    <row r="1395" spans="1:13" x14ac:dyDescent="0.25">
      <c r="A1395" t="s">
        <v>481</v>
      </c>
      <c r="B1395" t="s">
        <v>10</v>
      </c>
      <c r="C1395">
        <v>42004</v>
      </c>
      <c r="D1395" s="61">
        <v>8707000000</v>
      </c>
      <c r="E1395" s="61">
        <v>235000000</v>
      </c>
      <c r="F1395" s="61">
        <v>5518000000</v>
      </c>
      <c r="G1395" s="61">
        <v>0</v>
      </c>
      <c r="H1395" s="61">
        <v>367000000</v>
      </c>
      <c r="I1395" t="s">
        <v>41</v>
      </c>
      <c r="J1395" t="s">
        <v>99</v>
      </c>
      <c r="K1395" s="61">
        <f t="shared" si="63"/>
        <v>8472000000</v>
      </c>
      <c r="L1395" s="61">
        <f t="shared" si="64"/>
        <v>5885000000</v>
      </c>
      <c r="M1395" s="61">
        <f t="shared" si="65"/>
        <v>2587000000</v>
      </c>
    </row>
    <row r="1396" spans="1:13" x14ac:dyDescent="0.25">
      <c r="A1396" t="s">
        <v>481</v>
      </c>
      <c r="B1396" t="s">
        <v>11</v>
      </c>
      <c r="C1396">
        <v>42369</v>
      </c>
      <c r="D1396" s="61">
        <v>8533000000</v>
      </c>
      <c r="E1396" s="61">
        <v>219000000</v>
      </c>
      <c r="F1396" s="61">
        <v>5120000000</v>
      </c>
      <c r="G1396" s="61">
        <v>0</v>
      </c>
      <c r="H1396" s="61">
        <v>205000000</v>
      </c>
      <c r="I1396" t="s">
        <v>41</v>
      </c>
      <c r="J1396" t="s">
        <v>99</v>
      </c>
      <c r="K1396" s="61">
        <f t="shared" si="63"/>
        <v>8314000000</v>
      </c>
      <c r="L1396" s="61">
        <f t="shared" si="64"/>
        <v>5325000000</v>
      </c>
      <c r="M1396" s="61">
        <f t="shared" si="65"/>
        <v>2989000000</v>
      </c>
    </row>
    <row r="1397" spans="1:13" x14ac:dyDescent="0.25">
      <c r="A1397" t="s">
        <v>482</v>
      </c>
      <c r="B1397" t="s">
        <v>6</v>
      </c>
      <c r="C1397">
        <v>41453</v>
      </c>
      <c r="D1397" s="61">
        <v>14351000000</v>
      </c>
      <c r="E1397" s="61">
        <v>10411000000</v>
      </c>
      <c r="F1397" s="61">
        <v>635000000</v>
      </c>
      <c r="G1397" s="61">
        <v>1133000000</v>
      </c>
      <c r="H1397" s="61">
        <v>79000000</v>
      </c>
      <c r="I1397" t="s">
        <v>16</v>
      </c>
      <c r="J1397" t="s">
        <v>483</v>
      </c>
      <c r="K1397" s="61">
        <f t="shared" si="63"/>
        <v>3940000000</v>
      </c>
      <c r="L1397" s="61">
        <f t="shared" si="64"/>
        <v>1847000000</v>
      </c>
      <c r="M1397" s="61">
        <f t="shared" si="65"/>
        <v>2093000000</v>
      </c>
    </row>
    <row r="1398" spans="1:13" x14ac:dyDescent="0.25">
      <c r="A1398" t="s">
        <v>482</v>
      </c>
      <c r="B1398" t="s">
        <v>9</v>
      </c>
      <c r="C1398">
        <v>41817</v>
      </c>
      <c r="D1398" s="61">
        <v>13724000000</v>
      </c>
      <c r="E1398" s="61">
        <v>9878000000</v>
      </c>
      <c r="F1398" s="61">
        <v>722000000</v>
      </c>
      <c r="G1398" s="61">
        <v>1226000000</v>
      </c>
      <c r="H1398" s="61">
        <v>98000000</v>
      </c>
      <c r="I1398" t="s">
        <v>16</v>
      </c>
      <c r="J1398" t="s">
        <v>483</v>
      </c>
      <c r="K1398" s="61">
        <f t="shared" si="63"/>
        <v>3846000000</v>
      </c>
      <c r="L1398" s="61">
        <f t="shared" si="64"/>
        <v>2046000000</v>
      </c>
      <c r="M1398" s="61">
        <f t="shared" si="65"/>
        <v>1800000000</v>
      </c>
    </row>
    <row r="1399" spans="1:13" x14ac:dyDescent="0.25">
      <c r="A1399" t="s">
        <v>482</v>
      </c>
      <c r="B1399" t="s">
        <v>10</v>
      </c>
      <c r="C1399">
        <v>42188</v>
      </c>
      <c r="D1399" s="61">
        <v>13739000000</v>
      </c>
      <c r="E1399" s="61">
        <v>9930000000</v>
      </c>
      <c r="F1399" s="61">
        <v>237000000</v>
      </c>
      <c r="G1399" s="61">
        <v>1353000000</v>
      </c>
      <c r="H1399" s="61">
        <v>129000000</v>
      </c>
      <c r="I1399" t="s">
        <v>16</v>
      </c>
      <c r="J1399" t="s">
        <v>483</v>
      </c>
      <c r="K1399" s="61">
        <f t="shared" si="63"/>
        <v>3809000000</v>
      </c>
      <c r="L1399" s="61">
        <f t="shared" si="64"/>
        <v>1719000000</v>
      </c>
      <c r="M1399" s="61">
        <f t="shared" si="65"/>
        <v>2090000000</v>
      </c>
    </row>
    <row r="1400" spans="1:13" x14ac:dyDescent="0.25">
      <c r="A1400" t="s">
        <v>482</v>
      </c>
      <c r="B1400" t="s">
        <v>11</v>
      </c>
      <c r="C1400">
        <v>42552</v>
      </c>
      <c r="D1400" s="61">
        <v>11160000000</v>
      </c>
      <c r="E1400" s="61">
        <v>8545000000</v>
      </c>
      <c r="F1400" s="61">
        <v>635000000</v>
      </c>
      <c r="G1400" s="61">
        <v>1237000000</v>
      </c>
      <c r="H1400" s="61">
        <v>123000000</v>
      </c>
      <c r="I1400" t="s">
        <v>16</v>
      </c>
      <c r="J1400" t="s">
        <v>483</v>
      </c>
      <c r="K1400" s="61">
        <f t="shared" si="63"/>
        <v>2615000000</v>
      </c>
      <c r="L1400" s="61">
        <f t="shared" si="64"/>
        <v>1995000000</v>
      </c>
      <c r="M1400" s="61">
        <f t="shared" si="65"/>
        <v>620000000</v>
      </c>
    </row>
    <row r="1401" spans="1:13" x14ac:dyDescent="0.25">
      <c r="A1401" t="s">
        <v>484</v>
      </c>
      <c r="B1401" t="s">
        <v>6</v>
      </c>
      <c r="C1401">
        <v>41333</v>
      </c>
      <c r="D1401" s="61">
        <v>2796100000</v>
      </c>
      <c r="E1401" s="61">
        <v>1687800000</v>
      </c>
      <c r="F1401" s="61">
        <v>585400000</v>
      </c>
      <c r="G1401" s="61">
        <v>0</v>
      </c>
      <c r="H1401" s="61">
        <v>0</v>
      </c>
      <c r="I1401" t="s">
        <v>30</v>
      </c>
      <c r="J1401" t="s">
        <v>485</v>
      </c>
      <c r="K1401" s="61">
        <f t="shared" si="63"/>
        <v>1108300000</v>
      </c>
      <c r="L1401" s="61">
        <f t="shared" si="64"/>
        <v>585400000</v>
      </c>
      <c r="M1401" s="61">
        <f t="shared" si="65"/>
        <v>522900000</v>
      </c>
    </row>
    <row r="1402" spans="1:13" x14ac:dyDescent="0.25">
      <c r="A1402" t="s">
        <v>484</v>
      </c>
      <c r="B1402" t="s">
        <v>9</v>
      </c>
      <c r="C1402">
        <v>41698</v>
      </c>
      <c r="D1402" s="61">
        <v>4867700000</v>
      </c>
      <c r="E1402" s="61">
        <v>2876000000</v>
      </c>
      <c r="F1402" s="61">
        <v>895100000</v>
      </c>
      <c r="G1402" s="61">
        <v>0</v>
      </c>
      <c r="H1402" s="61">
        <v>0</v>
      </c>
      <c r="I1402" t="s">
        <v>30</v>
      </c>
      <c r="J1402" t="s">
        <v>485</v>
      </c>
      <c r="K1402" s="61">
        <f t="shared" si="63"/>
        <v>1991700000</v>
      </c>
      <c r="L1402" s="61">
        <f t="shared" si="64"/>
        <v>895100000</v>
      </c>
      <c r="M1402" s="61">
        <f t="shared" si="65"/>
        <v>1096600000</v>
      </c>
    </row>
    <row r="1403" spans="1:13" x14ac:dyDescent="0.25">
      <c r="A1403" t="s">
        <v>484</v>
      </c>
      <c r="B1403" t="s">
        <v>10</v>
      </c>
      <c r="C1403">
        <v>42063</v>
      </c>
      <c r="D1403" s="61">
        <v>6028000000</v>
      </c>
      <c r="E1403" s="61">
        <v>3449400000</v>
      </c>
      <c r="F1403" s="61">
        <v>1078400000</v>
      </c>
      <c r="G1403" s="61">
        <v>0</v>
      </c>
      <c r="H1403" s="61">
        <v>0</v>
      </c>
      <c r="I1403" t="s">
        <v>30</v>
      </c>
      <c r="J1403" t="s">
        <v>485</v>
      </c>
      <c r="K1403" s="61">
        <f t="shared" si="63"/>
        <v>2578600000</v>
      </c>
      <c r="L1403" s="61">
        <f t="shared" si="64"/>
        <v>1078400000</v>
      </c>
      <c r="M1403" s="61">
        <f t="shared" si="65"/>
        <v>1500200000</v>
      </c>
    </row>
    <row r="1404" spans="1:13" x14ac:dyDescent="0.25">
      <c r="A1404" t="s">
        <v>484</v>
      </c>
      <c r="B1404" t="s">
        <v>11</v>
      </c>
      <c r="C1404">
        <v>42429</v>
      </c>
      <c r="D1404" s="61">
        <v>6548400000</v>
      </c>
      <c r="E1404" s="61">
        <v>3606100000</v>
      </c>
      <c r="F1404" s="61">
        <v>1177200000</v>
      </c>
      <c r="G1404" s="61">
        <v>0</v>
      </c>
      <c r="H1404" s="61">
        <v>0</v>
      </c>
      <c r="I1404" t="s">
        <v>30</v>
      </c>
      <c r="J1404" t="s">
        <v>485</v>
      </c>
      <c r="K1404" s="61">
        <f t="shared" si="63"/>
        <v>2942300000</v>
      </c>
      <c r="L1404" s="61">
        <f t="shared" si="64"/>
        <v>1177200000</v>
      </c>
      <c r="M1404" s="61">
        <f t="shared" si="65"/>
        <v>1765100000</v>
      </c>
    </row>
    <row r="1405" spans="1:13" x14ac:dyDescent="0.25">
      <c r="A1405" t="s">
        <v>486</v>
      </c>
      <c r="B1405" t="s">
        <v>6</v>
      </c>
      <c r="C1405">
        <v>41636</v>
      </c>
      <c r="D1405" s="61">
        <v>10889500000</v>
      </c>
      <c r="E1405" s="61">
        <v>6985800000</v>
      </c>
      <c r="F1405" s="61">
        <v>2960300000</v>
      </c>
      <c r="G1405" s="61">
        <v>0</v>
      </c>
      <c r="H1405" s="61">
        <v>0</v>
      </c>
      <c r="I1405" t="s">
        <v>13</v>
      </c>
      <c r="J1405" t="s">
        <v>474</v>
      </c>
      <c r="K1405" s="61">
        <f t="shared" si="63"/>
        <v>3903700000</v>
      </c>
      <c r="L1405" s="61">
        <f t="shared" si="64"/>
        <v>2960300000</v>
      </c>
      <c r="M1405" s="61">
        <f t="shared" si="65"/>
        <v>943400000</v>
      </c>
    </row>
    <row r="1406" spans="1:13" x14ac:dyDescent="0.25">
      <c r="A1406" t="s">
        <v>486</v>
      </c>
      <c r="B1406" t="s">
        <v>9</v>
      </c>
      <c r="C1406">
        <v>42007</v>
      </c>
      <c r="D1406" s="61">
        <v>11338600000</v>
      </c>
      <c r="E1406" s="61">
        <v>7235900000</v>
      </c>
      <c r="F1406" s="61">
        <v>2814600000</v>
      </c>
      <c r="G1406" s="61">
        <v>0</v>
      </c>
      <c r="H1406" s="61">
        <v>0</v>
      </c>
      <c r="I1406" t="s">
        <v>13</v>
      </c>
      <c r="J1406" t="s">
        <v>474</v>
      </c>
      <c r="K1406" s="61">
        <f t="shared" si="63"/>
        <v>4102700000</v>
      </c>
      <c r="L1406" s="61">
        <f t="shared" si="64"/>
        <v>2814600000</v>
      </c>
      <c r="M1406" s="61">
        <f t="shared" si="65"/>
        <v>1288100000</v>
      </c>
    </row>
    <row r="1407" spans="1:13" x14ac:dyDescent="0.25">
      <c r="A1407" t="s">
        <v>486</v>
      </c>
      <c r="B1407" t="s">
        <v>10</v>
      </c>
      <c r="C1407">
        <v>42371</v>
      </c>
      <c r="D1407" s="61">
        <v>11171800000</v>
      </c>
      <c r="E1407" s="61">
        <v>7099800000</v>
      </c>
      <c r="F1407" s="61">
        <v>2681100000</v>
      </c>
      <c r="G1407" s="61">
        <v>0</v>
      </c>
      <c r="H1407" s="61">
        <v>0</v>
      </c>
      <c r="I1407" t="s">
        <v>13</v>
      </c>
      <c r="J1407" t="s">
        <v>474</v>
      </c>
      <c r="K1407" s="61">
        <f t="shared" si="63"/>
        <v>4072000000</v>
      </c>
      <c r="L1407" s="61">
        <f t="shared" si="64"/>
        <v>2681100000</v>
      </c>
      <c r="M1407" s="61">
        <f t="shared" si="65"/>
        <v>1390900000</v>
      </c>
    </row>
    <row r="1408" spans="1:13" x14ac:dyDescent="0.25">
      <c r="A1408" t="s">
        <v>486</v>
      </c>
      <c r="B1408" t="s">
        <v>11</v>
      </c>
      <c r="C1408">
        <v>42735</v>
      </c>
      <c r="D1408" s="61">
        <v>11406900000</v>
      </c>
      <c r="E1408" s="61">
        <v>7139700000</v>
      </c>
      <c r="F1408" s="61">
        <v>2798900000</v>
      </c>
      <c r="G1408" s="61">
        <v>0</v>
      </c>
      <c r="H1408" s="61">
        <v>0</v>
      </c>
      <c r="I1408" t="s">
        <v>13</v>
      </c>
      <c r="J1408" t="s">
        <v>474</v>
      </c>
      <c r="K1408" s="61">
        <f t="shared" si="63"/>
        <v>4267200000</v>
      </c>
      <c r="L1408" s="61">
        <f t="shared" si="64"/>
        <v>2798900000</v>
      </c>
      <c r="M1408" s="61">
        <f t="shared" si="65"/>
        <v>1468300000</v>
      </c>
    </row>
    <row r="1409" spans="1:13" x14ac:dyDescent="0.25">
      <c r="A1409" t="s">
        <v>487</v>
      </c>
      <c r="B1409" t="s">
        <v>6</v>
      </c>
      <c r="C1409">
        <v>41544</v>
      </c>
      <c r="D1409" s="61">
        <v>1792000000</v>
      </c>
      <c r="E1409" s="61">
        <v>1025400000</v>
      </c>
      <c r="F1409" s="61">
        <v>159700000</v>
      </c>
      <c r="G1409" s="61">
        <v>226300000</v>
      </c>
      <c r="H1409" s="61">
        <v>29100000</v>
      </c>
      <c r="I1409" t="s">
        <v>16</v>
      </c>
      <c r="J1409" t="s">
        <v>28</v>
      </c>
      <c r="K1409" s="61">
        <f t="shared" si="63"/>
        <v>766600000</v>
      </c>
      <c r="L1409" s="61">
        <f t="shared" si="64"/>
        <v>415100000</v>
      </c>
      <c r="M1409" s="61">
        <f t="shared" si="65"/>
        <v>351500000</v>
      </c>
    </row>
    <row r="1410" spans="1:13" x14ac:dyDescent="0.25">
      <c r="A1410" t="s">
        <v>487</v>
      </c>
      <c r="B1410" t="s">
        <v>9</v>
      </c>
      <c r="C1410">
        <v>41915</v>
      </c>
      <c r="D1410" s="61">
        <v>2291500000</v>
      </c>
      <c r="E1410" s="61">
        <v>1268800000</v>
      </c>
      <c r="F1410" s="61">
        <v>179100000</v>
      </c>
      <c r="G1410" s="61">
        <v>252200000</v>
      </c>
      <c r="H1410" s="61">
        <v>25900000</v>
      </c>
      <c r="I1410" t="s">
        <v>16</v>
      </c>
      <c r="J1410" t="s">
        <v>28</v>
      </c>
      <c r="K1410" s="61">
        <f t="shared" ref="K1410:K1473" si="66">D1410-E1410</f>
        <v>1022700000</v>
      </c>
      <c r="L1410" s="61">
        <f t="shared" ref="L1410:L1473" si="67">F1410+G1410+H1410</f>
        <v>457200000</v>
      </c>
      <c r="M1410" s="61">
        <f t="shared" si="65"/>
        <v>565500000</v>
      </c>
    </row>
    <row r="1411" spans="1:13" x14ac:dyDescent="0.25">
      <c r="A1411" t="s">
        <v>487</v>
      </c>
      <c r="B1411" t="s">
        <v>10</v>
      </c>
      <c r="C1411">
        <v>42279</v>
      </c>
      <c r="D1411" s="61">
        <v>3258400000</v>
      </c>
      <c r="E1411" s="61">
        <v>1703900000</v>
      </c>
      <c r="F1411" s="61">
        <v>191300000</v>
      </c>
      <c r="G1411" s="61">
        <v>303200000</v>
      </c>
      <c r="H1411" s="61">
        <v>33500000</v>
      </c>
      <c r="I1411" t="s">
        <v>16</v>
      </c>
      <c r="J1411" t="s">
        <v>28</v>
      </c>
      <c r="K1411" s="61">
        <f t="shared" si="66"/>
        <v>1554500000</v>
      </c>
      <c r="L1411" s="61">
        <f t="shared" si="67"/>
        <v>528000000</v>
      </c>
      <c r="M1411" s="61">
        <f t="shared" ref="M1411:M1474" si="68">K1411-L1411</f>
        <v>1026500000</v>
      </c>
    </row>
    <row r="1412" spans="1:13" x14ac:dyDescent="0.25">
      <c r="A1412" t="s">
        <v>487</v>
      </c>
      <c r="B1412" t="s">
        <v>11</v>
      </c>
      <c r="C1412">
        <v>42643</v>
      </c>
      <c r="D1412" s="61">
        <v>3289000000</v>
      </c>
      <c r="E1412" s="61">
        <v>1623800000</v>
      </c>
      <c r="F1412" s="61">
        <v>195900000</v>
      </c>
      <c r="G1412" s="61">
        <v>312400000</v>
      </c>
      <c r="H1412" s="61">
        <v>33400000</v>
      </c>
      <c r="I1412" t="s">
        <v>16</v>
      </c>
      <c r="J1412" t="s">
        <v>28</v>
      </c>
      <c r="K1412" s="61">
        <f t="shared" si="66"/>
        <v>1665200000</v>
      </c>
      <c r="L1412" s="61">
        <f t="shared" si="67"/>
        <v>541700000</v>
      </c>
      <c r="M1412" s="61">
        <f t="shared" si="68"/>
        <v>1123500000</v>
      </c>
    </row>
    <row r="1413" spans="1:13" x14ac:dyDescent="0.25">
      <c r="A1413" t="s">
        <v>488</v>
      </c>
      <c r="B1413" t="s">
        <v>6</v>
      </c>
      <c r="C1413">
        <v>41274</v>
      </c>
      <c r="D1413" s="61">
        <v>2730000000</v>
      </c>
      <c r="E1413" s="61">
        <v>245000000</v>
      </c>
      <c r="F1413" s="61">
        <v>835000000</v>
      </c>
      <c r="G1413" s="61">
        <v>0</v>
      </c>
      <c r="H1413" s="61">
        <v>811000000</v>
      </c>
      <c r="I1413" t="s">
        <v>77</v>
      </c>
      <c r="J1413" t="s">
        <v>78</v>
      </c>
      <c r="K1413" s="61">
        <f t="shared" si="66"/>
        <v>2485000000</v>
      </c>
      <c r="L1413" s="61">
        <f t="shared" si="67"/>
        <v>1646000000</v>
      </c>
      <c r="M1413" s="61">
        <f t="shared" si="68"/>
        <v>839000000</v>
      </c>
    </row>
    <row r="1414" spans="1:13" x14ac:dyDescent="0.25">
      <c r="A1414" t="s">
        <v>488</v>
      </c>
      <c r="B1414" t="s">
        <v>9</v>
      </c>
      <c r="C1414">
        <v>41639</v>
      </c>
      <c r="D1414" s="61">
        <v>3371000000</v>
      </c>
      <c r="E1414" s="61">
        <v>328000000</v>
      </c>
      <c r="F1414" s="61">
        <v>1052000000</v>
      </c>
      <c r="G1414" s="61">
        <v>0</v>
      </c>
      <c r="H1414" s="61">
        <v>787000000</v>
      </c>
      <c r="I1414" t="s">
        <v>77</v>
      </c>
      <c r="J1414" t="s">
        <v>78</v>
      </c>
      <c r="K1414" s="61">
        <f t="shared" si="66"/>
        <v>3043000000</v>
      </c>
      <c r="L1414" s="61">
        <f t="shared" si="67"/>
        <v>1839000000</v>
      </c>
      <c r="M1414" s="61">
        <f t="shared" si="68"/>
        <v>1204000000</v>
      </c>
    </row>
    <row r="1415" spans="1:13" x14ac:dyDescent="0.25">
      <c r="A1415" t="s">
        <v>488</v>
      </c>
      <c r="B1415" t="s">
        <v>10</v>
      </c>
      <c r="C1415">
        <v>42004</v>
      </c>
      <c r="D1415" s="61">
        <v>4038000000</v>
      </c>
      <c r="E1415" s="61">
        <v>427000000</v>
      </c>
      <c r="F1415" s="61">
        <v>1296000000</v>
      </c>
      <c r="G1415" s="61">
        <v>0</v>
      </c>
      <c r="H1415" s="61">
        <v>942000000</v>
      </c>
      <c r="I1415" t="s">
        <v>77</v>
      </c>
      <c r="J1415" t="s">
        <v>78</v>
      </c>
      <c r="K1415" s="61">
        <f t="shared" si="66"/>
        <v>3611000000</v>
      </c>
      <c r="L1415" s="61">
        <f t="shared" si="67"/>
        <v>2238000000</v>
      </c>
      <c r="M1415" s="61">
        <f t="shared" si="68"/>
        <v>1373000000</v>
      </c>
    </row>
    <row r="1416" spans="1:13" x14ac:dyDescent="0.25">
      <c r="A1416" t="s">
        <v>488</v>
      </c>
      <c r="B1416" t="s">
        <v>11</v>
      </c>
      <c r="C1416">
        <v>42369</v>
      </c>
      <c r="D1416" s="61">
        <v>3133000000</v>
      </c>
      <c r="E1416" s="61">
        <v>689000000</v>
      </c>
      <c r="F1416" s="61">
        <v>1208000000</v>
      </c>
      <c r="G1416" s="61">
        <v>0</v>
      </c>
      <c r="H1416" s="61">
        <v>1091000000</v>
      </c>
      <c r="I1416" t="s">
        <v>77</v>
      </c>
      <c r="J1416" t="s">
        <v>78</v>
      </c>
      <c r="K1416" s="61">
        <f t="shared" si="66"/>
        <v>2444000000</v>
      </c>
      <c r="L1416" s="61">
        <f t="shared" si="67"/>
        <v>2299000000</v>
      </c>
      <c r="M1416" s="61">
        <f t="shared" si="68"/>
        <v>145000000</v>
      </c>
    </row>
    <row r="1417" spans="1:13" x14ac:dyDescent="0.25">
      <c r="A1417" t="s">
        <v>489</v>
      </c>
      <c r="B1417" t="s">
        <v>6</v>
      </c>
      <c r="C1417">
        <v>41274</v>
      </c>
      <c r="D1417" s="61">
        <v>10793000000</v>
      </c>
      <c r="E1417" s="61">
        <v>362000000</v>
      </c>
      <c r="F1417" s="61">
        <v>2123000000</v>
      </c>
      <c r="G1417" s="61">
        <v>0</v>
      </c>
      <c r="H1417" s="61">
        <v>4549000000</v>
      </c>
      <c r="I1417" t="s">
        <v>41</v>
      </c>
      <c r="J1417" t="s">
        <v>94</v>
      </c>
      <c r="K1417" s="61">
        <f t="shared" si="66"/>
        <v>10431000000</v>
      </c>
      <c r="L1417" s="61">
        <f t="shared" si="67"/>
        <v>6672000000</v>
      </c>
      <c r="M1417" s="61">
        <f t="shared" si="68"/>
        <v>3759000000</v>
      </c>
    </row>
    <row r="1418" spans="1:13" x14ac:dyDescent="0.25">
      <c r="A1418" t="s">
        <v>489</v>
      </c>
      <c r="B1418" t="s">
        <v>9</v>
      </c>
      <c r="C1418">
        <v>41639</v>
      </c>
      <c r="D1418" s="61">
        <v>11813000000</v>
      </c>
      <c r="E1418" s="61">
        <v>374000000</v>
      </c>
      <c r="F1418" s="61">
        <v>2484000000</v>
      </c>
      <c r="G1418" s="61">
        <v>0</v>
      </c>
      <c r="H1418" s="61">
        <v>5445000000</v>
      </c>
      <c r="I1418" t="s">
        <v>41</v>
      </c>
      <c r="J1418" t="s">
        <v>94</v>
      </c>
      <c r="K1418" s="61">
        <f t="shared" si="66"/>
        <v>11439000000</v>
      </c>
      <c r="L1418" s="61">
        <f t="shared" si="67"/>
        <v>7929000000</v>
      </c>
      <c r="M1418" s="61">
        <f t="shared" si="68"/>
        <v>3510000000</v>
      </c>
    </row>
    <row r="1419" spans="1:13" x14ac:dyDescent="0.25">
      <c r="A1419" t="s">
        <v>489</v>
      </c>
      <c r="B1419" t="s">
        <v>10</v>
      </c>
      <c r="C1419">
        <v>42004</v>
      </c>
      <c r="D1419" s="61">
        <v>12727000000</v>
      </c>
      <c r="E1419" s="61">
        <v>470000000</v>
      </c>
      <c r="F1419" s="61">
        <v>2927000000</v>
      </c>
      <c r="G1419" s="61">
        <v>0</v>
      </c>
      <c r="H1419" s="61">
        <v>5492000000</v>
      </c>
      <c r="I1419" t="s">
        <v>41</v>
      </c>
      <c r="J1419" t="s">
        <v>94</v>
      </c>
      <c r="K1419" s="61">
        <f t="shared" si="66"/>
        <v>12257000000</v>
      </c>
      <c r="L1419" s="61">
        <f t="shared" si="67"/>
        <v>8419000000</v>
      </c>
      <c r="M1419" s="61">
        <f t="shared" si="68"/>
        <v>3838000000</v>
      </c>
    </row>
    <row r="1420" spans="1:13" x14ac:dyDescent="0.25">
      <c r="A1420" t="s">
        <v>489</v>
      </c>
      <c r="B1420" t="s">
        <v>11</v>
      </c>
      <c r="C1420">
        <v>42369</v>
      </c>
      <c r="D1420" s="61">
        <v>13620000000</v>
      </c>
      <c r="E1420" s="61">
        <v>607000000</v>
      </c>
      <c r="F1420" s="61">
        <v>3264000000</v>
      </c>
      <c r="G1420" s="61">
        <v>0</v>
      </c>
      <c r="H1420" s="61">
        <v>5690000000</v>
      </c>
      <c r="I1420" t="s">
        <v>41</v>
      </c>
      <c r="J1420" t="s">
        <v>94</v>
      </c>
      <c r="K1420" s="61">
        <f t="shared" si="66"/>
        <v>13013000000</v>
      </c>
      <c r="L1420" s="61">
        <f t="shared" si="67"/>
        <v>8954000000</v>
      </c>
      <c r="M1420" s="61">
        <f t="shared" si="68"/>
        <v>4059000000</v>
      </c>
    </row>
    <row r="1421" spans="1:13" x14ac:dyDescent="0.25">
      <c r="A1421" t="s">
        <v>490</v>
      </c>
      <c r="B1421" t="s">
        <v>6</v>
      </c>
      <c r="C1421">
        <v>41639</v>
      </c>
      <c r="D1421" s="61">
        <v>9021000000</v>
      </c>
      <c r="E1421" s="61">
        <v>3002000000</v>
      </c>
      <c r="F1421" s="61">
        <v>4089000000</v>
      </c>
      <c r="G1421" s="61">
        <v>536000000</v>
      </c>
      <c r="H1421" s="61">
        <v>138000000</v>
      </c>
      <c r="I1421" t="s">
        <v>19</v>
      </c>
      <c r="J1421" t="s">
        <v>24</v>
      </c>
      <c r="K1421" s="61">
        <f t="shared" si="66"/>
        <v>6019000000</v>
      </c>
      <c r="L1421" s="61">
        <f t="shared" si="67"/>
        <v>4763000000</v>
      </c>
      <c r="M1421" s="61">
        <f t="shared" si="68"/>
        <v>1256000000</v>
      </c>
    </row>
    <row r="1422" spans="1:13" x14ac:dyDescent="0.25">
      <c r="A1422" t="s">
        <v>490</v>
      </c>
      <c r="B1422" t="s">
        <v>9</v>
      </c>
      <c r="C1422">
        <v>42004</v>
      </c>
      <c r="D1422" s="61">
        <v>9675000000</v>
      </c>
      <c r="E1422" s="61">
        <v>3319000000</v>
      </c>
      <c r="F1422" s="61">
        <v>4308000000</v>
      </c>
      <c r="G1422" s="61">
        <v>614000000</v>
      </c>
      <c r="H1422" s="61">
        <v>188000000</v>
      </c>
      <c r="I1422" t="s">
        <v>19</v>
      </c>
      <c r="J1422" t="s">
        <v>24</v>
      </c>
      <c r="K1422" s="61">
        <f t="shared" si="66"/>
        <v>6356000000</v>
      </c>
      <c r="L1422" s="61">
        <f t="shared" si="67"/>
        <v>5110000000</v>
      </c>
      <c r="M1422" s="61">
        <f t="shared" si="68"/>
        <v>1246000000</v>
      </c>
    </row>
    <row r="1423" spans="1:13" x14ac:dyDescent="0.25">
      <c r="A1423" t="s">
        <v>490</v>
      </c>
      <c r="B1423" t="s">
        <v>10</v>
      </c>
      <c r="C1423">
        <v>42369</v>
      </c>
      <c r="D1423" s="61">
        <v>9946000000</v>
      </c>
      <c r="E1423" s="61">
        <v>3344000000</v>
      </c>
      <c r="F1423" s="61">
        <v>3906000000</v>
      </c>
      <c r="G1423" s="61">
        <v>625000000</v>
      </c>
      <c r="H1423" s="61">
        <v>210000000</v>
      </c>
      <c r="I1423" t="s">
        <v>19</v>
      </c>
      <c r="J1423" t="s">
        <v>24</v>
      </c>
      <c r="K1423" s="61">
        <f t="shared" si="66"/>
        <v>6602000000</v>
      </c>
      <c r="L1423" s="61">
        <f t="shared" si="67"/>
        <v>4741000000</v>
      </c>
      <c r="M1423" s="61">
        <f t="shared" si="68"/>
        <v>1861000000</v>
      </c>
    </row>
    <row r="1424" spans="1:13" x14ac:dyDescent="0.25">
      <c r="A1424" t="s">
        <v>490</v>
      </c>
      <c r="B1424" t="s">
        <v>11</v>
      </c>
      <c r="C1424">
        <v>42735</v>
      </c>
      <c r="D1424" s="61">
        <v>11325000000</v>
      </c>
      <c r="E1424" s="61">
        <v>3830000000</v>
      </c>
      <c r="F1424" s="61">
        <v>4295000000</v>
      </c>
      <c r="G1424" s="61">
        <v>715000000</v>
      </c>
      <c r="H1424" s="61">
        <v>319000000</v>
      </c>
      <c r="I1424" t="s">
        <v>19</v>
      </c>
      <c r="J1424" t="s">
        <v>24</v>
      </c>
      <c r="K1424" s="61">
        <f t="shared" si="66"/>
        <v>7495000000</v>
      </c>
      <c r="L1424" s="61">
        <f t="shared" si="67"/>
        <v>5329000000</v>
      </c>
      <c r="M1424" s="61">
        <f t="shared" si="68"/>
        <v>2166000000</v>
      </c>
    </row>
    <row r="1425" spans="1:13" x14ac:dyDescent="0.25">
      <c r="A1425" t="s">
        <v>491</v>
      </c>
      <c r="B1425" t="s">
        <v>6</v>
      </c>
      <c r="C1425">
        <v>41362</v>
      </c>
      <c r="D1425" s="61">
        <v>6906000000</v>
      </c>
      <c r="E1425" s="61">
        <v>1175000000</v>
      </c>
      <c r="F1425" s="61">
        <v>3236000000</v>
      </c>
      <c r="G1425" s="61">
        <v>1026000000</v>
      </c>
      <c r="H1425" s="61">
        <v>286000000</v>
      </c>
      <c r="I1425" t="s">
        <v>16</v>
      </c>
      <c r="J1425" t="s">
        <v>26</v>
      </c>
      <c r="K1425" s="61">
        <f t="shared" si="66"/>
        <v>5731000000</v>
      </c>
      <c r="L1425" s="61">
        <f t="shared" si="67"/>
        <v>4548000000</v>
      </c>
      <c r="M1425" s="61">
        <f t="shared" si="68"/>
        <v>1183000000</v>
      </c>
    </row>
    <row r="1426" spans="1:13" x14ac:dyDescent="0.25">
      <c r="A1426" t="s">
        <v>491</v>
      </c>
      <c r="B1426" t="s">
        <v>9</v>
      </c>
      <c r="C1426">
        <v>41726</v>
      </c>
      <c r="D1426" s="61">
        <v>4183000000</v>
      </c>
      <c r="E1426" s="61">
        <v>791000000</v>
      </c>
      <c r="F1426" s="61">
        <v>2186000000</v>
      </c>
      <c r="G1426" s="61">
        <v>722000000</v>
      </c>
      <c r="H1426" s="61">
        <v>93000000</v>
      </c>
      <c r="I1426" t="s">
        <v>16</v>
      </c>
      <c r="J1426" t="s">
        <v>26</v>
      </c>
      <c r="K1426" s="61">
        <f t="shared" si="66"/>
        <v>3392000000</v>
      </c>
      <c r="L1426" s="61">
        <f t="shared" si="67"/>
        <v>3001000000</v>
      </c>
      <c r="M1426" s="61">
        <f t="shared" si="68"/>
        <v>391000000</v>
      </c>
    </row>
    <row r="1427" spans="1:13" x14ac:dyDescent="0.25">
      <c r="A1427" t="s">
        <v>491</v>
      </c>
      <c r="B1427" t="s">
        <v>10</v>
      </c>
      <c r="C1427">
        <v>42097</v>
      </c>
      <c r="D1427" s="61">
        <v>3956000000</v>
      </c>
      <c r="E1427" s="61">
        <v>727000000</v>
      </c>
      <c r="F1427" s="61">
        <v>2012000000</v>
      </c>
      <c r="G1427" s="61">
        <v>812000000</v>
      </c>
      <c r="H1427" s="61">
        <v>87000000</v>
      </c>
      <c r="I1427" t="s">
        <v>16</v>
      </c>
      <c r="J1427" t="s">
        <v>26</v>
      </c>
      <c r="K1427" s="61">
        <f t="shared" si="66"/>
        <v>3229000000</v>
      </c>
      <c r="L1427" s="61">
        <f t="shared" si="67"/>
        <v>2911000000</v>
      </c>
      <c r="M1427" s="61">
        <f t="shared" si="68"/>
        <v>318000000</v>
      </c>
    </row>
    <row r="1428" spans="1:13" x14ac:dyDescent="0.25">
      <c r="A1428" t="s">
        <v>491</v>
      </c>
      <c r="B1428" t="s">
        <v>11</v>
      </c>
      <c r="C1428">
        <v>42461</v>
      </c>
      <c r="D1428" s="61">
        <v>3600000000</v>
      </c>
      <c r="E1428" s="61">
        <v>615000000</v>
      </c>
      <c r="F1428" s="61">
        <v>1587000000</v>
      </c>
      <c r="G1428" s="61">
        <v>748000000</v>
      </c>
      <c r="H1428" s="61">
        <v>57000000</v>
      </c>
      <c r="I1428" t="s">
        <v>16</v>
      </c>
      <c r="J1428" t="s">
        <v>26</v>
      </c>
      <c r="K1428" s="61">
        <f t="shared" si="66"/>
        <v>2985000000</v>
      </c>
      <c r="L1428" s="61">
        <f t="shared" si="67"/>
        <v>2392000000</v>
      </c>
      <c r="M1428" s="61">
        <f t="shared" si="68"/>
        <v>593000000</v>
      </c>
    </row>
    <row r="1429" spans="1:13" x14ac:dyDescent="0.25">
      <c r="A1429" t="s">
        <v>492</v>
      </c>
      <c r="B1429" t="s">
        <v>6</v>
      </c>
      <c r="C1429">
        <v>41454</v>
      </c>
      <c r="D1429" s="61">
        <v>44411233000</v>
      </c>
      <c r="E1429" s="61">
        <v>36414626000</v>
      </c>
      <c r="F1429" s="61">
        <v>6338129000</v>
      </c>
      <c r="G1429" s="61">
        <v>0</v>
      </c>
      <c r="H1429" s="61">
        <v>0</v>
      </c>
      <c r="I1429" t="s">
        <v>30</v>
      </c>
      <c r="J1429" t="s">
        <v>493</v>
      </c>
      <c r="K1429" s="61">
        <f t="shared" si="66"/>
        <v>7996607000</v>
      </c>
      <c r="L1429" s="61">
        <f t="shared" si="67"/>
        <v>6338129000</v>
      </c>
      <c r="M1429" s="61">
        <f t="shared" si="68"/>
        <v>1658478000</v>
      </c>
    </row>
    <row r="1430" spans="1:13" x14ac:dyDescent="0.25">
      <c r="A1430" t="s">
        <v>492</v>
      </c>
      <c r="B1430" t="s">
        <v>9</v>
      </c>
      <c r="C1430">
        <v>41818</v>
      </c>
      <c r="D1430" s="61">
        <v>46516712000</v>
      </c>
      <c r="E1430" s="61">
        <v>38335677000</v>
      </c>
      <c r="F1430" s="61">
        <v>0</v>
      </c>
      <c r="G1430" s="61">
        <v>0</v>
      </c>
      <c r="H1430" s="61">
        <v>0</v>
      </c>
      <c r="I1430" t="s">
        <v>30</v>
      </c>
      <c r="J1430" t="s">
        <v>493</v>
      </c>
      <c r="K1430" s="61">
        <f t="shared" si="66"/>
        <v>8181035000</v>
      </c>
      <c r="L1430" s="61">
        <f t="shared" si="67"/>
        <v>0</v>
      </c>
      <c r="M1430" s="61">
        <f t="shared" si="68"/>
        <v>8181035000</v>
      </c>
    </row>
    <row r="1431" spans="1:13" x14ac:dyDescent="0.25">
      <c r="A1431" t="s">
        <v>492</v>
      </c>
      <c r="B1431" t="s">
        <v>10</v>
      </c>
      <c r="C1431">
        <v>42182</v>
      </c>
      <c r="D1431" s="61">
        <v>48680752000</v>
      </c>
      <c r="E1431" s="61">
        <v>40129236000</v>
      </c>
      <c r="F1431" s="61">
        <v>0</v>
      </c>
      <c r="G1431" s="61">
        <v>0</v>
      </c>
      <c r="H1431" s="61">
        <v>0</v>
      </c>
      <c r="I1431" t="s">
        <v>30</v>
      </c>
      <c r="J1431" t="s">
        <v>493</v>
      </c>
      <c r="K1431" s="61">
        <f t="shared" si="66"/>
        <v>8551516000</v>
      </c>
      <c r="L1431" s="61">
        <f t="shared" si="67"/>
        <v>0</v>
      </c>
      <c r="M1431" s="61">
        <f t="shared" si="68"/>
        <v>8551516000</v>
      </c>
    </row>
    <row r="1432" spans="1:13" x14ac:dyDescent="0.25">
      <c r="A1432" t="s">
        <v>492</v>
      </c>
      <c r="B1432" t="s">
        <v>11</v>
      </c>
      <c r="C1432">
        <v>42553</v>
      </c>
      <c r="D1432" s="61">
        <v>50366919000</v>
      </c>
      <c r="E1432" s="61">
        <v>41326447000</v>
      </c>
      <c r="F1432" s="61">
        <v>0</v>
      </c>
      <c r="G1432" s="61">
        <v>0</v>
      </c>
      <c r="H1432" s="61">
        <v>0</v>
      </c>
      <c r="I1432" t="s">
        <v>30</v>
      </c>
      <c r="J1432" t="s">
        <v>493</v>
      </c>
      <c r="K1432" s="61">
        <f t="shared" si="66"/>
        <v>9040472000</v>
      </c>
      <c r="L1432" s="61">
        <f t="shared" si="67"/>
        <v>0</v>
      </c>
      <c r="M1432" s="61">
        <f t="shared" si="68"/>
        <v>9040472000</v>
      </c>
    </row>
    <row r="1433" spans="1:13" x14ac:dyDescent="0.25">
      <c r="A1433" t="s">
        <v>494</v>
      </c>
      <c r="B1433" t="s">
        <v>6</v>
      </c>
      <c r="C1433">
        <v>41274</v>
      </c>
      <c r="D1433" s="61">
        <v>127434000000</v>
      </c>
      <c r="E1433" s="61">
        <v>55228000000</v>
      </c>
      <c r="F1433" s="61">
        <v>41066000000</v>
      </c>
      <c r="G1433" s="61">
        <v>0</v>
      </c>
      <c r="H1433" s="61">
        <v>18143000000</v>
      </c>
      <c r="I1433" t="s">
        <v>176</v>
      </c>
      <c r="J1433" t="s">
        <v>177</v>
      </c>
      <c r="K1433" s="61">
        <f t="shared" si="66"/>
        <v>72206000000</v>
      </c>
      <c r="L1433" s="61">
        <f t="shared" si="67"/>
        <v>59209000000</v>
      </c>
      <c r="M1433" s="61">
        <f t="shared" si="68"/>
        <v>12997000000</v>
      </c>
    </row>
    <row r="1434" spans="1:13" x14ac:dyDescent="0.25">
      <c r="A1434" t="s">
        <v>494</v>
      </c>
      <c r="B1434" t="s">
        <v>9</v>
      </c>
      <c r="C1434">
        <v>41639</v>
      </c>
      <c r="D1434" s="61">
        <v>128752000000</v>
      </c>
      <c r="E1434" s="61">
        <v>51191000000</v>
      </c>
      <c r="F1434" s="61">
        <v>28414000000</v>
      </c>
      <c r="G1434" s="61">
        <v>0</v>
      </c>
      <c r="H1434" s="61">
        <v>18395000000</v>
      </c>
      <c r="I1434" t="s">
        <v>176</v>
      </c>
      <c r="J1434" t="s">
        <v>177</v>
      </c>
      <c r="K1434" s="61">
        <f t="shared" si="66"/>
        <v>77561000000</v>
      </c>
      <c r="L1434" s="61">
        <f t="shared" si="67"/>
        <v>46809000000</v>
      </c>
      <c r="M1434" s="61">
        <f t="shared" si="68"/>
        <v>30752000000</v>
      </c>
    </row>
    <row r="1435" spans="1:13" x14ac:dyDescent="0.25">
      <c r="A1435" t="s">
        <v>494</v>
      </c>
      <c r="B1435" t="s">
        <v>10</v>
      </c>
      <c r="C1435">
        <v>42004</v>
      </c>
      <c r="D1435" s="61">
        <v>132447000000</v>
      </c>
      <c r="E1435" s="61">
        <v>60145000000</v>
      </c>
      <c r="F1435" s="61">
        <v>41817000000</v>
      </c>
      <c r="G1435" s="61">
        <v>0</v>
      </c>
      <c r="H1435" s="61">
        <v>18273000000</v>
      </c>
      <c r="I1435" t="s">
        <v>176</v>
      </c>
      <c r="J1435" t="s">
        <v>177</v>
      </c>
      <c r="K1435" s="61">
        <f t="shared" si="66"/>
        <v>72302000000</v>
      </c>
      <c r="L1435" s="61">
        <f t="shared" si="67"/>
        <v>60090000000</v>
      </c>
      <c r="M1435" s="61">
        <f t="shared" si="68"/>
        <v>12212000000</v>
      </c>
    </row>
    <row r="1436" spans="1:13" x14ac:dyDescent="0.25">
      <c r="A1436" t="s">
        <v>494</v>
      </c>
      <c r="B1436" t="s">
        <v>11</v>
      </c>
      <c r="C1436">
        <v>42369</v>
      </c>
      <c r="D1436" s="61">
        <v>146801000000</v>
      </c>
      <c r="E1436" s="61">
        <v>67046000000</v>
      </c>
      <c r="F1436" s="61">
        <v>32954000000</v>
      </c>
      <c r="G1436" s="61">
        <v>0</v>
      </c>
      <c r="H1436" s="61">
        <v>22016000000</v>
      </c>
      <c r="I1436" t="s">
        <v>176</v>
      </c>
      <c r="J1436" t="s">
        <v>177</v>
      </c>
      <c r="K1436" s="61">
        <f t="shared" si="66"/>
        <v>79755000000</v>
      </c>
      <c r="L1436" s="61">
        <f t="shared" si="67"/>
        <v>54970000000</v>
      </c>
      <c r="M1436" s="61">
        <f t="shared" si="68"/>
        <v>24785000000</v>
      </c>
    </row>
    <row r="1437" spans="1:13" x14ac:dyDescent="0.25">
      <c r="A1437" t="s">
        <v>495</v>
      </c>
      <c r="B1437" t="s">
        <v>6</v>
      </c>
      <c r="C1437">
        <v>41639</v>
      </c>
      <c r="D1437" s="61">
        <v>4206100000</v>
      </c>
      <c r="E1437" s="61">
        <v>2545600000</v>
      </c>
      <c r="F1437" s="61">
        <v>1193800000</v>
      </c>
      <c r="G1437" s="61">
        <v>0</v>
      </c>
      <c r="H1437" s="61">
        <v>0</v>
      </c>
      <c r="I1437" t="s">
        <v>30</v>
      </c>
      <c r="J1437" t="s">
        <v>496</v>
      </c>
      <c r="K1437" s="61">
        <f t="shared" si="66"/>
        <v>1660500000</v>
      </c>
      <c r="L1437" s="61">
        <f t="shared" si="67"/>
        <v>1193800000</v>
      </c>
      <c r="M1437" s="61">
        <f t="shared" si="68"/>
        <v>466700000</v>
      </c>
    </row>
    <row r="1438" spans="1:13" x14ac:dyDescent="0.25">
      <c r="A1438" t="s">
        <v>495</v>
      </c>
      <c r="B1438" t="s">
        <v>9</v>
      </c>
      <c r="C1438">
        <v>42004</v>
      </c>
      <c r="D1438" s="61">
        <v>4146300000</v>
      </c>
      <c r="E1438" s="61">
        <v>2493300000</v>
      </c>
      <c r="F1438" s="61">
        <v>1163900000</v>
      </c>
      <c r="G1438" s="61">
        <v>0</v>
      </c>
      <c r="H1438" s="61">
        <v>0</v>
      </c>
      <c r="I1438" t="s">
        <v>30</v>
      </c>
      <c r="J1438" t="s">
        <v>496</v>
      </c>
      <c r="K1438" s="61">
        <f t="shared" si="66"/>
        <v>1653000000</v>
      </c>
      <c r="L1438" s="61">
        <f t="shared" si="67"/>
        <v>1163900000</v>
      </c>
      <c r="M1438" s="61">
        <f t="shared" si="68"/>
        <v>489100000</v>
      </c>
    </row>
    <row r="1439" spans="1:13" x14ac:dyDescent="0.25">
      <c r="A1439" t="s">
        <v>495</v>
      </c>
      <c r="B1439" t="s">
        <v>10</v>
      </c>
      <c r="C1439">
        <v>42369</v>
      </c>
      <c r="D1439" s="61">
        <v>3567500000</v>
      </c>
      <c r="E1439" s="61">
        <v>2163500000</v>
      </c>
      <c r="F1439" s="61">
        <v>1051800000</v>
      </c>
      <c r="G1439" s="61">
        <v>0</v>
      </c>
      <c r="H1439" s="61">
        <v>0</v>
      </c>
      <c r="I1439" t="s">
        <v>30</v>
      </c>
      <c r="J1439" t="s">
        <v>496</v>
      </c>
      <c r="K1439" s="61">
        <f t="shared" si="66"/>
        <v>1404000000</v>
      </c>
      <c r="L1439" s="61">
        <f t="shared" si="67"/>
        <v>1051800000</v>
      </c>
      <c r="M1439" s="61">
        <f t="shared" si="68"/>
        <v>352200000</v>
      </c>
    </row>
    <row r="1440" spans="1:13" x14ac:dyDescent="0.25">
      <c r="A1440" t="s">
        <v>495</v>
      </c>
      <c r="B1440" t="s">
        <v>11</v>
      </c>
      <c r="C1440">
        <v>42735</v>
      </c>
      <c r="D1440" s="61">
        <v>4885000000</v>
      </c>
      <c r="E1440" s="61">
        <v>3003100000</v>
      </c>
      <c r="F1440" s="61">
        <v>1597300000</v>
      </c>
      <c r="G1440" s="61">
        <v>0</v>
      </c>
      <c r="H1440" s="61">
        <v>0</v>
      </c>
      <c r="I1440" t="s">
        <v>30</v>
      </c>
      <c r="J1440" t="s">
        <v>496</v>
      </c>
      <c r="K1440" s="61">
        <f t="shared" si="66"/>
        <v>1881900000</v>
      </c>
      <c r="L1440" s="61">
        <f t="shared" si="67"/>
        <v>1597300000</v>
      </c>
      <c r="M1440" s="61">
        <f t="shared" si="68"/>
        <v>284600000</v>
      </c>
    </row>
    <row r="1441" spans="1:13" x14ac:dyDescent="0.25">
      <c r="A1441" t="s">
        <v>497</v>
      </c>
      <c r="B1441" t="s">
        <v>6</v>
      </c>
      <c r="C1441">
        <v>41274</v>
      </c>
      <c r="D1441" s="61">
        <v>2665000000</v>
      </c>
      <c r="E1441" s="61">
        <v>1174000000</v>
      </c>
      <c r="F1441" s="61">
        <v>728000000</v>
      </c>
      <c r="G1441" s="61">
        <v>183000000</v>
      </c>
      <c r="H1441" s="61">
        <v>0</v>
      </c>
      <c r="I1441" t="s">
        <v>16</v>
      </c>
      <c r="J1441" t="s">
        <v>26</v>
      </c>
      <c r="K1441" s="61">
        <f t="shared" si="66"/>
        <v>1491000000</v>
      </c>
      <c r="L1441" s="61">
        <f t="shared" si="67"/>
        <v>911000000</v>
      </c>
      <c r="M1441" s="61">
        <f t="shared" si="68"/>
        <v>580000000</v>
      </c>
    </row>
    <row r="1442" spans="1:13" x14ac:dyDescent="0.25">
      <c r="A1442" t="s">
        <v>497</v>
      </c>
      <c r="B1442" t="s">
        <v>9</v>
      </c>
      <c r="C1442">
        <v>41639</v>
      </c>
      <c r="D1442" s="61">
        <v>2692000000</v>
      </c>
      <c r="E1442" s="61">
        <v>1219000000</v>
      </c>
      <c r="F1442" s="61">
        <v>757000000</v>
      </c>
      <c r="G1442" s="61">
        <v>184000000</v>
      </c>
      <c r="H1442" s="61">
        <v>0</v>
      </c>
      <c r="I1442" t="s">
        <v>16</v>
      </c>
      <c r="J1442" t="s">
        <v>26</v>
      </c>
      <c r="K1442" s="61">
        <f t="shared" si="66"/>
        <v>1473000000</v>
      </c>
      <c r="L1442" s="61">
        <f t="shared" si="67"/>
        <v>941000000</v>
      </c>
      <c r="M1442" s="61">
        <f t="shared" si="68"/>
        <v>532000000</v>
      </c>
    </row>
    <row r="1443" spans="1:13" x14ac:dyDescent="0.25">
      <c r="A1443" t="s">
        <v>497</v>
      </c>
      <c r="B1443" t="s">
        <v>10</v>
      </c>
      <c r="C1443">
        <v>42004</v>
      </c>
      <c r="D1443" s="61">
        <v>2732000000</v>
      </c>
      <c r="E1443" s="61">
        <v>1253000000</v>
      </c>
      <c r="F1443" s="61">
        <v>770000000</v>
      </c>
      <c r="G1443" s="61">
        <v>206000000</v>
      </c>
      <c r="H1443" s="61">
        <v>0</v>
      </c>
      <c r="I1443" t="s">
        <v>16</v>
      </c>
      <c r="J1443" t="s">
        <v>26</v>
      </c>
      <c r="K1443" s="61">
        <f t="shared" si="66"/>
        <v>1479000000</v>
      </c>
      <c r="L1443" s="61">
        <f t="shared" si="67"/>
        <v>976000000</v>
      </c>
      <c r="M1443" s="61">
        <f t="shared" si="68"/>
        <v>503000000</v>
      </c>
    </row>
    <row r="1444" spans="1:13" x14ac:dyDescent="0.25">
      <c r="A1444" t="s">
        <v>497</v>
      </c>
      <c r="B1444" t="s">
        <v>11</v>
      </c>
      <c r="C1444">
        <v>42369</v>
      </c>
      <c r="D1444" s="61">
        <v>2530000000</v>
      </c>
      <c r="E1444" s="61">
        <v>1254000000</v>
      </c>
      <c r="F1444" s="61">
        <v>765000000</v>
      </c>
      <c r="G1444" s="61">
        <v>228000000</v>
      </c>
      <c r="H1444" s="61">
        <v>0</v>
      </c>
      <c r="I1444" t="s">
        <v>16</v>
      </c>
      <c r="J1444" t="s">
        <v>26</v>
      </c>
      <c r="K1444" s="61">
        <f t="shared" si="66"/>
        <v>1276000000</v>
      </c>
      <c r="L1444" s="61">
        <f t="shared" si="67"/>
        <v>993000000</v>
      </c>
      <c r="M1444" s="61">
        <f t="shared" si="68"/>
        <v>283000000</v>
      </c>
    </row>
    <row r="1445" spans="1:13" x14ac:dyDescent="0.25">
      <c r="A1445" t="s">
        <v>498</v>
      </c>
      <c r="B1445" t="s">
        <v>6</v>
      </c>
      <c r="C1445">
        <v>41547</v>
      </c>
      <c r="D1445" s="61">
        <v>1924400000</v>
      </c>
      <c r="E1445" s="61">
        <v>874838000</v>
      </c>
      <c r="F1445" s="61">
        <v>254468000</v>
      </c>
      <c r="G1445" s="61">
        <v>0</v>
      </c>
      <c r="H1445" s="61">
        <v>45639000</v>
      </c>
      <c r="I1445" t="s">
        <v>7</v>
      </c>
      <c r="J1445" t="s">
        <v>85</v>
      </c>
      <c r="K1445" s="61">
        <f t="shared" si="66"/>
        <v>1049562000</v>
      </c>
      <c r="L1445" s="61">
        <f t="shared" si="67"/>
        <v>300107000</v>
      </c>
      <c r="M1445" s="61">
        <f t="shared" si="68"/>
        <v>749455000</v>
      </c>
    </row>
    <row r="1446" spans="1:13" x14ac:dyDescent="0.25">
      <c r="A1446" t="s">
        <v>498</v>
      </c>
      <c r="B1446" t="s">
        <v>9</v>
      </c>
      <c r="C1446">
        <v>41912</v>
      </c>
      <c r="D1446" s="61">
        <v>2372906000</v>
      </c>
      <c r="E1446" s="61">
        <v>1105032000</v>
      </c>
      <c r="F1446" s="61">
        <v>276446000</v>
      </c>
      <c r="G1446" s="61">
        <v>0</v>
      </c>
      <c r="H1446" s="61">
        <v>63608000</v>
      </c>
      <c r="I1446" t="s">
        <v>7</v>
      </c>
      <c r="J1446" t="s">
        <v>85</v>
      </c>
      <c r="K1446" s="61">
        <f t="shared" si="66"/>
        <v>1267874000</v>
      </c>
      <c r="L1446" s="61">
        <f t="shared" si="67"/>
        <v>340054000</v>
      </c>
      <c r="M1446" s="61">
        <f t="shared" si="68"/>
        <v>927820000</v>
      </c>
    </row>
    <row r="1447" spans="1:13" x14ac:dyDescent="0.25">
      <c r="A1447" t="s">
        <v>498</v>
      </c>
      <c r="B1447" t="s">
        <v>10</v>
      </c>
      <c r="C1447">
        <v>42277</v>
      </c>
      <c r="D1447" s="61">
        <v>2707115000</v>
      </c>
      <c r="E1447" s="61">
        <v>1257270000</v>
      </c>
      <c r="F1447" s="61">
        <v>321624000</v>
      </c>
      <c r="G1447" s="61">
        <v>0</v>
      </c>
      <c r="H1447" s="61">
        <v>54219000</v>
      </c>
      <c r="I1447" t="s">
        <v>7</v>
      </c>
      <c r="J1447" t="s">
        <v>85</v>
      </c>
      <c r="K1447" s="61">
        <f t="shared" si="66"/>
        <v>1449845000</v>
      </c>
      <c r="L1447" s="61">
        <f t="shared" si="67"/>
        <v>375843000</v>
      </c>
      <c r="M1447" s="61">
        <f t="shared" si="68"/>
        <v>1074002000</v>
      </c>
    </row>
    <row r="1448" spans="1:13" x14ac:dyDescent="0.25">
      <c r="A1448" t="s">
        <v>498</v>
      </c>
      <c r="B1448" t="s">
        <v>11</v>
      </c>
      <c r="C1448">
        <v>42643</v>
      </c>
      <c r="D1448" s="61">
        <v>3171411000</v>
      </c>
      <c r="E1448" s="61">
        <v>1443348000</v>
      </c>
      <c r="F1448" s="61">
        <v>382858000</v>
      </c>
      <c r="G1448" s="61">
        <v>0</v>
      </c>
      <c r="H1448" s="61">
        <v>77445000</v>
      </c>
      <c r="I1448" t="s">
        <v>7</v>
      </c>
      <c r="J1448" t="s">
        <v>85</v>
      </c>
      <c r="K1448" s="61">
        <f t="shared" si="66"/>
        <v>1728063000</v>
      </c>
      <c r="L1448" s="61">
        <f t="shared" si="67"/>
        <v>460303000</v>
      </c>
      <c r="M1448" s="61">
        <f t="shared" si="68"/>
        <v>1267760000</v>
      </c>
    </row>
    <row r="1449" spans="1:13" x14ac:dyDescent="0.25">
      <c r="A1449" t="s">
        <v>499</v>
      </c>
      <c r="B1449" t="s">
        <v>6</v>
      </c>
      <c r="C1449">
        <v>41544</v>
      </c>
      <c r="D1449" s="61">
        <v>11390000000</v>
      </c>
      <c r="E1449" s="61">
        <v>7739000000</v>
      </c>
      <c r="F1449" s="61">
        <v>1440000000</v>
      </c>
      <c r="G1449" s="61">
        <v>590000000</v>
      </c>
      <c r="H1449" s="61">
        <v>0</v>
      </c>
      <c r="I1449" t="s">
        <v>16</v>
      </c>
      <c r="J1449" t="s">
        <v>500</v>
      </c>
      <c r="K1449" s="61">
        <f t="shared" si="66"/>
        <v>3651000000</v>
      </c>
      <c r="L1449" s="61">
        <f t="shared" si="67"/>
        <v>2030000000</v>
      </c>
      <c r="M1449" s="61">
        <f t="shared" si="68"/>
        <v>1621000000</v>
      </c>
    </row>
    <row r="1450" spans="1:13" x14ac:dyDescent="0.25">
      <c r="A1450" t="s">
        <v>499</v>
      </c>
      <c r="B1450" t="s">
        <v>9</v>
      </c>
      <c r="C1450">
        <v>41908</v>
      </c>
      <c r="D1450" s="61">
        <v>11973000000</v>
      </c>
      <c r="E1450" s="61">
        <v>8001000000</v>
      </c>
      <c r="F1450" s="61">
        <v>1534000000</v>
      </c>
      <c r="G1450" s="61">
        <v>583000000</v>
      </c>
      <c r="H1450" s="61">
        <v>0</v>
      </c>
      <c r="I1450" t="s">
        <v>16</v>
      </c>
      <c r="J1450" t="s">
        <v>500</v>
      </c>
      <c r="K1450" s="61">
        <f t="shared" si="66"/>
        <v>3972000000</v>
      </c>
      <c r="L1450" s="61">
        <f t="shared" si="67"/>
        <v>2117000000</v>
      </c>
      <c r="M1450" s="61">
        <f t="shared" si="68"/>
        <v>1855000000</v>
      </c>
    </row>
    <row r="1451" spans="1:13" x14ac:dyDescent="0.25">
      <c r="A1451" t="s">
        <v>499</v>
      </c>
      <c r="B1451" t="s">
        <v>10</v>
      </c>
      <c r="C1451">
        <v>42272</v>
      </c>
      <c r="D1451" s="61">
        <v>12233000000</v>
      </c>
      <c r="E1451" s="61">
        <v>8146000000</v>
      </c>
      <c r="F1451" s="61">
        <v>1504000000</v>
      </c>
      <c r="G1451" s="61">
        <v>627000000</v>
      </c>
      <c r="H1451" s="61">
        <v>0</v>
      </c>
      <c r="I1451" t="s">
        <v>16</v>
      </c>
      <c r="J1451" t="s">
        <v>500</v>
      </c>
      <c r="K1451" s="61">
        <f t="shared" si="66"/>
        <v>4087000000</v>
      </c>
      <c r="L1451" s="61">
        <f t="shared" si="67"/>
        <v>2131000000</v>
      </c>
      <c r="M1451" s="61">
        <f t="shared" si="68"/>
        <v>1956000000</v>
      </c>
    </row>
    <row r="1452" spans="1:13" x14ac:dyDescent="0.25">
      <c r="A1452" t="s">
        <v>499</v>
      </c>
      <c r="B1452" t="s">
        <v>11</v>
      </c>
      <c r="C1452">
        <v>42643</v>
      </c>
      <c r="D1452" s="61">
        <v>12238000000</v>
      </c>
      <c r="E1452" s="61">
        <v>8205000000</v>
      </c>
      <c r="F1452" s="61">
        <v>1463000000</v>
      </c>
      <c r="G1452" s="61">
        <v>644000000</v>
      </c>
      <c r="H1452" s="61">
        <v>0</v>
      </c>
      <c r="I1452" t="s">
        <v>16</v>
      </c>
      <c r="J1452" t="s">
        <v>500</v>
      </c>
      <c r="K1452" s="61">
        <f t="shared" si="66"/>
        <v>4033000000</v>
      </c>
      <c r="L1452" s="61">
        <f t="shared" si="67"/>
        <v>2107000000</v>
      </c>
      <c r="M1452" s="61">
        <f t="shared" si="68"/>
        <v>1926000000</v>
      </c>
    </row>
    <row r="1453" spans="1:13" x14ac:dyDescent="0.25">
      <c r="A1453" t="s">
        <v>501</v>
      </c>
      <c r="B1453" t="s">
        <v>6</v>
      </c>
      <c r="C1453">
        <v>41273</v>
      </c>
      <c r="D1453" s="61">
        <v>5353197000</v>
      </c>
      <c r="E1453" s="61">
        <v>2943847000</v>
      </c>
      <c r="F1453" s="61">
        <v>1303427000</v>
      </c>
      <c r="G1453" s="61">
        <v>0</v>
      </c>
      <c r="H1453" s="61">
        <v>194039000</v>
      </c>
      <c r="I1453" t="s">
        <v>13</v>
      </c>
      <c r="J1453" t="s">
        <v>502</v>
      </c>
      <c r="K1453" s="61">
        <f t="shared" si="66"/>
        <v>2409350000</v>
      </c>
      <c r="L1453" s="61">
        <f t="shared" si="67"/>
        <v>1497466000</v>
      </c>
      <c r="M1453" s="61">
        <f t="shared" si="68"/>
        <v>911884000</v>
      </c>
    </row>
    <row r="1454" spans="1:13" x14ac:dyDescent="0.25">
      <c r="A1454" t="s">
        <v>501</v>
      </c>
      <c r="B1454" t="s">
        <v>9</v>
      </c>
      <c r="C1454">
        <v>41637</v>
      </c>
      <c r="D1454" s="61">
        <v>1603123000</v>
      </c>
      <c r="E1454" s="61">
        <v>662769000</v>
      </c>
      <c r="F1454" s="61">
        <v>531932000</v>
      </c>
      <c r="G1454" s="61">
        <v>0</v>
      </c>
      <c r="H1454" s="61">
        <v>74833000</v>
      </c>
      <c r="I1454" t="s">
        <v>13</v>
      </c>
      <c r="J1454" t="s">
        <v>502</v>
      </c>
      <c r="K1454" s="61">
        <f t="shared" si="66"/>
        <v>940354000</v>
      </c>
      <c r="L1454" s="61">
        <f t="shared" si="67"/>
        <v>606765000</v>
      </c>
      <c r="M1454" s="61">
        <f t="shared" si="68"/>
        <v>333589000</v>
      </c>
    </row>
    <row r="1455" spans="1:13" x14ac:dyDescent="0.25">
      <c r="A1455" t="s">
        <v>501</v>
      </c>
      <c r="B1455" t="s">
        <v>10</v>
      </c>
      <c r="C1455">
        <v>42004</v>
      </c>
      <c r="D1455" s="61">
        <v>2626141000</v>
      </c>
      <c r="E1455" s="61">
        <v>954990000</v>
      </c>
      <c r="F1455" s="61">
        <v>766854000</v>
      </c>
      <c r="G1455" s="61">
        <v>0</v>
      </c>
      <c r="H1455" s="61">
        <v>151837000</v>
      </c>
      <c r="I1455" t="s">
        <v>13</v>
      </c>
      <c r="J1455" t="s">
        <v>502</v>
      </c>
      <c r="K1455" s="61">
        <f t="shared" si="66"/>
        <v>1671151000</v>
      </c>
      <c r="L1455" s="61">
        <f t="shared" si="67"/>
        <v>918691000</v>
      </c>
      <c r="M1455" s="61">
        <f t="shared" si="68"/>
        <v>752460000</v>
      </c>
    </row>
    <row r="1456" spans="1:13" x14ac:dyDescent="0.25">
      <c r="A1456" t="s">
        <v>501</v>
      </c>
      <c r="B1456" t="s">
        <v>11</v>
      </c>
      <c r="C1456">
        <v>42369</v>
      </c>
      <c r="D1456" s="61">
        <v>3050945000</v>
      </c>
      <c r="E1456" s="61">
        <v>923336000</v>
      </c>
      <c r="F1456" s="61">
        <v>1068221000</v>
      </c>
      <c r="G1456" s="61">
        <v>0</v>
      </c>
      <c r="H1456" s="61">
        <v>205087000</v>
      </c>
      <c r="I1456" t="s">
        <v>13</v>
      </c>
      <c r="J1456" t="s">
        <v>502</v>
      </c>
      <c r="K1456" s="61">
        <f t="shared" si="66"/>
        <v>2127609000</v>
      </c>
      <c r="L1456" s="61">
        <f t="shared" si="67"/>
        <v>1273308000</v>
      </c>
      <c r="M1456" s="61">
        <f t="shared" si="68"/>
        <v>854301000</v>
      </c>
    </row>
    <row r="1457" spans="1:13" x14ac:dyDescent="0.25">
      <c r="A1457" t="s">
        <v>503</v>
      </c>
      <c r="B1457" t="s">
        <v>6</v>
      </c>
      <c r="C1457">
        <v>41307</v>
      </c>
      <c r="D1457" s="61">
        <v>73301000000</v>
      </c>
      <c r="E1457" s="61">
        <v>50568000000</v>
      </c>
      <c r="F1457" s="61">
        <v>15110000000</v>
      </c>
      <c r="G1457" s="61">
        <v>0</v>
      </c>
      <c r="H1457" s="61">
        <v>2044000000</v>
      </c>
      <c r="I1457" t="s">
        <v>13</v>
      </c>
      <c r="J1457" t="s">
        <v>191</v>
      </c>
      <c r="K1457" s="61">
        <f t="shared" si="66"/>
        <v>22733000000</v>
      </c>
      <c r="L1457" s="61">
        <f t="shared" si="67"/>
        <v>17154000000</v>
      </c>
      <c r="M1457" s="61">
        <f t="shared" si="68"/>
        <v>5579000000</v>
      </c>
    </row>
    <row r="1458" spans="1:13" x14ac:dyDescent="0.25">
      <c r="A1458" t="s">
        <v>503</v>
      </c>
      <c r="B1458" t="s">
        <v>9</v>
      </c>
      <c r="C1458">
        <v>41671</v>
      </c>
      <c r="D1458" s="61">
        <v>71279000000</v>
      </c>
      <c r="E1458" s="61">
        <v>50039000000</v>
      </c>
      <c r="F1458" s="61">
        <v>14465000000</v>
      </c>
      <c r="G1458" s="61">
        <v>0</v>
      </c>
      <c r="H1458" s="61">
        <v>1996000000</v>
      </c>
      <c r="I1458" t="s">
        <v>13</v>
      </c>
      <c r="J1458" t="s">
        <v>191</v>
      </c>
      <c r="K1458" s="61">
        <f t="shared" si="66"/>
        <v>21240000000</v>
      </c>
      <c r="L1458" s="61">
        <f t="shared" si="67"/>
        <v>16461000000</v>
      </c>
      <c r="M1458" s="61">
        <f t="shared" si="68"/>
        <v>4779000000</v>
      </c>
    </row>
    <row r="1459" spans="1:13" x14ac:dyDescent="0.25">
      <c r="A1459" t="s">
        <v>503</v>
      </c>
      <c r="B1459" t="s">
        <v>10</v>
      </c>
      <c r="C1459">
        <v>42035</v>
      </c>
      <c r="D1459" s="61">
        <v>72618000000</v>
      </c>
      <c r="E1459" s="61">
        <v>51278000000</v>
      </c>
      <c r="F1459" s="61">
        <v>14676000000</v>
      </c>
      <c r="G1459" s="61">
        <v>0</v>
      </c>
      <c r="H1459" s="61">
        <v>2129000000</v>
      </c>
      <c r="I1459" t="s">
        <v>13</v>
      </c>
      <c r="J1459" t="s">
        <v>191</v>
      </c>
      <c r="K1459" s="61">
        <f t="shared" si="66"/>
        <v>21340000000</v>
      </c>
      <c r="L1459" s="61">
        <f t="shared" si="67"/>
        <v>16805000000</v>
      </c>
      <c r="M1459" s="61">
        <f t="shared" si="68"/>
        <v>4535000000</v>
      </c>
    </row>
    <row r="1460" spans="1:13" x14ac:dyDescent="0.25">
      <c r="A1460" t="s">
        <v>503</v>
      </c>
      <c r="B1460" t="s">
        <v>11</v>
      </c>
      <c r="C1460">
        <v>42399</v>
      </c>
      <c r="D1460" s="61">
        <v>73785000000</v>
      </c>
      <c r="E1460" s="61">
        <v>51997000000</v>
      </c>
      <c r="F1460" s="61">
        <v>14665000000</v>
      </c>
      <c r="G1460" s="61">
        <v>0</v>
      </c>
      <c r="H1460" s="61">
        <v>2213000000</v>
      </c>
      <c r="I1460" t="s">
        <v>13</v>
      </c>
      <c r="J1460" t="s">
        <v>191</v>
      </c>
      <c r="K1460" s="61">
        <f t="shared" si="66"/>
        <v>21788000000</v>
      </c>
      <c r="L1460" s="61">
        <f t="shared" si="67"/>
        <v>16878000000</v>
      </c>
      <c r="M1460" s="61">
        <f t="shared" si="68"/>
        <v>4910000000</v>
      </c>
    </row>
    <row r="1461" spans="1:13" x14ac:dyDescent="0.25">
      <c r="A1461" t="s">
        <v>504</v>
      </c>
      <c r="B1461" t="s">
        <v>6</v>
      </c>
      <c r="C1461">
        <v>41305</v>
      </c>
      <c r="D1461" s="61">
        <v>3794249000</v>
      </c>
      <c r="E1461" s="61">
        <v>1630965000</v>
      </c>
      <c r="F1461" s="61">
        <v>1466067000</v>
      </c>
      <c r="G1461" s="61">
        <v>0</v>
      </c>
      <c r="H1461" s="61">
        <v>0</v>
      </c>
      <c r="I1461" t="s">
        <v>13</v>
      </c>
      <c r="J1461" t="s">
        <v>283</v>
      </c>
      <c r="K1461" s="61">
        <f t="shared" si="66"/>
        <v>2163284000</v>
      </c>
      <c r="L1461" s="61">
        <f t="shared" si="67"/>
        <v>1466067000</v>
      </c>
      <c r="M1461" s="61">
        <f t="shared" si="68"/>
        <v>697217000</v>
      </c>
    </row>
    <row r="1462" spans="1:13" x14ac:dyDescent="0.25">
      <c r="A1462" t="s">
        <v>504</v>
      </c>
      <c r="B1462" t="s">
        <v>9</v>
      </c>
      <c r="C1462">
        <v>41670</v>
      </c>
      <c r="D1462" s="61">
        <v>4031100000</v>
      </c>
      <c r="E1462" s="61">
        <v>1690700000</v>
      </c>
      <c r="F1462" s="61">
        <v>2036100000</v>
      </c>
      <c r="G1462" s="61">
        <v>0</v>
      </c>
      <c r="H1462" s="61">
        <v>0</v>
      </c>
      <c r="I1462" t="s">
        <v>13</v>
      </c>
      <c r="J1462" t="s">
        <v>283</v>
      </c>
      <c r="K1462" s="61">
        <f t="shared" si="66"/>
        <v>2340400000</v>
      </c>
      <c r="L1462" s="61">
        <f t="shared" si="67"/>
        <v>2036100000</v>
      </c>
      <c r="M1462" s="61">
        <f t="shared" si="68"/>
        <v>304300000</v>
      </c>
    </row>
    <row r="1463" spans="1:13" x14ac:dyDescent="0.25">
      <c r="A1463" t="s">
        <v>504</v>
      </c>
      <c r="B1463" t="s">
        <v>10</v>
      </c>
      <c r="C1463">
        <v>42035</v>
      </c>
      <c r="D1463" s="61">
        <v>4249900000</v>
      </c>
      <c r="E1463" s="61">
        <v>1712700000</v>
      </c>
      <c r="F1463" s="61">
        <v>1645800000</v>
      </c>
      <c r="G1463" s="61">
        <v>0</v>
      </c>
      <c r="H1463" s="61">
        <v>0</v>
      </c>
      <c r="I1463" t="s">
        <v>13</v>
      </c>
      <c r="J1463" t="s">
        <v>283</v>
      </c>
      <c r="K1463" s="61">
        <f t="shared" si="66"/>
        <v>2537200000</v>
      </c>
      <c r="L1463" s="61">
        <f t="shared" si="67"/>
        <v>1645800000</v>
      </c>
      <c r="M1463" s="61">
        <f t="shared" si="68"/>
        <v>891400000</v>
      </c>
    </row>
    <row r="1464" spans="1:13" x14ac:dyDescent="0.25">
      <c r="A1464" t="s">
        <v>504</v>
      </c>
      <c r="B1464" t="s">
        <v>11</v>
      </c>
      <c r="C1464">
        <v>42400</v>
      </c>
      <c r="D1464" s="61">
        <v>4104900000</v>
      </c>
      <c r="E1464" s="61">
        <v>1613600000</v>
      </c>
      <c r="F1464" s="61">
        <v>1731200000</v>
      </c>
      <c r="G1464" s="61">
        <v>0</v>
      </c>
      <c r="H1464" s="61">
        <v>0</v>
      </c>
      <c r="I1464" t="s">
        <v>13</v>
      </c>
      <c r="J1464" t="s">
        <v>283</v>
      </c>
      <c r="K1464" s="61">
        <f t="shared" si="66"/>
        <v>2491300000</v>
      </c>
      <c r="L1464" s="61">
        <f t="shared" si="67"/>
        <v>1731200000</v>
      </c>
      <c r="M1464" s="61">
        <f t="shared" si="68"/>
        <v>760100000</v>
      </c>
    </row>
    <row r="1465" spans="1:13" x14ac:dyDescent="0.25">
      <c r="A1465" t="s">
        <v>505</v>
      </c>
      <c r="B1465" t="s">
        <v>6</v>
      </c>
      <c r="C1465">
        <v>41307</v>
      </c>
      <c r="D1465" s="61">
        <v>25878372000</v>
      </c>
      <c r="E1465" s="61">
        <v>18521400000</v>
      </c>
      <c r="F1465" s="61">
        <v>4250446000</v>
      </c>
      <c r="G1465" s="61">
        <v>0</v>
      </c>
      <c r="H1465" s="61">
        <v>0</v>
      </c>
      <c r="I1465" t="s">
        <v>13</v>
      </c>
      <c r="J1465" t="s">
        <v>251</v>
      </c>
      <c r="K1465" s="61">
        <f t="shared" si="66"/>
        <v>7356972000</v>
      </c>
      <c r="L1465" s="61">
        <f t="shared" si="67"/>
        <v>4250446000</v>
      </c>
      <c r="M1465" s="61">
        <f t="shared" si="68"/>
        <v>3106526000</v>
      </c>
    </row>
    <row r="1466" spans="1:13" x14ac:dyDescent="0.25">
      <c r="A1466" t="s">
        <v>505</v>
      </c>
      <c r="B1466" t="s">
        <v>9</v>
      </c>
      <c r="C1466">
        <v>41671</v>
      </c>
      <c r="D1466" s="61">
        <v>27422696000</v>
      </c>
      <c r="E1466" s="61">
        <v>19605037000</v>
      </c>
      <c r="F1466" s="61">
        <v>4467089000</v>
      </c>
      <c r="G1466" s="61">
        <v>0</v>
      </c>
      <c r="H1466" s="61">
        <v>0</v>
      </c>
      <c r="I1466" t="s">
        <v>13</v>
      </c>
      <c r="J1466" t="s">
        <v>251</v>
      </c>
      <c r="K1466" s="61">
        <f t="shared" si="66"/>
        <v>7817659000</v>
      </c>
      <c r="L1466" s="61">
        <f t="shared" si="67"/>
        <v>4467089000</v>
      </c>
      <c r="M1466" s="61">
        <f t="shared" si="68"/>
        <v>3350570000</v>
      </c>
    </row>
    <row r="1467" spans="1:13" x14ac:dyDescent="0.25">
      <c r="A1467" t="s">
        <v>505</v>
      </c>
      <c r="B1467" t="s">
        <v>10</v>
      </c>
      <c r="C1467">
        <v>42035</v>
      </c>
      <c r="D1467" s="61">
        <v>29078407000</v>
      </c>
      <c r="E1467" s="61">
        <v>20776522000</v>
      </c>
      <c r="F1467" s="61">
        <v>4695384000</v>
      </c>
      <c r="G1467" s="61">
        <v>0</v>
      </c>
      <c r="H1467" s="61">
        <v>0</v>
      </c>
      <c r="I1467" t="s">
        <v>13</v>
      </c>
      <c r="J1467" t="s">
        <v>251</v>
      </c>
      <c r="K1467" s="61">
        <f t="shared" si="66"/>
        <v>8301885000</v>
      </c>
      <c r="L1467" s="61">
        <f t="shared" si="67"/>
        <v>4695384000</v>
      </c>
      <c r="M1467" s="61">
        <f t="shared" si="68"/>
        <v>3606501000</v>
      </c>
    </row>
    <row r="1468" spans="1:13" x14ac:dyDescent="0.25">
      <c r="A1468" t="s">
        <v>505</v>
      </c>
      <c r="B1468" t="s">
        <v>11</v>
      </c>
      <c r="C1468">
        <v>42399</v>
      </c>
      <c r="D1468" s="61">
        <v>30944938000</v>
      </c>
      <c r="E1468" s="61">
        <v>22034523000</v>
      </c>
      <c r="F1468" s="61">
        <v>5205715000</v>
      </c>
      <c r="G1468" s="61">
        <v>0</v>
      </c>
      <c r="H1468" s="61">
        <v>0</v>
      </c>
      <c r="I1468" t="s">
        <v>13</v>
      </c>
      <c r="J1468" t="s">
        <v>251</v>
      </c>
      <c r="K1468" s="61">
        <f t="shared" si="66"/>
        <v>8910415000</v>
      </c>
      <c r="L1468" s="61">
        <f t="shared" si="67"/>
        <v>5205715000</v>
      </c>
      <c r="M1468" s="61">
        <f t="shared" si="68"/>
        <v>3704700000</v>
      </c>
    </row>
    <row r="1469" spans="1:13" x14ac:dyDescent="0.25">
      <c r="A1469" t="s">
        <v>506</v>
      </c>
      <c r="B1469" t="s">
        <v>6</v>
      </c>
      <c r="C1469">
        <v>41274</v>
      </c>
      <c r="D1469" s="61">
        <v>3589516000</v>
      </c>
      <c r="E1469" s="61">
        <v>1955682000</v>
      </c>
      <c r="F1469" s="61">
        <v>0</v>
      </c>
      <c r="G1469" s="61">
        <v>0</v>
      </c>
      <c r="H1469" s="61">
        <v>787329000</v>
      </c>
      <c r="I1469" t="s">
        <v>41</v>
      </c>
      <c r="J1469" t="s">
        <v>42</v>
      </c>
      <c r="K1469" s="61">
        <f t="shared" si="66"/>
        <v>1633834000</v>
      </c>
      <c r="L1469" s="61">
        <f t="shared" si="67"/>
        <v>787329000</v>
      </c>
      <c r="M1469" s="61">
        <f t="shared" si="68"/>
        <v>846505000</v>
      </c>
    </row>
    <row r="1470" spans="1:13" x14ac:dyDescent="0.25">
      <c r="A1470" t="s">
        <v>506</v>
      </c>
      <c r="B1470" t="s">
        <v>9</v>
      </c>
      <c r="C1470">
        <v>41639</v>
      </c>
      <c r="D1470" s="61">
        <v>3494253000</v>
      </c>
      <c r="E1470" s="61">
        <v>1838766000</v>
      </c>
      <c r="F1470" s="61">
        <v>0</v>
      </c>
      <c r="G1470" s="61">
        <v>0</v>
      </c>
      <c r="H1470" s="61">
        <v>819711000</v>
      </c>
      <c r="I1470" t="s">
        <v>41</v>
      </c>
      <c r="J1470" t="s">
        <v>42</v>
      </c>
      <c r="K1470" s="61">
        <f t="shared" si="66"/>
        <v>1655487000</v>
      </c>
      <c r="L1470" s="61">
        <f t="shared" si="67"/>
        <v>819711000</v>
      </c>
      <c r="M1470" s="61">
        <f t="shared" si="68"/>
        <v>835776000</v>
      </c>
    </row>
    <row r="1471" spans="1:13" x14ac:dyDescent="0.25">
      <c r="A1471" t="s">
        <v>506</v>
      </c>
      <c r="B1471" t="s">
        <v>10</v>
      </c>
      <c r="C1471">
        <v>42004</v>
      </c>
      <c r="D1471" s="61">
        <v>3620095000</v>
      </c>
      <c r="E1471" s="61">
        <v>1903384000</v>
      </c>
      <c r="F1471" s="61">
        <v>0</v>
      </c>
      <c r="G1471" s="61">
        <v>0</v>
      </c>
      <c r="H1471" s="61">
        <v>855908000</v>
      </c>
      <c r="I1471" t="s">
        <v>41</v>
      </c>
      <c r="J1471" t="s">
        <v>42</v>
      </c>
      <c r="K1471" s="61">
        <f t="shared" si="66"/>
        <v>1716711000</v>
      </c>
      <c r="L1471" s="61">
        <f t="shared" si="67"/>
        <v>855908000</v>
      </c>
      <c r="M1471" s="61">
        <f t="shared" si="68"/>
        <v>860803000</v>
      </c>
    </row>
    <row r="1472" spans="1:13" x14ac:dyDescent="0.25">
      <c r="A1472" t="s">
        <v>506</v>
      </c>
      <c r="B1472" t="s">
        <v>11</v>
      </c>
      <c r="C1472">
        <v>42369</v>
      </c>
      <c r="D1472" s="61">
        <v>3766065000</v>
      </c>
      <c r="E1472" s="61">
        <v>2016212000</v>
      </c>
      <c r="F1472" s="61">
        <v>0</v>
      </c>
      <c r="G1472" s="61">
        <v>0</v>
      </c>
      <c r="H1472" s="61">
        <v>907024000</v>
      </c>
      <c r="I1472" t="s">
        <v>41</v>
      </c>
      <c r="J1472" t="s">
        <v>42</v>
      </c>
      <c r="K1472" s="61">
        <f t="shared" si="66"/>
        <v>1749853000</v>
      </c>
      <c r="L1472" s="61">
        <f t="shared" si="67"/>
        <v>907024000</v>
      </c>
      <c r="M1472" s="61">
        <f t="shared" si="68"/>
        <v>842829000</v>
      </c>
    </row>
    <row r="1473" spans="1:13" x14ac:dyDescent="0.25">
      <c r="A1473" t="s">
        <v>507</v>
      </c>
      <c r="B1473" t="s">
        <v>6</v>
      </c>
      <c r="C1473">
        <v>41274</v>
      </c>
      <c r="D1473" s="61">
        <v>12509900000</v>
      </c>
      <c r="E1473" s="61">
        <v>7214400000</v>
      </c>
      <c r="F1473" s="61">
        <v>3354900000</v>
      </c>
      <c r="G1473" s="61">
        <v>376400000</v>
      </c>
      <c r="H1473" s="61">
        <v>0</v>
      </c>
      <c r="I1473" t="s">
        <v>19</v>
      </c>
      <c r="J1473" t="s">
        <v>24</v>
      </c>
      <c r="K1473" s="61">
        <f t="shared" si="66"/>
        <v>5295500000</v>
      </c>
      <c r="L1473" s="61">
        <f t="shared" si="67"/>
        <v>3731300000</v>
      </c>
      <c r="M1473" s="61">
        <f t="shared" si="68"/>
        <v>1564200000</v>
      </c>
    </row>
    <row r="1474" spans="1:13" x14ac:dyDescent="0.25">
      <c r="A1474" t="s">
        <v>507</v>
      </c>
      <c r="B1474" t="s">
        <v>9</v>
      </c>
      <c r="C1474">
        <v>41639</v>
      </c>
      <c r="D1474" s="61">
        <v>13090300000</v>
      </c>
      <c r="E1474" s="61">
        <v>7561200000</v>
      </c>
      <c r="F1474" s="61">
        <v>3446300000</v>
      </c>
      <c r="G1474" s="61">
        <v>395500000</v>
      </c>
      <c r="H1474" s="61">
        <v>0</v>
      </c>
      <c r="I1474" t="s">
        <v>19</v>
      </c>
      <c r="J1474" t="s">
        <v>24</v>
      </c>
      <c r="K1474" s="61">
        <f t="shared" ref="K1474:K1537" si="69">D1474-E1474</f>
        <v>5529100000</v>
      </c>
      <c r="L1474" s="61">
        <f t="shared" ref="L1474:L1537" si="70">F1474+G1474+H1474</f>
        <v>3841800000</v>
      </c>
      <c r="M1474" s="61">
        <f t="shared" si="68"/>
        <v>1687300000</v>
      </c>
    </row>
    <row r="1475" spans="1:13" x14ac:dyDescent="0.25">
      <c r="A1475" t="s">
        <v>507</v>
      </c>
      <c r="B1475" t="s">
        <v>10</v>
      </c>
      <c r="C1475">
        <v>42004</v>
      </c>
      <c r="D1475" s="61">
        <v>16889600000</v>
      </c>
      <c r="E1475" s="61">
        <v>9397600000</v>
      </c>
      <c r="F1475" s="61">
        <v>4896100000</v>
      </c>
      <c r="G1475" s="61">
        <v>691100000</v>
      </c>
      <c r="H1475" s="61">
        <v>0</v>
      </c>
      <c r="I1475" t="s">
        <v>19</v>
      </c>
      <c r="J1475" t="s">
        <v>24</v>
      </c>
      <c r="K1475" s="61">
        <f t="shared" si="69"/>
        <v>7492000000</v>
      </c>
      <c r="L1475" s="61">
        <f t="shared" si="70"/>
        <v>5587200000</v>
      </c>
      <c r="M1475" s="61">
        <f t="shared" ref="M1475:M1538" si="71">K1475-L1475</f>
        <v>1904800000</v>
      </c>
    </row>
    <row r="1476" spans="1:13" x14ac:dyDescent="0.25">
      <c r="A1476" t="s">
        <v>507</v>
      </c>
      <c r="B1476" t="s">
        <v>11</v>
      </c>
      <c r="C1476">
        <v>42369</v>
      </c>
      <c r="D1476" s="61">
        <v>16965400000</v>
      </c>
      <c r="E1476" s="61">
        <v>9209500000</v>
      </c>
      <c r="F1476" s="61">
        <v>4612100000</v>
      </c>
      <c r="G1476" s="61">
        <v>692300000</v>
      </c>
      <c r="H1476" s="61">
        <v>0</v>
      </c>
      <c r="I1476" t="s">
        <v>19</v>
      </c>
      <c r="J1476" t="s">
        <v>24</v>
      </c>
      <c r="K1476" s="61">
        <f t="shared" si="69"/>
        <v>7755900000</v>
      </c>
      <c r="L1476" s="61">
        <f t="shared" si="70"/>
        <v>5304400000</v>
      </c>
      <c r="M1476" s="61">
        <f t="shared" si="71"/>
        <v>2451500000</v>
      </c>
    </row>
    <row r="1477" spans="1:13" x14ac:dyDescent="0.25">
      <c r="A1477" t="s">
        <v>508</v>
      </c>
      <c r="B1477" t="s">
        <v>6</v>
      </c>
      <c r="C1477">
        <v>41274</v>
      </c>
      <c r="D1477" s="61">
        <v>763000000</v>
      </c>
      <c r="E1477" s="61">
        <v>12000000</v>
      </c>
      <c r="F1477" s="61">
        <v>429000000</v>
      </c>
      <c r="G1477" s="61">
        <v>0</v>
      </c>
      <c r="H1477" s="61">
        <v>26000000</v>
      </c>
      <c r="I1477" t="s">
        <v>13</v>
      </c>
      <c r="J1477" t="s">
        <v>71</v>
      </c>
      <c r="K1477" s="61">
        <f t="shared" si="69"/>
        <v>751000000</v>
      </c>
      <c r="L1477" s="61">
        <f t="shared" si="70"/>
        <v>455000000</v>
      </c>
      <c r="M1477" s="61">
        <f t="shared" si="71"/>
        <v>296000000</v>
      </c>
    </row>
    <row r="1478" spans="1:13" x14ac:dyDescent="0.25">
      <c r="A1478" t="s">
        <v>508</v>
      </c>
      <c r="B1478" t="s">
        <v>9</v>
      </c>
      <c r="C1478">
        <v>41639</v>
      </c>
      <c r="D1478" s="61">
        <v>945000000</v>
      </c>
      <c r="E1478" s="61">
        <v>18000000</v>
      </c>
      <c r="F1478" s="61">
        <v>597000000</v>
      </c>
      <c r="G1478" s="61">
        <v>0</v>
      </c>
      <c r="H1478" s="61">
        <v>36000000</v>
      </c>
      <c r="I1478" t="s">
        <v>13</v>
      </c>
      <c r="J1478" t="s">
        <v>71</v>
      </c>
      <c r="K1478" s="61">
        <f t="shared" si="69"/>
        <v>927000000</v>
      </c>
      <c r="L1478" s="61">
        <f t="shared" si="70"/>
        <v>633000000</v>
      </c>
      <c r="M1478" s="61">
        <f t="shared" si="71"/>
        <v>294000000</v>
      </c>
    </row>
    <row r="1479" spans="1:13" x14ac:dyDescent="0.25">
      <c r="A1479" t="s">
        <v>508</v>
      </c>
      <c r="B1479" t="s">
        <v>10</v>
      </c>
      <c r="C1479">
        <v>42004</v>
      </c>
      <c r="D1479" s="61">
        <v>1246000000</v>
      </c>
      <c r="E1479" s="61">
        <v>40000000</v>
      </c>
      <c r="F1479" s="61">
        <v>801000000</v>
      </c>
      <c r="G1479" s="61">
        <v>0</v>
      </c>
      <c r="H1479" s="61">
        <v>65000000</v>
      </c>
      <c r="I1479" t="s">
        <v>13</v>
      </c>
      <c r="J1479" t="s">
        <v>71</v>
      </c>
      <c r="K1479" s="61">
        <f t="shared" si="69"/>
        <v>1206000000</v>
      </c>
      <c r="L1479" s="61">
        <f t="shared" si="70"/>
        <v>866000000</v>
      </c>
      <c r="M1479" s="61">
        <f t="shared" si="71"/>
        <v>340000000</v>
      </c>
    </row>
    <row r="1480" spans="1:13" x14ac:dyDescent="0.25">
      <c r="A1480" t="s">
        <v>508</v>
      </c>
      <c r="B1480" t="s">
        <v>11</v>
      </c>
      <c r="C1480">
        <v>42369</v>
      </c>
      <c r="D1480" s="61">
        <v>1492000000</v>
      </c>
      <c r="E1480" s="61">
        <v>58000000</v>
      </c>
      <c r="F1480" s="61">
        <v>1109000000</v>
      </c>
      <c r="G1480" s="61">
        <v>0</v>
      </c>
      <c r="H1480" s="61">
        <v>93000000</v>
      </c>
      <c r="I1480" t="s">
        <v>13</v>
      </c>
      <c r="J1480" t="s">
        <v>71</v>
      </c>
      <c r="K1480" s="61">
        <f t="shared" si="69"/>
        <v>1434000000</v>
      </c>
      <c r="L1480" s="61">
        <f t="shared" si="70"/>
        <v>1202000000</v>
      </c>
      <c r="M1480" s="61">
        <f t="shared" si="71"/>
        <v>232000000</v>
      </c>
    </row>
    <row r="1481" spans="1:13" x14ac:dyDescent="0.25">
      <c r="A1481" t="s">
        <v>509</v>
      </c>
      <c r="B1481" t="s">
        <v>6</v>
      </c>
      <c r="C1481">
        <v>41639</v>
      </c>
      <c r="D1481" s="61">
        <v>26191000000</v>
      </c>
      <c r="E1481" s="61">
        <v>13307000000</v>
      </c>
      <c r="F1481" s="61">
        <v>3757000000</v>
      </c>
      <c r="G1481" s="61">
        <v>0</v>
      </c>
      <c r="H1481" s="61">
        <v>3821000000</v>
      </c>
      <c r="I1481" t="s">
        <v>41</v>
      </c>
      <c r="J1481" t="s">
        <v>44</v>
      </c>
      <c r="K1481" s="61">
        <f t="shared" si="69"/>
        <v>12884000000</v>
      </c>
      <c r="L1481" s="61">
        <f t="shared" si="70"/>
        <v>7578000000</v>
      </c>
      <c r="M1481" s="61">
        <f t="shared" si="71"/>
        <v>5306000000</v>
      </c>
    </row>
    <row r="1482" spans="1:13" x14ac:dyDescent="0.25">
      <c r="A1482" t="s">
        <v>509</v>
      </c>
      <c r="B1482" t="s">
        <v>9</v>
      </c>
      <c r="C1482">
        <v>42004</v>
      </c>
      <c r="D1482" s="61">
        <v>27174000000</v>
      </c>
      <c r="E1482" s="61">
        <v>13870000000</v>
      </c>
      <c r="F1482" s="61">
        <v>3964000000</v>
      </c>
      <c r="G1482" s="61">
        <v>0</v>
      </c>
      <c r="H1482" s="61">
        <v>3882000000</v>
      </c>
      <c r="I1482" t="s">
        <v>41</v>
      </c>
      <c r="J1482" t="s">
        <v>44</v>
      </c>
      <c r="K1482" s="61">
        <f t="shared" si="69"/>
        <v>13304000000</v>
      </c>
      <c r="L1482" s="61">
        <f t="shared" si="70"/>
        <v>7846000000</v>
      </c>
      <c r="M1482" s="61">
        <f t="shared" si="71"/>
        <v>5458000000</v>
      </c>
    </row>
    <row r="1483" spans="1:13" x14ac:dyDescent="0.25">
      <c r="A1483" t="s">
        <v>509</v>
      </c>
      <c r="B1483" t="s">
        <v>10</v>
      </c>
      <c r="C1483">
        <v>42369</v>
      </c>
      <c r="D1483" s="61">
        <v>26815000000</v>
      </c>
      <c r="E1483" s="61">
        <v>13723000000</v>
      </c>
      <c r="F1483" s="61">
        <v>4094000000</v>
      </c>
      <c r="G1483" s="61">
        <v>0</v>
      </c>
      <c r="H1483" s="61">
        <v>3885000000</v>
      </c>
      <c r="I1483" t="s">
        <v>41</v>
      </c>
      <c r="J1483" t="s">
        <v>44</v>
      </c>
      <c r="K1483" s="61">
        <f t="shared" si="69"/>
        <v>13092000000</v>
      </c>
      <c r="L1483" s="61">
        <f t="shared" si="70"/>
        <v>7979000000</v>
      </c>
      <c r="M1483" s="61">
        <f t="shared" si="71"/>
        <v>5113000000</v>
      </c>
    </row>
    <row r="1484" spans="1:13" x14ac:dyDescent="0.25">
      <c r="A1484" t="s">
        <v>509</v>
      </c>
      <c r="B1484" t="s">
        <v>11</v>
      </c>
      <c r="C1484">
        <v>42735</v>
      </c>
      <c r="D1484" s="61">
        <v>27625000000</v>
      </c>
      <c r="E1484" s="61">
        <v>15070000000</v>
      </c>
      <c r="F1484" s="61">
        <v>4154000000</v>
      </c>
      <c r="G1484" s="61">
        <v>0</v>
      </c>
      <c r="H1484" s="61">
        <v>3985000000</v>
      </c>
      <c r="I1484" t="s">
        <v>41</v>
      </c>
      <c r="J1484" t="s">
        <v>44</v>
      </c>
      <c r="K1484" s="61">
        <f t="shared" si="69"/>
        <v>12555000000</v>
      </c>
      <c r="L1484" s="61">
        <f t="shared" si="70"/>
        <v>8139000000</v>
      </c>
      <c r="M1484" s="61">
        <f t="shared" si="71"/>
        <v>4416000000</v>
      </c>
    </row>
    <row r="1485" spans="1:13" x14ac:dyDescent="0.25">
      <c r="A1485" t="s">
        <v>510</v>
      </c>
      <c r="B1485" t="s">
        <v>6</v>
      </c>
      <c r="C1485">
        <v>41272</v>
      </c>
      <c r="D1485" s="61">
        <v>4664120000</v>
      </c>
      <c r="E1485" s="61">
        <v>3098066000</v>
      </c>
      <c r="F1485" s="61">
        <v>1040287000</v>
      </c>
      <c r="G1485" s="61">
        <v>0</v>
      </c>
      <c r="H1485" s="61">
        <v>88975000</v>
      </c>
      <c r="I1485" t="s">
        <v>13</v>
      </c>
      <c r="J1485" t="s">
        <v>511</v>
      </c>
      <c r="K1485" s="61">
        <f t="shared" si="69"/>
        <v>1566054000</v>
      </c>
      <c r="L1485" s="61">
        <f t="shared" si="70"/>
        <v>1129262000</v>
      </c>
      <c r="M1485" s="61">
        <f t="shared" si="71"/>
        <v>436792000</v>
      </c>
    </row>
    <row r="1486" spans="1:13" x14ac:dyDescent="0.25">
      <c r="A1486" t="s">
        <v>510</v>
      </c>
      <c r="B1486" t="s">
        <v>9</v>
      </c>
      <c r="C1486">
        <v>41636</v>
      </c>
      <c r="D1486" s="61">
        <v>5164784000</v>
      </c>
      <c r="E1486" s="61">
        <v>3411175000</v>
      </c>
      <c r="F1486" s="61">
        <v>1138934000</v>
      </c>
      <c r="G1486" s="61">
        <v>0</v>
      </c>
      <c r="H1486" s="61">
        <v>100025000</v>
      </c>
      <c r="I1486" t="s">
        <v>13</v>
      </c>
      <c r="J1486" t="s">
        <v>511</v>
      </c>
      <c r="K1486" s="61">
        <f t="shared" si="69"/>
        <v>1753609000</v>
      </c>
      <c r="L1486" s="61">
        <f t="shared" si="70"/>
        <v>1238959000</v>
      </c>
      <c r="M1486" s="61">
        <f t="shared" si="71"/>
        <v>514650000</v>
      </c>
    </row>
    <row r="1487" spans="1:13" x14ac:dyDescent="0.25">
      <c r="A1487" t="s">
        <v>510</v>
      </c>
      <c r="B1487" t="s">
        <v>10</v>
      </c>
      <c r="C1487">
        <v>42000</v>
      </c>
      <c r="D1487" s="61">
        <v>5711715000</v>
      </c>
      <c r="E1487" s="61">
        <v>3761300000</v>
      </c>
      <c r="F1487" s="61">
        <v>1246308000</v>
      </c>
      <c r="G1487" s="61">
        <v>0</v>
      </c>
      <c r="H1487" s="61">
        <v>114635000</v>
      </c>
      <c r="I1487" t="s">
        <v>13</v>
      </c>
      <c r="J1487" t="s">
        <v>511</v>
      </c>
      <c r="K1487" s="61">
        <f t="shared" si="69"/>
        <v>1950415000</v>
      </c>
      <c r="L1487" s="61">
        <f t="shared" si="70"/>
        <v>1360943000</v>
      </c>
      <c r="M1487" s="61">
        <f t="shared" si="71"/>
        <v>589472000</v>
      </c>
    </row>
    <row r="1488" spans="1:13" x14ac:dyDescent="0.25">
      <c r="A1488" t="s">
        <v>510</v>
      </c>
      <c r="B1488" t="s">
        <v>11</v>
      </c>
      <c r="C1488">
        <v>42364</v>
      </c>
      <c r="D1488" s="61">
        <v>6226507000</v>
      </c>
      <c r="E1488" s="61">
        <v>4083333000</v>
      </c>
      <c r="F1488" s="61">
        <v>1369097000</v>
      </c>
      <c r="G1488" s="61">
        <v>0</v>
      </c>
      <c r="H1488" s="61">
        <v>123569000</v>
      </c>
      <c r="I1488" t="s">
        <v>13</v>
      </c>
      <c r="J1488" t="s">
        <v>511</v>
      </c>
      <c r="K1488" s="61">
        <f t="shared" si="69"/>
        <v>2143174000</v>
      </c>
      <c r="L1488" s="61">
        <f t="shared" si="70"/>
        <v>1492666000</v>
      </c>
      <c r="M1488" s="61">
        <f t="shared" si="71"/>
        <v>650508000</v>
      </c>
    </row>
    <row r="1489" spans="1:13" x14ac:dyDescent="0.25">
      <c r="A1489" t="s">
        <v>512</v>
      </c>
      <c r="B1489" t="s">
        <v>6</v>
      </c>
      <c r="C1489">
        <v>41550</v>
      </c>
      <c r="D1489" s="61">
        <v>34374000000</v>
      </c>
      <c r="E1489" s="61">
        <v>32016000000</v>
      </c>
      <c r="F1489" s="61">
        <v>983000000</v>
      </c>
      <c r="G1489" s="61">
        <v>0</v>
      </c>
      <c r="H1489" s="61">
        <v>0</v>
      </c>
      <c r="I1489" t="s">
        <v>30</v>
      </c>
      <c r="J1489" t="s">
        <v>118</v>
      </c>
      <c r="K1489" s="61">
        <f t="shared" si="69"/>
        <v>2358000000</v>
      </c>
      <c r="L1489" s="61">
        <f t="shared" si="70"/>
        <v>983000000</v>
      </c>
      <c r="M1489" s="61">
        <f t="shared" si="71"/>
        <v>1375000000</v>
      </c>
    </row>
    <row r="1490" spans="1:13" x14ac:dyDescent="0.25">
      <c r="A1490" t="s">
        <v>512</v>
      </c>
      <c r="B1490" t="s">
        <v>9</v>
      </c>
      <c r="C1490">
        <v>41915</v>
      </c>
      <c r="D1490" s="61">
        <v>37580000000</v>
      </c>
      <c r="E1490" s="61">
        <v>34895000000</v>
      </c>
      <c r="F1490" s="61">
        <v>1255000000</v>
      </c>
      <c r="G1490" s="61">
        <v>0</v>
      </c>
      <c r="H1490" s="61">
        <v>0</v>
      </c>
      <c r="I1490" t="s">
        <v>30</v>
      </c>
      <c r="J1490" t="s">
        <v>118</v>
      </c>
      <c r="K1490" s="61">
        <f t="shared" si="69"/>
        <v>2685000000</v>
      </c>
      <c r="L1490" s="61">
        <f t="shared" si="70"/>
        <v>1255000000</v>
      </c>
      <c r="M1490" s="61">
        <f t="shared" si="71"/>
        <v>1430000000</v>
      </c>
    </row>
    <row r="1491" spans="1:13" x14ac:dyDescent="0.25">
      <c r="A1491" t="s">
        <v>512</v>
      </c>
      <c r="B1491" t="s">
        <v>10</v>
      </c>
      <c r="C1491">
        <v>42280</v>
      </c>
      <c r="D1491" s="61">
        <v>41373000000</v>
      </c>
      <c r="E1491" s="61">
        <v>37456000000</v>
      </c>
      <c r="F1491" s="61">
        <v>1748000000</v>
      </c>
      <c r="G1491" s="61">
        <v>0</v>
      </c>
      <c r="H1491" s="61">
        <v>0</v>
      </c>
      <c r="I1491" t="s">
        <v>30</v>
      </c>
      <c r="J1491" t="s">
        <v>118</v>
      </c>
      <c r="K1491" s="61">
        <f t="shared" si="69"/>
        <v>3917000000</v>
      </c>
      <c r="L1491" s="61">
        <f t="shared" si="70"/>
        <v>1748000000</v>
      </c>
      <c r="M1491" s="61">
        <f t="shared" si="71"/>
        <v>2169000000</v>
      </c>
    </row>
    <row r="1492" spans="1:13" x14ac:dyDescent="0.25">
      <c r="A1492" t="s">
        <v>512</v>
      </c>
      <c r="B1492" t="s">
        <v>11</v>
      </c>
      <c r="C1492">
        <v>42644</v>
      </c>
      <c r="D1492" s="61">
        <v>36881000000</v>
      </c>
      <c r="E1492" s="61">
        <v>32184000000</v>
      </c>
      <c r="F1492" s="61">
        <v>1864000000</v>
      </c>
      <c r="G1492" s="61">
        <v>0</v>
      </c>
      <c r="H1492" s="61">
        <v>0</v>
      </c>
      <c r="I1492" t="s">
        <v>30</v>
      </c>
      <c r="J1492" t="s">
        <v>118</v>
      </c>
      <c r="K1492" s="61">
        <f t="shared" si="69"/>
        <v>4697000000</v>
      </c>
      <c r="L1492" s="61">
        <f t="shared" si="70"/>
        <v>1864000000</v>
      </c>
      <c r="M1492" s="61">
        <f t="shared" si="71"/>
        <v>2833000000</v>
      </c>
    </row>
    <row r="1493" spans="1:13" x14ac:dyDescent="0.25">
      <c r="A1493" t="s">
        <v>513</v>
      </c>
      <c r="B1493" t="s">
        <v>6</v>
      </c>
      <c r="C1493">
        <v>41274</v>
      </c>
      <c r="D1493" s="61">
        <v>29809000000</v>
      </c>
      <c r="E1493" s="61">
        <v>26045000000</v>
      </c>
      <c r="F1493" s="61">
        <v>1702000000</v>
      </c>
      <c r="G1493" s="61">
        <v>0</v>
      </c>
      <c r="H1493" s="61">
        <v>418000000</v>
      </c>
      <c r="I1493" t="s">
        <v>77</v>
      </c>
      <c r="J1493" t="s">
        <v>335</v>
      </c>
      <c r="K1493" s="61">
        <f t="shared" si="69"/>
        <v>3764000000</v>
      </c>
      <c r="L1493" s="61">
        <f t="shared" si="70"/>
        <v>2120000000</v>
      </c>
      <c r="M1493" s="61">
        <f t="shared" si="71"/>
        <v>1644000000</v>
      </c>
    </row>
    <row r="1494" spans="1:13" x14ac:dyDescent="0.25">
      <c r="A1494" t="s">
        <v>513</v>
      </c>
      <c r="B1494" t="s">
        <v>9</v>
      </c>
      <c r="C1494">
        <v>41639</v>
      </c>
      <c r="D1494" s="61">
        <v>37601000000</v>
      </c>
      <c r="E1494" s="61">
        <v>34085000000</v>
      </c>
      <c r="F1494" s="61">
        <v>2248000000</v>
      </c>
      <c r="G1494" s="61">
        <v>0</v>
      </c>
      <c r="H1494" s="61">
        <v>489000000</v>
      </c>
      <c r="I1494" t="s">
        <v>77</v>
      </c>
      <c r="J1494" t="s">
        <v>335</v>
      </c>
      <c r="K1494" s="61">
        <f t="shared" si="69"/>
        <v>3516000000</v>
      </c>
      <c r="L1494" s="61">
        <f t="shared" si="70"/>
        <v>2737000000</v>
      </c>
      <c r="M1494" s="61">
        <f t="shared" si="71"/>
        <v>779000000</v>
      </c>
    </row>
    <row r="1495" spans="1:13" x14ac:dyDescent="0.25">
      <c r="A1495" t="s">
        <v>513</v>
      </c>
      <c r="B1495" t="s">
        <v>10</v>
      </c>
      <c r="C1495">
        <v>42004</v>
      </c>
      <c r="D1495" s="61">
        <v>40633000000</v>
      </c>
      <c r="E1495" s="61">
        <v>35673000000</v>
      </c>
      <c r="F1495" s="61">
        <v>2762000000</v>
      </c>
      <c r="G1495" s="61">
        <v>0</v>
      </c>
      <c r="H1495" s="61">
        <v>562000000</v>
      </c>
      <c r="I1495" t="s">
        <v>77</v>
      </c>
      <c r="J1495" t="s">
        <v>335</v>
      </c>
      <c r="K1495" s="61">
        <f t="shared" si="69"/>
        <v>4960000000</v>
      </c>
      <c r="L1495" s="61">
        <f t="shared" si="70"/>
        <v>3324000000</v>
      </c>
      <c r="M1495" s="61">
        <f t="shared" si="71"/>
        <v>1636000000</v>
      </c>
    </row>
    <row r="1496" spans="1:13" x14ac:dyDescent="0.25">
      <c r="A1496" t="s">
        <v>513</v>
      </c>
      <c r="B1496" t="s">
        <v>11</v>
      </c>
      <c r="C1496">
        <v>42369</v>
      </c>
      <c r="D1496" s="61">
        <v>28711000000</v>
      </c>
      <c r="E1496" s="61">
        <v>22466000000</v>
      </c>
      <c r="F1496" s="61">
        <v>2620000000</v>
      </c>
      <c r="G1496" s="61">
        <v>0</v>
      </c>
      <c r="H1496" s="61">
        <v>756000000</v>
      </c>
      <c r="I1496" t="s">
        <v>77</v>
      </c>
      <c r="J1496" t="s">
        <v>335</v>
      </c>
      <c r="K1496" s="61">
        <f t="shared" si="69"/>
        <v>6245000000</v>
      </c>
      <c r="L1496" s="61">
        <f t="shared" si="70"/>
        <v>3376000000</v>
      </c>
      <c r="M1496" s="61">
        <f t="shared" si="71"/>
        <v>2869000000</v>
      </c>
    </row>
    <row r="1497" spans="1:13" x14ac:dyDescent="0.25">
      <c r="A1497" t="s">
        <v>514</v>
      </c>
      <c r="B1497" t="s">
        <v>6</v>
      </c>
      <c r="C1497">
        <v>41274</v>
      </c>
      <c r="D1497" s="61">
        <v>1793557000</v>
      </c>
      <c r="E1497" s="61">
        <v>1189341000</v>
      </c>
      <c r="F1497" s="61">
        <v>247597000</v>
      </c>
      <c r="G1497" s="61">
        <v>0</v>
      </c>
      <c r="H1497" s="61">
        <v>0</v>
      </c>
      <c r="I1497" t="s">
        <v>16</v>
      </c>
      <c r="J1497" t="s">
        <v>51</v>
      </c>
      <c r="K1497" s="61">
        <f t="shared" si="69"/>
        <v>604216000</v>
      </c>
      <c r="L1497" s="61">
        <f t="shared" si="70"/>
        <v>247597000</v>
      </c>
      <c r="M1497" s="61">
        <f t="shared" si="71"/>
        <v>356619000</v>
      </c>
    </row>
    <row r="1498" spans="1:13" x14ac:dyDescent="0.25">
      <c r="A1498" t="s">
        <v>514</v>
      </c>
      <c r="B1498" t="s">
        <v>9</v>
      </c>
      <c r="C1498">
        <v>41639</v>
      </c>
      <c r="D1498" s="61">
        <v>2064305000</v>
      </c>
      <c r="E1498" s="61">
        <v>1369438000</v>
      </c>
      <c r="F1498" s="61">
        <v>312367000</v>
      </c>
      <c r="G1498" s="61">
        <v>0</v>
      </c>
      <c r="H1498" s="61">
        <v>0</v>
      </c>
      <c r="I1498" t="s">
        <v>16</v>
      </c>
      <c r="J1498" t="s">
        <v>51</v>
      </c>
      <c r="K1498" s="61">
        <f t="shared" si="69"/>
        <v>694867000</v>
      </c>
      <c r="L1498" s="61">
        <f t="shared" si="70"/>
        <v>312367000</v>
      </c>
      <c r="M1498" s="61">
        <f t="shared" si="71"/>
        <v>382500000</v>
      </c>
    </row>
    <row r="1499" spans="1:13" x14ac:dyDescent="0.25">
      <c r="A1499" t="s">
        <v>514</v>
      </c>
      <c r="B1499" t="s">
        <v>10</v>
      </c>
      <c r="C1499">
        <v>42004</v>
      </c>
      <c r="D1499" s="61">
        <v>2446877000</v>
      </c>
      <c r="E1499" s="61">
        <v>1668892000</v>
      </c>
      <c r="F1499" s="61">
        <v>346345000</v>
      </c>
      <c r="G1499" s="61">
        <v>0</v>
      </c>
      <c r="H1499" s="61">
        <v>0</v>
      </c>
      <c r="I1499" t="s">
        <v>16</v>
      </c>
      <c r="J1499" t="s">
        <v>51</v>
      </c>
      <c r="K1499" s="61">
        <f t="shared" si="69"/>
        <v>777985000</v>
      </c>
      <c r="L1499" s="61">
        <f t="shared" si="70"/>
        <v>346345000</v>
      </c>
      <c r="M1499" s="61">
        <f t="shared" si="71"/>
        <v>431640000</v>
      </c>
    </row>
    <row r="1500" spans="1:13" x14ac:dyDescent="0.25">
      <c r="A1500" t="s">
        <v>514</v>
      </c>
      <c r="B1500" t="s">
        <v>11</v>
      </c>
      <c r="C1500">
        <v>42369</v>
      </c>
      <c r="D1500" s="61">
        <v>2779541000</v>
      </c>
      <c r="E1500" s="61">
        <v>1855181000</v>
      </c>
      <c r="F1500" s="61">
        <v>390253000</v>
      </c>
      <c r="G1500" s="61">
        <v>0</v>
      </c>
      <c r="H1500" s="61">
        <v>0</v>
      </c>
      <c r="I1500" t="s">
        <v>16</v>
      </c>
      <c r="J1500" t="s">
        <v>51</v>
      </c>
      <c r="K1500" s="61">
        <f t="shared" si="69"/>
        <v>924360000</v>
      </c>
      <c r="L1500" s="61">
        <f t="shared" si="70"/>
        <v>390253000</v>
      </c>
      <c r="M1500" s="61">
        <f t="shared" si="71"/>
        <v>534107000</v>
      </c>
    </row>
    <row r="1501" spans="1:13" x14ac:dyDescent="0.25">
      <c r="A1501" t="s">
        <v>515</v>
      </c>
      <c r="B1501" t="s">
        <v>6</v>
      </c>
      <c r="C1501">
        <v>41274</v>
      </c>
      <c r="D1501" s="61">
        <v>12825000000</v>
      </c>
      <c r="E1501" s="61">
        <v>6457000000</v>
      </c>
      <c r="F1501" s="61">
        <v>1804000000</v>
      </c>
      <c r="G1501" s="61">
        <v>1877000000</v>
      </c>
      <c r="H1501" s="61">
        <v>0</v>
      </c>
      <c r="I1501" t="s">
        <v>16</v>
      </c>
      <c r="J1501" t="s">
        <v>28</v>
      </c>
      <c r="K1501" s="61">
        <f t="shared" si="69"/>
        <v>6368000000</v>
      </c>
      <c r="L1501" s="61">
        <f t="shared" si="70"/>
        <v>3681000000</v>
      </c>
      <c r="M1501" s="61">
        <f t="shared" si="71"/>
        <v>2687000000</v>
      </c>
    </row>
    <row r="1502" spans="1:13" x14ac:dyDescent="0.25">
      <c r="A1502" t="s">
        <v>515</v>
      </c>
      <c r="B1502" t="s">
        <v>9</v>
      </c>
      <c r="C1502">
        <v>41639</v>
      </c>
      <c r="D1502" s="61">
        <v>12205000000</v>
      </c>
      <c r="E1502" s="61">
        <v>5841000000</v>
      </c>
      <c r="F1502" s="61">
        <v>1858000000</v>
      </c>
      <c r="G1502" s="61">
        <v>1522000000</v>
      </c>
      <c r="H1502" s="61">
        <v>0</v>
      </c>
      <c r="I1502" t="s">
        <v>16</v>
      </c>
      <c r="J1502" t="s">
        <v>28</v>
      </c>
      <c r="K1502" s="61">
        <f t="shared" si="69"/>
        <v>6364000000</v>
      </c>
      <c r="L1502" s="61">
        <f t="shared" si="70"/>
        <v>3380000000</v>
      </c>
      <c r="M1502" s="61">
        <f t="shared" si="71"/>
        <v>2984000000</v>
      </c>
    </row>
    <row r="1503" spans="1:13" x14ac:dyDescent="0.25">
      <c r="A1503" t="s">
        <v>515</v>
      </c>
      <c r="B1503" t="s">
        <v>10</v>
      </c>
      <c r="C1503">
        <v>42004</v>
      </c>
      <c r="D1503" s="61">
        <v>13045000000</v>
      </c>
      <c r="E1503" s="61">
        <v>5618000000</v>
      </c>
      <c r="F1503" s="61">
        <v>1843000000</v>
      </c>
      <c r="G1503" s="61">
        <v>1358000000</v>
      </c>
      <c r="H1503" s="61">
        <v>0</v>
      </c>
      <c r="I1503" t="s">
        <v>16</v>
      </c>
      <c r="J1503" t="s">
        <v>28</v>
      </c>
      <c r="K1503" s="61">
        <f t="shared" si="69"/>
        <v>7427000000</v>
      </c>
      <c r="L1503" s="61">
        <f t="shared" si="70"/>
        <v>3201000000</v>
      </c>
      <c r="M1503" s="61">
        <f t="shared" si="71"/>
        <v>4226000000</v>
      </c>
    </row>
    <row r="1504" spans="1:13" x14ac:dyDescent="0.25">
      <c r="A1504" t="s">
        <v>515</v>
      </c>
      <c r="B1504" t="s">
        <v>11</v>
      </c>
      <c r="C1504">
        <v>42369</v>
      </c>
      <c r="D1504" s="61">
        <v>13000000000</v>
      </c>
      <c r="E1504" s="61">
        <v>5440000000</v>
      </c>
      <c r="F1504" s="61">
        <v>1748000000</v>
      </c>
      <c r="G1504" s="61">
        <v>1280000000</v>
      </c>
      <c r="H1504" s="61">
        <v>0</v>
      </c>
      <c r="I1504" t="s">
        <v>16</v>
      </c>
      <c r="J1504" t="s">
        <v>28</v>
      </c>
      <c r="K1504" s="61">
        <f t="shared" si="69"/>
        <v>7560000000</v>
      </c>
      <c r="L1504" s="61">
        <f t="shared" si="70"/>
        <v>3028000000</v>
      </c>
      <c r="M1504" s="61">
        <f t="shared" si="71"/>
        <v>4532000000</v>
      </c>
    </row>
    <row r="1505" spans="1:13" x14ac:dyDescent="0.25">
      <c r="A1505" t="s">
        <v>516</v>
      </c>
      <c r="B1505" t="s">
        <v>6</v>
      </c>
      <c r="C1505">
        <v>41272</v>
      </c>
      <c r="D1505" s="61">
        <v>12237000000</v>
      </c>
      <c r="E1505" s="61">
        <v>10019000000</v>
      </c>
      <c r="F1505" s="61">
        <v>1165000000</v>
      </c>
      <c r="G1505" s="61">
        <v>0</v>
      </c>
      <c r="H1505" s="61">
        <v>0</v>
      </c>
      <c r="I1505" t="s">
        <v>7</v>
      </c>
      <c r="J1505" t="s">
        <v>158</v>
      </c>
      <c r="K1505" s="61">
        <f t="shared" si="69"/>
        <v>2218000000</v>
      </c>
      <c r="L1505" s="61">
        <f t="shared" si="70"/>
        <v>1165000000</v>
      </c>
      <c r="M1505" s="61">
        <f t="shared" si="71"/>
        <v>1053000000</v>
      </c>
    </row>
    <row r="1506" spans="1:13" x14ac:dyDescent="0.25">
      <c r="A1506" t="s">
        <v>516</v>
      </c>
      <c r="B1506" t="s">
        <v>9</v>
      </c>
      <c r="C1506">
        <v>41636</v>
      </c>
      <c r="D1506" s="61">
        <v>12104000000</v>
      </c>
      <c r="E1506" s="61">
        <v>10131000000</v>
      </c>
      <c r="F1506" s="61">
        <v>1126000000</v>
      </c>
      <c r="G1506" s="61">
        <v>0</v>
      </c>
      <c r="H1506" s="61">
        <v>0</v>
      </c>
      <c r="I1506" t="s">
        <v>7</v>
      </c>
      <c r="J1506" t="s">
        <v>158</v>
      </c>
      <c r="K1506" s="61">
        <f t="shared" si="69"/>
        <v>1973000000</v>
      </c>
      <c r="L1506" s="61">
        <f t="shared" si="70"/>
        <v>1126000000</v>
      </c>
      <c r="M1506" s="61">
        <f t="shared" si="71"/>
        <v>847000000</v>
      </c>
    </row>
    <row r="1507" spans="1:13" x14ac:dyDescent="0.25">
      <c r="A1507" t="s">
        <v>516</v>
      </c>
      <c r="B1507" t="s">
        <v>10</v>
      </c>
      <c r="C1507">
        <v>42007</v>
      </c>
      <c r="D1507" s="61">
        <v>13878000000</v>
      </c>
      <c r="E1507" s="61">
        <v>11421000000</v>
      </c>
      <c r="F1507" s="61">
        <v>1361000000</v>
      </c>
      <c r="G1507" s="61">
        <v>0</v>
      </c>
      <c r="H1507" s="61">
        <v>0</v>
      </c>
      <c r="I1507" t="s">
        <v>7</v>
      </c>
      <c r="J1507" t="s">
        <v>158</v>
      </c>
      <c r="K1507" s="61">
        <f t="shared" si="69"/>
        <v>2457000000</v>
      </c>
      <c r="L1507" s="61">
        <f t="shared" si="70"/>
        <v>1361000000</v>
      </c>
      <c r="M1507" s="61">
        <f t="shared" si="71"/>
        <v>1096000000</v>
      </c>
    </row>
    <row r="1508" spans="1:13" x14ac:dyDescent="0.25">
      <c r="A1508" t="s">
        <v>516</v>
      </c>
      <c r="B1508" t="s">
        <v>11</v>
      </c>
      <c r="C1508">
        <v>42371</v>
      </c>
      <c r="D1508" s="61">
        <v>13423000000</v>
      </c>
      <c r="E1508" s="61">
        <v>10979000000</v>
      </c>
      <c r="F1508" s="61">
        <v>1304000000</v>
      </c>
      <c r="G1508" s="61">
        <v>0</v>
      </c>
      <c r="H1508" s="61">
        <v>0</v>
      </c>
      <c r="I1508" t="s">
        <v>7</v>
      </c>
      <c r="J1508" t="s">
        <v>158</v>
      </c>
      <c r="K1508" s="61">
        <f t="shared" si="69"/>
        <v>2444000000</v>
      </c>
      <c r="L1508" s="61">
        <f t="shared" si="70"/>
        <v>1304000000</v>
      </c>
      <c r="M1508" s="61">
        <f t="shared" si="71"/>
        <v>1140000000</v>
      </c>
    </row>
    <row r="1509" spans="1:13" x14ac:dyDescent="0.25">
      <c r="A1509" t="s">
        <v>517</v>
      </c>
      <c r="B1509" t="s">
        <v>6</v>
      </c>
      <c r="C1509">
        <v>41274</v>
      </c>
      <c r="D1509" s="61">
        <v>1834921000</v>
      </c>
      <c r="E1509" s="61">
        <v>955624000</v>
      </c>
      <c r="F1509" s="61">
        <v>670602000</v>
      </c>
      <c r="G1509" s="61">
        <v>0</v>
      </c>
      <c r="H1509" s="61">
        <v>0</v>
      </c>
      <c r="I1509" t="s">
        <v>13</v>
      </c>
      <c r="J1509" t="s">
        <v>283</v>
      </c>
      <c r="K1509" s="61">
        <f t="shared" si="69"/>
        <v>879297000</v>
      </c>
      <c r="L1509" s="61">
        <f t="shared" si="70"/>
        <v>670602000</v>
      </c>
      <c r="M1509" s="61">
        <f t="shared" si="71"/>
        <v>208695000</v>
      </c>
    </row>
    <row r="1510" spans="1:13" x14ac:dyDescent="0.25">
      <c r="A1510" t="s">
        <v>517</v>
      </c>
      <c r="B1510" t="s">
        <v>9</v>
      </c>
      <c r="C1510">
        <v>41639</v>
      </c>
      <c r="D1510" s="61">
        <v>2332051000</v>
      </c>
      <c r="E1510" s="61">
        <v>1195381000</v>
      </c>
      <c r="F1510" s="61">
        <v>871572000</v>
      </c>
      <c r="G1510" s="61">
        <v>0</v>
      </c>
      <c r="H1510" s="61">
        <v>0</v>
      </c>
      <c r="I1510" t="s">
        <v>13</v>
      </c>
      <c r="J1510" t="s">
        <v>283</v>
      </c>
      <c r="K1510" s="61">
        <f t="shared" si="69"/>
        <v>1136670000</v>
      </c>
      <c r="L1510" s="61">
        <f t="shared" si="70"/>
        <v>871572000</v>
      </c>
      <c r="M1510" s="61">
        <f t="shared" si="71"/>
        <v>265098000</v>
      </c>
    </row>
    <row r="1511" spans="1:13" x14ac:dyDescent="0.25">
      <c r="A1511" t="s">
        <v>517</v>
      </c>
      <c r="B1511" t="s">
        <v>10</v>
      </c>
      <c r="C1511">
        <v>42004</v>
      </c>
      <c r="D1511" s="61">
        <v>3084370000</v>
      </c>
      <c r="E1511" s="61">
        <v>1572164000</v>
      </c>
      <c r="F1511" s="61">
        <v>1158251000</v>
      </c>
      <c r="G1511" s="61">
        <v>0</v>
      </c>
      <c r="H1511" s="61">
        <v>0</v>
      </c>
      <c r="I1511" t="s">
        <v>13</v>
      </c>
      <c r="J1511" t="s">
        <v>283</v>
      </c>
      <c r="K1511" s="61">
        <f t="shared" si="69"/>
        <v>1512206000</v>
      </c>
      <c r="L1511" s="61">
        <f t="shared" si="70"/>
        <v>1158251000</v>
      </c>
      <c r="M1511" s="61">
        <f t="shared" si="71"/>
        <v>353955000</v>
      </c>
    </row>
    <row r="1512" spans="1:13" x14ac:dyDescent="0.25">
      <c r="A1512" t="s">
        <v>517</v>
      </c>
      <c r="B1512" t="s">
        <v>11</v>
      </c>
      <c r="C1512">
        <v>42369</v>
      </c>
      <c r="D1512" s="61">
        <v>3963313000</v>
      </c>
      <c r="E1512" s="61">
        <v>2057766000</v>
      </c>
      <c r="F1512" s="61">
        <v>1497000000</v>
      </c>
      <c r="G1512" s="61">
        <v>0</v>
      </c>
      <c r="H1512" s="61">
        <v>0</v>
      </c>
      <c r="I1512" t="s">
        <v>13</v>
      </c>
      <c r="J1512" t="s">
        <v>283</v>
      </c>
      <c r="K1512" s="61">
        <f t="shared" si="69"/>
        <v>1905547000</v>
      </c>
      <c r="L1512" s="61">
        <f t="shared" si="70"/>
        <v>1497000000</v>
      </c>
      <c r="M1512" s="61">
        <f t="shared" si="71"/>
        <v>408547000</v>
      </c>
    </row>
    <row r="1513" spans="1:13" x14ac:dyDescent="0.25">
      <c r="A1513" t="s">
        <v>518</v>
      </c>
      <c r="B1513" t="s">
        <v>6</v>
      </c>
      <c r="C1513">
        <v>41274</v>
      </c>
      <c r="D1513" s="61">
        <v>1834921000</v>
      </c>
      <c r="E1513" s="61">
        <v>955624000</v>
      </c>
      <c r="F1513" s="61">
        <v>670602000</v>
      </c>
      <c r="G1513" s="61">
        <v>0</v>
      </c>
      <c r="H1513" s="61">
        <v>0</v>
      </c>
      <c r="I1513" t="s">
        <v>13</v>
      </c>
      <c r="J1513" t="s">
        <v>283</v>
      </c>
      <c r="K1513" s="61">
        <f t="shared" si="69"/>
        <v>879297000</v>
      </c>
      <c r="L1513" s="61">
        <f t="shared" si="70"/>
        <v>670602000</v>
      </c>
      <c r="M1513" s="61">
        <f t="shared" si="71"/>
        <v>208695000</v>
      </c>
    </row>
    <row r="1514" spans="1:13" x14ac:dyDescent="0.25">
      <c r="A1514" t="s">
        <v>518</v>
      </c>
      <c r="B1514" t="s">
        <v>9</v>
      </c>
      <c r="C1514">
        <v>41639</v>
      </c>
      <c r="D1514" s="61">
        <v>2332051000</v>
      </c>
      <c r="E1514" s="61">
        <v>1195381000</v>
      </c>
      <c r="F1514" s="61">
        <v>871572000</v>
      </c>
      <c r="G1514" s="61">
        <v>0</v>
      </c>
      <c r="H1514" s="61">
        <v>0</v>
      </c>
      <c r="I1514" t="s">
        <v>13</v>
      </c>
      <c r="J1514" t="s">
        <v>283</v>
      </c>
      <c r="K1514" s="61">
        <f t="shared" si="69"/>
        <v>1136670000</v>
      </c>
      <c r="L1514" s="61">
        <f t="shared" si="70"/>
        <v>871572000</v>
      </c>
      <c r="M1514" s="61">
        <f t="shared" si="71"/>
        <v>265098000</v>
      </c>
    </row>
    <row r="1515" spans="1:13" x14ac:dyDescent="0.25">
      <c r="A1515" t="s">
        <v>518</v>
      </c>
      <c r="B1515" t="s">
        <v>10</v>
      </c>
      <c r="C1515">
        <v>42004</v>
      </c>
      <c r="D1515" s="61">
        <v>3084370000</v>
      </c>
      <c r="E1515" s="61">
        <v>1572164000</v>
      </c>
      <c r="F1515" s="61">
        <v>1158251000</v>
      </c>
      <c r="G1515" s="61">
        <v>0</v>
      </c>
      <c r="H1515" s="61">
        <v>0</v>
      </c>
      <c r="I1515" t="s">
        <v>13</v>
      </c>
      <c r="J1515" t="s">
        <v>283</v>
      </c>
      <c r="K1515" s="61">
        <f t="shared" si="69"/>
        <v>1512206000</v>
      </c>
      <c r="L1515" s="61">
        <f t="shared" si="70"/>
        <v>1158251000</v>
      </c>
      <c r="M1515" s="61">
        <f t="shared" si="71"/>
        <v>353955000</v>
      </c>
    </row>
    <row r="1516" spans="1:13" x14ac:dyDescent="0.25">
      <c r="A1516" t="s">
        <v>518</v>
      </c>
      <c r="B1516" t="s">
        <v>11</v>
      </c>
      <c r="C1516">
        <v>42369</v>
      </c>
      <c r="D1516" s="61">
        <v>3963313000</v>
      </c>
      <c r="E1516" s="61">
        <v>2057766000</v>
      </c>
      <c r="F1516" s="61">
        <v>1497000000</v>
      </c>
      <c r="G1516" s="61">
        <v>0</v>
      </c>
      <c r="H1516" s="61">
        <v>0</v>
      </c>
      <c r="I1516" t="s">
        <v>13</v>
      </c>
      <c r="J1516" t="s">
        <v>283</v>
      </c>
      <c r="K1516" s="61">
        <f t="shared" si="69"/>
        <v>1905547000</v>
      </c>
      <c r="L1516" s="61">
        <f t="shared" si="70"/>
        <v>1497000000</v>
      </c>
      <c r="M1516" s="61">
        <f t="shared" si="71"/>
        <v>408547000</v>
      </c>
    </row>
    <row r="1517" spans="1:13" x14ac:dyDescent="0.25">
      <c r="A1517" t="s">
        <v>519</v>
      </c>
      <c r="B1517" t="s">
        <v>6</v>
      </c>
      <c r="C1517">
        <v>41274</v>
      </c>
      <c r="D1517" s="61">
        <v>37152000000</v>
      </c>
      <c r="E1517" s="61">
        <v>17820000000</v>
      </c>
      <c r="F1517" s="61">
        <v>16448000000</v>
      </c>
      <c r="G1517" s="61">
        <v>0</v>
      </c>
      <c r="H1517" s="61">
        <v>1522000000</v>
      </c>
      <c r="I1517" t="s">
        <v>7</v>
      </c>
      <c r="J1517" t="s">
        <v>8</v>
      </c>
      <c r="K1517" s="61">
        <f t="shared" si="69"/>
        <v>19332000000</v>
      </c>
      <c r="L1517" s="61">
        <f t="shared" si="70"/>
        <v>17970000000</v>
      </c>
      <c r="M1517" s="61">
        <f t="shared" si="71"/>
        <v>1362000000</v>
      </c>
    </row>
    <row r="1518" spans="1:13" x14ac:dyDescent="0.25">
      <c r="A1518" t="s">
        <v>519</v>
      </c>
      <c r="B1518" t="s">
        <v>9</v>
      </c>
      <c r="C1518">
        <v>41639</v>
      </c>
      <c r="D1518" s="61">
        <v>38279000000</v>
      </c>
      <c r="E1518" s="61">
        <v>17192000000</v>
      </c>
      <c r="F1518" s="61">
        <v>17629000000</v>
      </c>
      <c r="G1518" s="61">
        <v>0</v>
      </c>
      <c r="H1518" s="61">
        <v>1689000000</v>
      </c>
      <c r="I1518" t="s">
        <v>7</v>
      </c>
      <c r="J1518" t="s">
        <v>8</v>
      </c>
      <c r="K1518" s="61">
        <f t="shared" si="69"/>
        <v>21087000000</v>
      </c>
      <c r="L1518" s="61">
        <f t="shared" si="70"/>
        <v>19318000000</v>
      </c>
      <c r="M1518" s="61">
        <f t="shared" si="71"/>
        <v>1769000000</v>
      </c>
    </row>
    <row r="1519" spans="1:13" x14ac:dyDescent="0.25">
      <c r="A1519" t="s">
        <v>519</v>
      </c>
      <c r="B1519" t="s">
        <v>10</v>
      </c>
      <c r="C1519">
        <v>42004</v>
      </c>
      <c r="D1519" s="61">
        <v>38901000000</v>
      </c>
      <c r="E1519" s="61">
        <v>16611000000</v>
      </c>
      <c r="F1519" s="61">
        <v>17795000000</v>
      </c>
      <c r="G1519" s="61">
        <v>0</v>
      </c>
      <c r="H1519" s="61">
        <v>1679000000</v>
      </c>
      <c r="I1519" t="s">
        <v>7</v>
      </c>
      <c r="J1519" t="s">
        <v>8</v>
      </c>
      <c r="K1519" s="61">
        <f t="shared" si="69"/>
        <v>22290000000</v>
      </c>
      <c r="L1519" s="61">
        <f t="shared" si="70"/>
        <v>19474000000</v>
      </c>
      <c r="M1519" s="61">
        <f t="shared" si="71"/>
        <v>2816000000</v>
      </c>
    </row>
    <row r="1520" spans="1:13" x14ac:dyDescent="0.25">
      <c r="A1520" t="s">
        <v>519</v>
      </c>
      <c r="B1520" t="s">
        <v>11</v>
      </c>
      <c r="C1520">
        <v>42369</v>
      </c>
      <c r="D1520" s="61">
        <v>37864000000</v>
      </c>
      <c r="E1520" s="61">
        <v>12130000000</v>
      </c>
      <c r="F1520" s="61">
        <v>18423000000</v>
      </c>
      <c r="G1520" s="61">
        <v>0</v>
      </c>
      <c r="H1520" s="61">
        <v>1819000000</v>
      </c>
      <c r="I1520" t="s">
        <v>7</v>
      </c>
      <c r="J1520" t="s">
        <v>8</v>
      </c>
      <c r="K1520" s="61">
        <f t="shared" si="69"/>
        <v>25734000000</v>
      </c>
      <c r="L1520" s="61">
        <f t="shared" si="70"/>
        <v>20242000000</v>
      </c>
      <c r="M1520" s="61">
        <f t="shared" si="71"/>
        <v>5492000000</v>
      </c>
    </row>
    <row r="1521" spans="1:13" x14ac:dyDescent="0.25">
      <c r="A1521" t="s">
        <v>520</v>
      </c>
      <c r="B1521" t="s">
        <v>6</v>
      </c>
      <c r="C1521">
        <v>41274</v>
      </c>
      <c r="D1521" s="61">
        <v>716612000</v>
      </c>
      <c r="E1521" s="61">
        <v>245316000</v>
      </c>
      <c r="F1521" s="61">
        <v>58005000</v>
      </c>
      <c r="G1521" s="61">
        <v>0</v>
      </c>
      <c r="H1521" s="61">
        <v>346031000</v>
      </c>
      <c r="I1521" t="s">
        <v>46</v>
      </c>
      <c r="J1521" t="s">
        <v>228</v>
      </c>
      <c r="K1521" s="61">
        <f t="shared" si="69"/>
        <v>471296000</v>
      </c>
      <c r="L1521" s="61">
        <f t="shared" si="70"/>
        <v>404036000</v>
      </c>
      <c r="M1521" s="61">
        <f t="shared" si="71"/>
        <v>67260000</v>
      </c>
    </row>
    <row r="1522" spans="1:13" x14ac:dyDescent="0.25">
      <c r="A1522" t="s">
        <v>520</v>
      </c>
      <c r="B1522" t="s">
        <v>9</v>
      </c>
      <c r="C1522">
        <v>41639</v>
      </c>
      <c r="D1522" s="61">
        <v>758926000</v>
      </c>
      <c r="E1522" s="61">
        <v>258612000</v>
      </c>
      <c r="F1522" s="61">
        <v>37121000</v>
      </c>
      <c r="G1522" s="61">
        <v>0</v>
      </c>
      <c r="H1522" s="61">
        <v>346273000</v>
      </c>
      <c r="I1522" t="s">
        <v>46</v>
      </c>
      <c r="J1522" t="s">
        <v>228</v>
      </c>
      <c r="K1522" s="61">
        <f t="shared" si="69"/>
        <v>500314000</v>
      </c>
      <c r="L1522" s="61">
        <f t="shared" si="70"/>
        <v>383394000</v>
      </c>
      <c r="M1522" s="61">
        <f t="shared" si="71"/>
        <v>116920000</v>
      </c>
    </row>
    <row r="1523" spans="1:13" x14ac:dyDescent="0.25">
      <c r="A1523" t="s">
        <v>520</v>
      </c>
      <c r="B1523" t="s">
        <v>10</v>
      </c>
      <c r="C1523">
        <v>42004</v>
      </c>
      <c r="D1523" s="61">
        <v>818046000</v>
      </c>
      <c r="E1523" s="61">
        <v>270741000</v>
      </c>
      <c r="F1523" s="61">
        <v>56612000</v>
      </c>
      <c r="G1523" s="61">
        <v>0</v>
      </c>
      <c r="H1523" s="61">
        <v>363929000</v>
      </c>
      <c r="I1523" t="s">
        <v>46</v>
      </c>
      <c r="J1523" t="s">
        <v>228</v>
      </c>
      <c r="K1523" s="61">
        <f t="shared" si="69"/>
        <v>547305000</v>
      </c>
      <c r="L1523" s="61">
        <f t="shared" si="70"/>
        <v>420541000</v>
      </c>
      <c r="M1523" s="61">
        <f t="shared" si="71"/>
        <v>126764000</v>
      </c>
    </row>
    <row r="1524" spans="1:13" x14ac:dyDescent="0.25">
      <c r="A1524" t="s">
        <v>520</v>
      </c>
      <c r="B1524" t="s">
        <v>11</v>
      </c>
      <c r="C1524">
        <v>42369</v>
      </c>
      <c r="D1524" s="61">
        <v>894638000</v>
      </c>
      <c r="E1524" s="61">
        <v>282037000</v>
      </c>
      <c r="F1524" s="61">
        <v>71733000</v>
      </c>
      <c r="G1524" s="61">
        <v>0</v>
      </c>
      <c r="H1524" s="61">
        <v>381277000</v>
      </c>
      <c r="I1524" t="s">
        <v>46</v>
      </c>
      <c r="J1524" t="s">
        <v>228</v>
      </c>
      <c r="K1524" s="61">
        <f t="shared" si="69"/>
        <v>612601000</v>
      </c>
      <c r="L1524" s="61">
        <f t="shared" si="70"/>
        <v>453010000</v>
      </c>
      <c r="M1524" s="61">
        <f t="shared" si="71"/>
        <v>159591000</v>
      </c>
    </row>
    <row r="1525" spans="1:13" x14ac:dyDescent="0.25">
      <c r="A1525" t="s">
        <v>521</v>
      </c>
      <c r="B1525" t="s">
        <v>6</v>
      </c>
      <c r="C1525">
        <v>41307</v>
      </c>
      <c r="D1525" s="61">
        <v>2220256000</v>
      </c>
      <c r="E1525" s="61">
        <v>1436582000</v>
      </c>
      <c r="F1525" s="61">
        <v>488880000</v>
      </c>
      <c r="G1525" s="61">
        <v>0</v>
      </c>
      <c r="H1525" s="61">
        <v>0</v>
      </c>
      <c r="I1525" t="s">
        <v>13</v>
      </c>
      <c r="J1525" t="s">
        <v>73</v>
      </c>
      <c r="K1525" s="61">
        <f t="shared" si="69"/>
        <v>783674000</v>
      </c>
      <c r="L1525" s="61">
        <f t="shared" si="70"/>
        <v>488880000</v>
      </c>
      <c r="M1525" s="61">
        <f t="shared" si="71"/>
        <v>294794000</v>
      </c>
    </row>
    <row r="1526" spans="1:13" x14ac:dyDescent="0.25">
      <c r="A1526" t="s">
        <v>521</v>
      </c>
      <c r="B1526" t="s">
        <v>9</v>
      </c>
      <c r="C1526">
        <v>41672</v>
      </c>
      <c r="D1526" s="61">
        <v>2670573000</v>
      </c>
      <c r="E1526" s="61">
        <v>1729325000</v>
      </c>
      <c r="F1526" s="61">
        <v>596390000</v>
      </c>
      <c r="G1526" s="61">
        <v>0</v>
      </c>
      <c r="H1526" s="61">
        <v>0</v>
      </c>
      <c r="I1526" t="s">
        <v>13</v>
      </c>
      <c r="J1526" t="s">
        <v>73</v>
      </c>
      <c r="K1526" s="61">
        <f t="shared" si="69"/>
        <v>941248000</v>
      </c>
      <c r="L1526" s="61">
        <f t="shared" si="70"/>
        <v>596390000</v>
      </c>
      <c r="M1526" s="61">
        <f t="shared" si="71"/>
        <v>344858000</v>
      </c>
    </row>
    <row r="1527" spans="1:13" x14ac:dyDescent="0.25">
      <c r="A1527" t="s">
        <v>521</v>
      </c>
      <c r="B1527" t="s">
        <v>10</v>
      </c>
      <c r="C1527">
        <v>42035</v>
      </c>
      <c r="D1527" s="61">
        <v>3241369000</v>
      </c>
      <c r="E1527" s="61">
        <v>2104582000</v>
      </c>
      <c r="F1527" s="61">
        <v>712006000</v>
      </c>
      <c r="G1527" s="61">
        <v>0</v>
      </c>
      <c r="H1527" s="61">
        <v>0</v>
      </c>
      <c r="I1527" t="s">
        <v>13</v>
      </c>
      <c r="J1527" t="s">
        <v>73</v>
      </c>
      <c r="K1527" s="61">
        <f t="shared" si="69"/>
        <v>1136787000</v>
      </c>
      <c r="L1527" s="61">
        <f t="shared" si="70"/>
        <v>712006000</v>
      </c>
      <c r="M1527" s="61">
        <f t="shared" si="71"/>
        <v>424781000</v>
      </c>
    </row>
    <row r="1528" spans="1:13" x14ac:dyDescent="0.25">
      <c r="A1528" t="s">
        <v>521</v>
      </c>
      <c r="B1528" t="s">
        <v>11</v>
      </c>
      <c r="C1528">
        <v>42400</v>
      </c>
      <c r="D1528" s="61">
        <v>3924116000</v>
      </c>
      <c r="E1528" s="61">
        <v>2539783000</v>
      </c>
      <c r="F1528" s="61">
        <v>863354000</v>
      </c>
      <c r="G1528" s="61">
        <v>0</v>
      </c>
      <c r="H1528" s="61">
        <v>0</v>
      </c>
      <c r="I1528" t="s">
        <v>13</v>
      </c>
      <c r="J1528" t="s">
        <v>73</v>
      </c>
      <c r="K1528" s="61">
        <f t="shared" si="69"/>
        <v>1384333000</v>
      </c>
      <c r="L1528" s="61">
        <f t="shared" si="70"/>
        <v>863354000</v>
      </c>
      <c r="M1528" s="61">
        <f t="shared" si="71"/>
        <v>520979000</v>
      </c>
    </row>
    <row r="1529" spans="1:13" x14ac:dyDescent="0.25">
      <c r="A1529" t="s">
        <v>522</v>
      </c>
      <c r="B1529" t="s">
        <v>6</v>
      </c>
      <c r="C1529">
        <v>41639</v>
      </c>
      <c r="D1529" s="61">
        <v>122489000000</v>
      </c>
      <c r="E1529" s="61">
        <v>89659000000</v>
      </c>
      <c r="F1529" s="61">
        <v>0</v>
      </c>
      <c r="G1529" s="61">
        <v>0</v>
      </c>
      <c r="H1529" s="61">
        <v>23207000000</v>
      </c>
      <c r="I1529" t="s">
        <v>19</v>
      </c>
      <c r="J1529" t="s">
        <v>75</v>
      </c>
      <c r="K1529" s="61">
        <f t="shared" si="69"/>
        <v>32830000000</v>
      </c>
      <c r="L1529" s="61">
        <f t="shared" si="70"/>
        <v>23207000000</v>
      </c>
      <c r="M1529" s="61">
        <f t="shared" si="71"/>
        <v>9623000000</v>
      </c>
    </row>
    <row r="1530" spans="1:13" x14ac:dyDescent="0.25">
      <c r="A1530" t="s">
        <v>522</v>
      </c>
      <c r="B1530" t="s">
        <v>9</v>
      </c>
      <c r="C1530">
        <v>42004</v>
      </c>
      <c r="D1530" s="61">
        <v>130474000000</v>
      </c>
      <c r="E1530" s="61">
        <v>93633000000</v>
      </c>
      <c r="F1530" s="61">
        <v>0</v>
      </c>
      <c r="G1530" s="61">
        <v>0</v>
      </c>
      <c r="H1530" s="61">
        <v>26567000000</v>
      </c>
      <c r="I1530" t="s">
        <v>19</v>
      </c>
      <c r="J1530" t="s">
        <v>75</v>
      </c>
      <c r="K1530" s="61">
        <f t="shared" si="69"/>
        <v>36841000000</v>
      </c>
      <c r="L1530" s="61">
        <f t="shared" si="70"/>
        <v>26567000000</v>
      </c>
      <c r="M1530" s="61">
        <f t="shared" si="71"/>
        <v>10274000000</v>
      </c>
    </row>
    <row r="1531" spans="1:13" x14ac:dyDescent="0.25">
      <c r="A1531" t="s">
        <v>522</v>
      </c>
      <c r="B1531" t="s">
        <v>10</v>
      </c>
      <c r="C1531">
        <v>42369</v>
      </c>
      <c r="D1531" s="61">
        <v>157107000000</v>
      </c>
      <c r="E1531" s="61">
        <v>103875000000</v>
      </c>
      <c r="F1531" s="61">
        <v>0</v>
      </c>
      <c r="G1531" s="61">
        <v>0</v>
      </c>
      <c r="H1531" s="61">
        <v>42211000000</v>
      </c>
      <c r="I1531" t="s">
        <v>19</v>
      </c>
      <c r="J1531" t="s">
        <v>75</v>
      </c>
      <c r="K1531" s="61">
        <f t="shared" si="69"/>
        <v>53232000000</v>
      </c>
      <c r="L1531" s="61">
        <f t="shared" si="70"/>
        <v>42211000000</v>
      </c>
      <c r="M1531" s="61">
        <f t="shared" si="71"/>
        <v>11021000000</v>
      </c>
    </row>
    <row r="1532" spans="1:13" x14ac:dyDescent="0.25">
      <c r="A1532" t="s">
        <v>522</v>
      </c>
      <c r="B1532" t="s">
        <v>11</v>
      </c>
      <c r="C1532">
        <v>42735</v>
      </c>
      <c r="D1532" s="61">
        <v>184840000000</v>
      </c>
      <c r="E1532" s="61">
        <v>117038000000</v>
      </c>
      <c r="F1532" s="61">
        <v>0</v>
      </c>
      <c r="G1532" s="61">
        <v>0</v>
      </c>
      <c r="H1532" s="61">
        <v>54872000000</v>
      </c>
      <c r="I1532" t="s">
        <v>19</v>
      </c>
      <c r="J1532" t="s">
        <v>75</v>
      </c>
      <c r="K1532" s="61">
        <f t="shared" si="69"/>
        <v>67802000000</v>
      </c>
      <c r="L1532" s="61">
        <f t="shared" si="70"/>
        <v>54872000000</v>
      </c>
      <c r="M1532" s="61">
        <f t="shared" si="71"/>
        <v>12930000000</v>
      </c>
    </row>
    <row r="1533" spans="1:13" x14ac:dyDescent="0.25">
      <c r="A1533" t="s">
        <v>523</v>
      </c>
      <c r="B1533" t="s">
        <v>6</v>
      </c>
      <c r="C1533">
        <v>41274</v>
      </c>
      <c r="D1533" s="61">
        <v>10515400000</v>
      </c>
      <c r="E1533" s="61">
        <v>7172100000</v>
      </c>
      <c r="F1533" s="61">
        <v>786800000</v>
      </c>
      <c r="G1533" s="61">
        <v>0</v>
      </c>
      <c r="H1533" s="61">
        <v>1161600000</v>
      </c>
      <c r="I1533" t="s">
        <v>41</v>
      </c>
      <c r="J1533" t="s">
        <v>373</v>
      </c>
      <c r="K1533" s="61">
        <f t="shared" si="69"/>
        <v>3343300000</v>
      </c>
      <c r="L1533" s="61">
        <f t="shared" si="70"/>
        <v>1948400000</v>
      </c>
      <c r="M1533" s="61">
        <f t="shared" si="71"/>
        <v>1394900000</v>
      </c>
    </row>
    <row r="1534" spans="1:13" x14ac:dyDescent="0.25">
      <c r="A1534" t="s">
        <v>523</v>
      </c>
      <c r="B1534" t="s">
        <v>9</v>
      </c>
      <c r="C1534">
        <v>41639</v>
      </c>
      <c r="D1534" s="61">
        <v>10368600000</v>
      </c>
      <c r="E1534" s="61">
        <v>7038400000</v>
      </c>
      <c r="F1534" s="61">
        <v>790400000</v>
      </c>
      <c r="G1534" s="61">
        <v>0</v>
      </c>
      <c r="H1534" s="61">
        <v>1170400000</v>
      </c>
      <c r="I1534" t="s">
        <v>41</v>
      </c>
      <c r="J1534" t="s">
        <v>373</v>
      </c>
      <c r="K1534" s="61">
        <f t="shared" si="69"/>
        <v>3330200000</v>
      </c>
      <c r="L1534" s="61">
        <f t="shared" si="70"/>
        <v>1960800000</v>
      </c>
      <c r="M1534" s="61">
        <f t="shared" si="71"/>
        <v>1369400000</v>
      </c>
    </row>
    <row r="1535" spans="1:13" x14ac:dyDescent="0.25">
      <c r="A1535" t="s">
        <v>523</v>
      </c>
      <c r="B1535" t="s">
        <v>10</v>
      </c>
      <c r="C1535">
        <v>42004</v>
      </c>
      <c r="D1535" s="61">
        <v>10524500000</v>
      </c>
      <c r="E1535" s="61">
        <v>7722100000</v>
      </c>
      <c r="F1535" s="61">
        <v>820900000</v>
      </c>
      <c r="G1535" s="61">
        <v>0</v>
      </c>
      <c r="H1535" s="61">
        <v>1272000000</v>
      </c>
      <c r="I1535" t="s">
        <v>41</v>
      </c>
      <c r="J1535" t="s">
        <v>373</v>
      </c>
      <c r="K1535" s="61">
        <f t="shared" si="69"/>
        <v>2802400000</v>
      </c>
      <c r="L1535" s="61">
        <f t="shared" si="70"/>
        <v>2092900000</v>
      </c>
      <c r="M1535" s="61">
        <f t="shared" si="71"/>
        <v>709500000</v>
      </c>
    </row>
    <row r="1536" spans="1:13" x14ac:dyDescent="0.25">
      <c r="A1536" t="s">
        <v>523</v>
      </c>
      <c r="B1536" t="s">
        <v>11</v>
      </c>
      <c r="C1536">
        <v>42369</v>
      </c>
      <c r="D1536" s="61">
        <v>10731300000</v>
      </c>
      <c r="E1536" s="61">
        <v>7209400000</v>
      </c>
      <c r="F1536" s="61">
        <v>835100000</v>
      </c>
      <c r="G1536" s="61">
        <v>0</v>
      </c>
      <c r="H1536" s="61">
        <v>1295700000</v>
      </c>
      <c r="I1536" t="s">
        <v>41</v>
      </c>
      <c r="J1536" t="s">
        <v>373</v>
      </c>
      <c r="K1536" s="61">
        <f t="shared" si="69"/>
        <v>3521900000</v>
      </c>
      <c r="L1536" s="61">
        <f t="shared" si="70"/>
        <v>2130800000</v>
      </c>
      <c r="M1536" s="61">
        <f t="shared" si="71"/>
        <v>1391100000</v>
      </c>
    </row>
    <row r="1537" spans="1:13" x14ac:dyDescent="0.25">
      <c r="A1537" t="s">
        <v>524</v>
      </c>
      <c r="B1537" t="s">
        <v>6</v>
      </c>
      <c r="C1537">
        <v>41639</v>
      </c>
      <c r="D1537" s="61">
        <v>21963000000</v>
      </c>
      <c r="E1537" s="61">
        <v>5849000000</v>
      </c>
      <c r="F1537" s="61">
        <v>6891000000</v>
      </c>
      <c r="G1537" s="61">
        <v>0</v>
      </c>
      <c r="H1537" s="61">
        <v>1777000000</v>
      </c>
      <c r="I1537" t="s">
        <v>7</v>
      </c>
      <c r="J1537" t="s">
        <v>172</v>
      </c>
      <c r="K1537" s="61">
        <f t="shared" si="69"/>
        <v>16114000000</v>
      </c>
      <c r="L1537" s="61">
        <f t="shared" si="70"/>
        <v>8668000000</v>
      </c>
      <c r="M1537" s="61">
        <f t="shared" si="71"/>
        <v>7446000000</v>
      </c>
    </row>
    <row r="1538" spans="1:13" x14ac:dyDescent="0.25">
      <c r="A1538" t="s">
        <v>524</v>
      </c>
      <c r="B1538" t="s">
        <v>9</v>
      </c>
      <c r="C1538">
        <v>42004</v>
      </c>
      <c r="D1538" s="61">
        <v>23988000000</v>
      </c>
      <c r="E1538" s="61">
        <v>6097000000</v>
      </c>
      <c r="F1538" s="61">
        <v>7234000000</v>
      </c>
      <c r="G1538" s="61">
        <v>0</v>
      </c>
      <c r="H1538" s="61">
        <v>1904000000</v>
      </c>
      <c r="I1538" t="s">
        <v>7</v>
      </c>
      <c r="J1538" t="s">
        <v>172</v>
      </c>
      <c r="K1538" s="61">
        <f t="shared" ref="K1538:K1601" si="72">D1538-E1538</f>
        <v>17891000000</v>
      </c>
      <c r="L1538" s="61">
        <f t="shared" ref="L1538:L1601" si="73">F1538+G1538+H1538</f>
        <v>9138000000</v>
      </c>
      <c r="M1538" s="61">
        <f t="shared" si="71"/>
        <v>8753000000</v>
      </c>
    </row>
    <row r="1539" spans="1:13" x14ac:dyDescent="0.25">
      <c r="A1539" t="s">
        <v>524</v>
      </c>
      <c r="B1539" t="s">
        <v>10</v>
      </c>
      <c r="C1539">
        <v>42369</v>
      </c>
      <c r="D1539" s="61">
        <v>21813000000</v>
      </c>
      <c r="E1539" s="61">
        <v>4434000000</v>
      </c>
      <c r="F1539" s="61">
        <v>7315000000</v>
      </c>
      <c r="G1539" s="61">
        <v>0</v>
      </c>
      <c r="H1539" s="61">
        <v>2012000000</v>
      </c>
      <c r="I1539" t="s">
        <v>7</v>
      </c>
      <c r="J1539" t="s">
        <v>172</v>
      </c>
      <c r="K1539" s="61">
        <f t="shared" si="72"/>
        <v>17379000000</v>
      </c>
      <c r="L1539" s="61">
        <f t="shared" si="73"/>
        <v>9327000000</v>
      </c>
      <c r="M1539" s="61">
        <f t="shared" ref="M1539:M1602" si="74">K1539-L1539</f>
        <v>8052000000</v>
      </c>
    </row>
    <row r="1540" spans="1:13" x14ac:dyDescent="0.25">
      <c r="A1540" t="s">
        <v>524</v>
      </c>
      <c r="B1540" t="s">
        <v>11</v>
      </c>
      <c r="C1540">
        <v>42735</v>
      </c>
      <c r="D1540" s="61">
        <v>19941000000</v>
      </c>
      <c r="E1540" s="61">
        <v>3747000000</v>
      </c>
      <c r="F1540" s="61">
        <v>6884000000</v>
      </c>
      <c r="G1540" s="61">
        <v>0</v>
      </c>
      <c r="H1540" s="61">
        <v>2038000000</v>
      </c>
      <c r="I1540" t="s">
        <v>7</v>
      </c>
      <c r="J1540" t="s">
        <v>172</v>
      </c>
      <c r="K1540" s="61">
        <f t="shared" si="72"/>
        <v>16194000000</v>
      </c>
      <c r="L1540" s="61">
        <f t="shared" si="73"/>
        <v>8922000000</v>
      </c>
      <c r="M1540" s="61">
        <f t="shared" si="74"/>
        <v>7272000000</v>
      </c>
    </row>
    <row r="1541" spans="1:13" x14ac:dyDescent="0.25">
      <c r="A1541" t="s">
        <v>525</v>
      </c>
      <c r="B1541" t="s">
        <v>6</v>
      </c>
      <c r="C1541">
        <v>41274</v>
      </c>
      <c r="D1541" s="61">
        <v>54127000000</v>
      </c>
      <c r="E1541" s="61">
        <v>13574000000</v>
      </c>
      <c r="F1541" s="61">
        <v>37352000000</v>
      </c>
      <c r="G1541" s="61">
        <v>0</v>
      </c>
      <c r="H1541" s="61">
        <v>1858000000</v>
      </c>
      <c r="I1541" t="s">
        <v>7</v>
      </c>
      <c r="J1541" t="s">
        <v>140</v>
      </c>
      <c r="K1541" s="61">
        <f t="shared" si="72"/>
        <v>40553000000</v>
      </c>
      <c r="L1541" s="61">
        <f t="shared" si="73"/>
        <v>39210000000</v>
      </c>
      <c r="M1541" s="61">
        <f t="shared" si="74"/>
        <v>1343000000</v>
      </c>
    </row>
    <row r="1542" spans="1:13" x14ac:dyDescent="0.25">
      <c r="A1542" t="s">
        <v>525</v>
      </c>
      <c r="B1542" t="s">
        <v>9</v>
      </c>
      <c r="C1542">
        <v>41639</v>
      </c>
      <c r="D1542" s="61">
        <v>55438000000</v>
      </c>
      <c r="E1542" s="61">
        <v>13703000000</v>
      </c>
      <c r="F1542" s="61">
        <v>32834000000</v>
      </c>
      <c r="G1542" s="61">
        <v>0</v>
      </c>
      <c r="H1542" s="61">
        <v>1867000000</v>
      </c>
      <c r="I1542" t="s">
        <v>7</v>
      </c>
      <c r="J1542" t="s">
        <v>140</v>
      </c>
      <c r="K1542" s="61">
        <f t="shared" si="72"/>
        <v>41735000000</v>
      </c>
      <c r="L1542" s="61">
        <f t="shared" si="73"/>
        <v>34701000000</v>
      </c>
      <c r="M1542" s="61">
        <f t="shared" si="74"/>
        <v>7034000000</v>
      </c>
    </row>
    <row r="1543" spans="1:13" x14ac:dyDescent="0.25">
      <c r="A1543" t="s">
        <v>525</v>
      </c>
      <c r="B1543" t="s">
        <v>10</v>
      </c>
      <c r="C1543">
        <v>42004</v>
      </c>
      <c r="D1543" s="61">
        <v>58232000000</v>
      </c>
      <c r="E1543" s="61">
        <v>14758000000</v>
      </c>
      <c r="F1543" s="61">
        <v>36583000000</v>
      </c>
      <c r="G1543" s="61">
        <v>0</v>
      </c>
      <c r="H1543" s="61">
        <v>1923000000</v>
      </c>
      <c r="I1543" t="s">
        <v>7</v>
      </c>
      <c r="J1543" t="s">
        <v>140</v>
      </c>
      <c r="K1543" s="61">
        <f t="shared" si="72"/>
        <v>43474000000</v>
      </c>
      <c r="L1543" s="61">
        <f t="shared" si="73"/>
        <v>38506000000</v>
      </c>
      <c r="M1543" s="61">
        <f t="shared" si="74"/>
        <v>4968000000</v>
      </c>
    </row>
    <row r="1544" spans="1:13" x14ac:dyDescent="0.25">
      <c r="A1544" t="s">
        <v>525</v>
      </c>
      <c r="B1544" t="s">
        <v>11</v>
      </c>
      <c r="C1544">
        <v>42369</v>
      </c>
      <c r="D1544" s="61">
        <v>58363000000</v>
      </c>
      <c r="E1544" s="61">
        <v>12947000000</v>
      </c>
      <c r="F1544" s="61">
        <v>35664000000</v>
      </c>
      <c r="G1544" s="61">
        <v>0</v>
      </c>
      <c r="H1544" s="61">
        <v>2084000000</v>
      </c>
      <c r="I1544" t="s">
        <v>7</v>
      </c>
      <c r="J1544" t="s">
        <v>140</v>
      </c>
      <c r="K1544" s="61">
        <f t="shared" si="72"/>
        <v>45416000000</v>
      </c>
      <c r="L1544" s="61">
        <f t="shared" si="73"/>
        <v>37748000000</v>
      </c>
      <c r="M1544" s="61">
        <f t="shared" si="74"/>
        <v>7668000000</v>
      </c>
    </row>
    <row r="1545" spans="1:13" x14ac:dyDescent="0.25">
      <c r="A1545" t="s">
        <v>526</v>
      </c>
      <c r="B1545" t="s">
        <v>6</v>
      </c>
      <c r="C1545">
        <v>41305</v>
      </c>
      <c r="D1545" s="61">
        <v>2794925000</v>
      </c>
      <c r="E1545" s="61">
        <v>1763394000</v>
      </c>
      <c r="F1545" s="61">
        <v>657246000</v>
      </c>
      <c r="G1545" s="61">
        <v>0</v>
      </c>
      <c r="H1545" s="61">
        <v>0</v>
      </c>
      <c r="I1545" t="s">
        <v>13</v>
      </c>
      <c r="J1545" t="s">
        <v>251</v>
      </c>
      <c r="K1545" s="61">
        <f t="shared" si="72"/>
        <v>1031531000</v>
      </c>
      <c r="L1545" s="61">
        <f t="shared" si="73"/>
        <v>657246000</v>
      </c>
      <c r="M1545" s="61">
        <f t="shared" si="74"/>
        <v>374285000</v>
      </c>
    </row>
    <row r="1546" spans="1:13" x14ac:dyDescent="0.25">
      <c r="A1546" t="s">
        <v>526</v>
      </c>
      <c r="B1546" t="s">
        <v>9</v>
      </c>
      <c r="C1546">
        <v>41670</v>
      </c>
      <c r="D1546" s="61">
        <v>3086608000</v>
      </c>
      <c r="E1546" s="61">
        <v>1925266000</v>
      </c>
      <c r="F1546" s="61">
        <v>734511000</v>
      </c>
      <c r="G1546" s="61">
        <v>0</v>
      </c>
      <c r="H1546" s="61">
        <v>0</v>
      </c>
      <c r="I1546" t="s">
        <v>13</v>
      </c>
      <c r="J1546" t="s">
        <v>251</v>
      </c>
      <c r="K1546" s="61">
        <f t="shared" si="72"/>
        <v>1161342000</v>
      </c>
      <c r="L1546" s="61">
        <f t="shared" si="73"/>
        <v>734511000</v>
      </c>
      <c r="M1546" s="61">
        <f t="shared" si="74"/>
        <v>426831000</v>
      </c>
    </row>
    <row r="1547" spans="1:13" x14ac:dyDescent="0.25">
      <c r="A1547" t="s">
        <v>526</v>
      </c>
      <c r="B1547" t="s">
        <v>10</v>
      </c>
      <c r="C1547">
        <v>42035</v>
      </c>
      <c r="D1547" s="61">
        <v>3323077000</v>
      </c>
      <c r="E1547" s="61">
        <v>2148147000</v>
      </c>
      <c r="F1547" s="61">
        <v>809545000</v>
      </c>
      <c r="G1547" s="61">
        <v>0</v>
      </c>
      <c r="H1547" s="61">
        <v>0</v>
      </c>
      <c r="I1547" t="s">
        <v>13</v>
      </c>
      <c r="J1547" t="s">
        <v>251</v>
      </c>
      <c r="K1547" s="61">
        <f t="shared" si="72"/>
        <v>1174930000</v>
      </c>
      <c r="L1547" s="61">
        <f t="shared" si="73"/>
        <v>809545000</v>
      </c>
      <c r="M1547" s="61">
        <f t="shared" si="74"/>
        <v>365385000</v>
      </c>
    </row>
    <row r="1548" spans="1:13" x14ac:dyDescent="0.25">
      <c r="A1548" t="s">
        <v>526</v>
      </c>
      <c r="B1548" t="s">
        <v>11</v>
      </c>
      <c r="C1548">
        <v>42400</v>
      </c>
      <c r="D1548" s="61">
        <v>3445134000</v>
      </c>
      <c r="E1548" s="61">
        <v>2243232000</v>
      </c>
      <c r="F1548" s="61">
        <v>848323000</v>
      </c>
      <c r="G1548" s="61">
        <v>0</v>
      </c>
      <c r="H1548" s="61">
        <v>0</v>
      </c>
      <c r="I1548" t="s">
        <v>13</v>
      </c>
      <c r="J1548" t="s">
        <v>251</v>
      </c>
      <c r="K1548" s="61">
        <f t="shared" si="72"/>
        <v>1201902000</v>
      </c>
      <c r="L1548" s="61">
        <f t="shared" si="73"/>
        <v>848323000</v>
      </c>
      <c r="M1548" s="61">
        <f t="shared" si="74"/>
        <v>353579000</v>
      </c>
    </row>
    <row r="1549" spans="1:13" x14ac:dyDescent="0.25">
      <c r="A1549" t="s">
        <v>527</v>
      </c>
      <c r="B1549" t="s">
        <v>6</v>
      </c>
      <c r="C1549">
        <v>41486</v>
      </c>
      <c r="D1549" s="61">
        <v>2436948000</v>
      </c>
      <c r="E1549" s="61">
        <v>1589821000</v>
      </c>
      <c r="F1549" s="61">
        <v>441168000</v>
      </c>
      <c r="G1549" s="61">
        <v>62630000</v>
      </c>
      <c r="H1549" s="61">
        <v>0</v>
      </c>
      <c r="I1549" t="s">
        <v>41</v>
      </c>
      <c r="J1549" t="s">
        <v>99</v>
      </c>
      <c r="K1549" s="61">
        <f t="shared" si="72"/>
        <v>847127000</v>
      </c>
      <c r="L1549" s="61">
        <f t="shared" si="73"/>
        <v>503798000</v>
      </c>
      <c r="M1549" s="61">
        <f t="shared" si="74"/>
        <v>343329000</v>
      </c>
    </row>
    <row r="1550" spans="1:13" x14ac:dyDescent="0.25">
      <c r="A1550" t="s">
        <v>527</v>
      </c>
      <c r="B1550" t="s">
        <v>9</v>
      </c>
      <c r="C1550">
        <v>41851</v>
      </c>
      <c r="D1550" s="61">
        <v>2473500000</v>
      </c>
      <c r="E1550" s="61">
        <v>1595700000</v>
      </c>
      <c r="F1550" s="61">
        <v>460300000</v>
      </c>
      <c r="G1550" s="61">
        <v>61800000</v>
      </c>
      <c r="H1550" s="61">
        <v>0</v>
      </c>
      <c r="I1550" t="s">
        <v>41</v>
      </c>
      <c r="J1550" t="s">
        <v>99</v>
      </c>
      <c r="K1550" s="61">
        <f t="shared" si="72"/>
        <v>877800000</v>
      </c>
      <c r="L1550" s="61">
        <f t="shared" si="73"/>
        <v>522100000</v>
      </c>
      <c r="M1550" s="61">
        <f t="shared" si="74"/>
        <v>355700000</v>
      </c>
    </row>
    <row r="1551" spans="1:13" x14ac:dyDescent="0.25">
      <c r="A1551" t="s">
        <v>527</v>
      </c>
      <c r="B1551" t="s">
        <v>10</v>
      </c>
      <c r="C1551">
        <v>42216</v>
      </c>
      <c r="D1551" s="61">
        <v>2371200000</v>
      </c>
      <c r="E1551" s="61">
        <v>1562600000</v>
      </c>
      <c r="F1551" s="61">
        <v>460100000</v>
      </c>
      <c r="G1551" s="61">
        <v>60200000</v>
      </c>
      <c r="H1551" s="61">
        <v>0</v>
      </c>
      <c r="I1551" t="s">
        <v>41</v>
      </c>
      <c r="J1551" t="s">
        <v>99</v>
      </c>
      <c r="K1551" s="61">
        <f t="shared" si="72"/>
        <v>808600000</v>
      </c>
      <c r="L1551" s="61">
        <f t="shared" si="73"/>
        <v>520300000</v>
      </c>
      <c r="M1551" s="61">
        <f t="shared" si="74"/>
        <v>288300000</v>
      </c>
    </row>
    <row r="1552" spans="1:13" x14ac:dyDescent="0.25">
      <c r="A1552" t="s">
        <v>527</v>
      </c>
      <c r="B1552" t="s">
        <v>11</v>
      </c>
      <c r="C1552">
        <v>42582</v>
      </c>
      <c r="D1552" s="61">
        <v>2220300000</v>
      </c>
      <c r="E1552" s="61">
        <v>1465500000</v>
      </c>
      <c r="F1552" s="61">
        <v>425100000</v>
      </c>
      <c r="G1552" s="61">
        <v>55500000</v>
      </c>
      <c r="H1552" s="61">
        <v>0</v>
      </c>
      <c r="I1552" t="s">
        <v>41</v>
      </c>
      <c r="J1552" t="s">
        <v>99</v>
      </c>
      <c r="K1552" s="61">
        <f t="shared" si="72"/>
        <v>754800000</v>
      </c>
      <c r="L1552" s="61">
        <f t="shared" si="73"/>
        <v>480600000</v>
      </c>
      <c r="M1552" s="61">
        <f t="shared" si="74"/>
        <v>274200000</v>
      </c>
    </row>
    <row r="1553" spans="1:13" x14ac:dyDescent="0.25">
      <c r="A1553" t="s">
        <v>528</v>
      </c>
      <c r="B1553" t="s">
        <v>6</v>
      </c>
      <c r="C1553">
        <v>41639</v>
      </c>
      <c r="D1553" s="61">
        <v>56600000000</v>
      </c>
      <c r="E1553" s="61">
        <v>40468000000</v>
      </c>
      <c r="F1553" s="61">
        <v>5241000000</v>
      </c>
      <c r="G1553" s="61">
        <v>2342000000</v>
      </c>
      <c r="H1553" s="61">
        <v>0</v>
      </c>
      <c r="I1553" t="s">
        <v>7</v>
      </c>
      <c r="J1553" t="s">
        <v>158</v>
      </c>
      <c r="K1553" s="61">
        <f t="shared" si="72"/>
        <v>16132000000</v>
      </c>
      <c r="L1553" s="61">
        <f t="shared" si="73"/>
        <v>7583000000</v>
      </c>
      <c r="M1553" s="61">
        <f t="shared" si="74"/>
        <v>8549000000</v>
      </c>
    </row>
    <row r="1554" spans="1:13" x14ac:dyDescent="0.25">
      <c r="A1554" t="s">
        <v>528</v>
      </c>
      <c r="B1554" t="s">
        <v>9</v>
      </c>
      <c r="C1554">
        <v>42004</v>
      </c>
      <c r="D1554" s="61">
        <v>57900000000</v>
      </c>
      <c r="E1554" s="61">
        <v>40898000000</v>
      </c>
      <c r="F1554" s="61">
        <v>4934000000</v>
      </c>
      <c r="G1554" s="61">
        <v>2475000000</v>
      </c>
      <c r="H1554" s="61">
        <v>0</v>
      </c>
      <c r="I1554" t="s">
        <v>7</v>
      </c>
      <c r="J1554" t="s">
        <v>158</v>
      </c>
      <c r="K1554" s="61">
        <f t="shared" si="72"/>
        <v>17002000000</v>
      </c>
      <c r="L1554" s="61">
        <f t="shared" si="73"/>
        <v>7409000000</v>
      </c>
      <c r="M1554" s="61">
        <f t="shared" si="74"/>
        <v>9593000000</v>
      </c>
    </row>
    <row r="1555" spans="1:13" x14ac:dyDescent="0.25">
      <c r="A1555" t="s">
        <v>528</v>
      </c>
      <c r="B1555" t="s">
        <v>10</v>
      </c>
      <c r="C1555">
        <v>42369</v>
      </c>
      <c r="D1555" s="61">
        <v>56098000000</v>
      </c>
      <c r="E1555" s="61">
        <v>40431000000</v>
      </c>
      <c r="F1555" s="61">
        <v>6097000000</v>
      </c>
      <c r="G1555" s="61">
        <v>2279000000</v>
      </c>
      <c r="H1555" s="61">
        <v>0</v>
      </c>
      <c r="I1555" t="s">
        <v>7</v>
      </c>
      <c r="J1555" t="s">
        <v>158</v>
      </c>
      <c r="K1555" s="61">
        <f t="shared" si="72"/>
        <v>15667000000</v>
      </c>
      <c r="L1555" s="61">
        <f t="shared" si="73"/>
        <v>8376000000</v>
      </c>
      <c r="M1555" s="61">
        <f t="shared" si="74"/>
        <v>7291000000</v>
      </c>
    </row>
    <row r="1556" spans="1:13" x14ac:dyDescent="0.25">
      <c r="A1556" t="s">
        <v>528</v>
      </c>
      <c r="B1556" t="s">
        <v>11</v>
      </c>
      <c r="C1556">
        <v>42735</v>
      </c>
      <c r="D1556" s="61">
        <v>57244000000</v>
      </c>
      <c r="E1556" s="61">
        <v>41460000000</v>
      </c>
      <c r="F1556" s="61">
        <v>5275000000</v>
      </c>
      <c r="G1556" s="61">
        <v>2337000000</v>
      </c>
      <c r="H1556" s="61">
        <v>0</v>
      </c>
      <c r="I1556" t="s">
        <v>7</v>
      </c>
      <c r="J1556" t="s">
        <v>158</v>
      </c>
      <c r="K1556" s="61">
        <f t="shared" si="72"/>
        <v>15784000000</v>
      </c>
      <c r="L1556" s="61">
        <f t="shared" si="73"/>
        <v>7612000000</v>
      </c>
      <c r="M1556" s="61">
        <f t="shared" si="74"/>
        <v>8172000000</v>
      </c>
    </row>
    <row r="1557" spans="1:13" x14ac:dyDescent="0.25">
      <c r="A1557" t="s">
        <v>529</v>
      </c>
      <c r="B1557" t="s">
        <v>6</v>
      </c>
      <c r="C1557">
        <v>41547</v>
      </c>
      <c r="D1557" s="61">
        <v>11778000000</v>
      </c>
      <c r="E1557" s="61">
        <v>1932000000</v>
      </c>
      <c r="F1557" s="61">
        <v>2207000000</v>
      </c>
      <c r="G1557" s="61">
        <v>0</v>
      </c>
      <c r="H1557" s="61">
        <v>397000000</v>
      </c>
      <c r="I1557" t="s">
        <v>16</v>
      </c>
      <c r="J1557" t="s">
        <v>51</v>
      </c>
      <c r="K1557" s="61">
        <f t="shared" si="72"/>
        <v>9846000000</v>
      </c>
      <c r="L1557" s="61">
        <f t="shared" si="73"/>
        <v>2604000000</v>
      </c>
      <c r="M1557" s="61">
        <f t="shared" si="74"/>
        <v>7242000000</v>
      </c>
    </row>
    <row r="1558" spans="1:13" x14ac:dyDescent="0.25">
      <c r="A1558" t="s">
        <v>529</v>
      </c>
      <c r="B1558" t="s">
        <v>9</v>
      </c>
      <c r="C1558">
        <v>41912</v>
      </c>
      <c r="D1558" s="61">
        <v>12702000000</v>
      </c>
      <c r="E1558" s="61">
        <v>1875000000</v>
      </c>
      <c r="F1558" s="61">
        <v>2242000000</v>
      </c>
      <c r="G1558" s="61">
        <v>0</v>
      </c>
      <c r="H1558" s="61">
        <v>435000000</v>
      </c>
      <c r="I1558" t="s">
        <v>16</v>
      </c>
      <c r="J1558" t="s">
        <v>51</v>
      </c>
      <c r="K1558" s="61">
        <f t="shared" si="72"/>
        <v>10827000000</v>
      </c>
      <c r="L1558" s="61">
        <f t="shared" si="73"/>
        <v>2677000000</v>
      </c>
      <c r="M1558" s="61">
        <f t="shared" si="74"/>
        <v>8150000000</v>
      </c>
    </row>
    <row r="1559" spans="1:13" x14ac:dyDescent="0.25">
      <c r="A1559" t="s">
        <v>529</v>
      </c>
      <c r="B1559" t="s">
        <v>10</v>
      </c>
      <c r="C1559">
        <v>42277</v>
      </c>
      <c r="D1559" s="61">
        <v>13880000000</v>
      </c>
      <c r="E1559" s="61">
        <v>2079000000</v>
      </c>
      <c r="F1559" s="61">
        <v>2229000000</v>
      </c>
      <c r="G1559" s="61">
        <v>0</v>
      </c>
      <c r="H1559" s="61">
        <v>494000000</v>
      </c>
      <c r="I1559" t="s">
        <v>16</v>
      </c>
      <c r="J1559" t="s">
        <v>51</v>
      </c>
      <c r="K1559" s="61">
        <f t="shared" si="72"/>
        <v>11801000000</v>
      </c>
      <c r="L1559" s="61">
        <f t="shared" si="73"/>
        <v>2723000000</v>
      </c>
      <c r="M1559" s="61">
        <f t="shared" si="74"/>
        <v>9078000000</v>
      </c>
    </row>
    <row r="1560" spans="1:13" x14ac:dyDescent="0.25">
      <c r="A1560" t="s">
        <v>529</v>
      </c>
      <c r="B1560" t="s">
        <v>11</v>
      </c>
      <c r="C1560">
        <v>42643</v>
      </c>
      <c r="D1560" s="61">
        <v>15082000000</v>
      </c>
      <c r="E1560" s="61">
        <v>2226000000</v>
      </c>
      <c r="F1560" s="61">
        <v>4469000000</v>
      </c>
      <c r="G1560" s="61">
        <v>0</v>
      </c>
      <c r="H1560" s="61">
        <v>502000000</v>
      </c>
      <c r="I1560" t="s">
        <v>16</v>
      </c>
      <c r="J1560" t="s">
        <v>51</v>
      </c>
      <c r="K1560" s="61">
        <f t="shared" si="72"/>
        <v>12856000000</v>
      </c>
      <c r="L1560" s="61">
        <f t="shared" si="73"/>
        <v>4971000000</v>
      </c>
      <c r="M1560" s="61">
        <f t="shared" si="74"/>
        <v>7885000000</v>
      </c>
    </row>
    <row r="1561" spans="1:13" x14ac:dyDescent="0.25">
      <c r="A1561" t="s">
        <v>530</v>
      </c>
      <c r="B1561" t="s">
        <v>6</v>
      </c>
      <c r="C1561">
        <v>41544</v>
      </c>
      <c r="D1561" s="61">
        <v>2942897000</v>
      </c>
      <c r="E1561" s="61">
        <v>1693210000</v>
      </c>
      <c r="F1561" s="61">
        <v>432589000</v>
      </c>
      <c r="G1561" s="61">
        <v>208208000</v>
      </c>
      <c r="H1561" s="61">
        <v>0</v>
      </c>
      <c r="I1561" t="s">
        <v>19</v>
      </c>
      <c r="J1561" t="s">
        <v>24</v>
      </c>
      <c r="K1561" s="61">
        <f t="shared" si="72"/>
        <v>1249687000</v>
      </c>
      <c r="L1561" s="61">
        <f t="shared" si="73"/>
        <v>640797000</v>
      </c>
      <c r="M1561" s="61">
        <f t="shared" si="74"/>
        <v>608890000</v>
      </c>
    </row>
    <row r="1562" spans="1:13" x14ac:dyDescent="0.25">
      <c r="A1562" t="s">
        <v>530</v>
      </c>
      <c r="B1562" t="s">
        <v>9</v>
      </c>
      <c r="C1562">
        <v>41908</v>
      </c>
      <c r="D1562" s="61">
        <v>3049800000</v>
      </c>
      <c r="E1562" s="61">
        <v>1748100000</v>
      </c>
      <c r="F1562" s="61">
        <v>470600000</v>
      </c>
      <c r="G1562" s="61">
        <v>234800000</v>
      </c>
      <c r="H1562" s="61">
        <v>0</v>
      </c>
      <c r="I1562" t="s">
        <v>19</v>
      </c>
      <c r="J1562" t="s">
        <v>24</v>
      </c>
      <c r="K1562" s="61">
        <f t="shared" si="72"/>
        <v>1301700000</v>
      </c>
      <c r="L1562" s="61">
        <f t="shared" si="73"/>
        <v>705400000</v>
      </c>
      <c r="M1562" s="61">
        <f t="shared" si="74"/>
        <v>596300000</v>
      </c>
    </row>
    <row r="1563" spans="1:13" x14ac:dyDescent="0.25">
      <c r="A1563" t="s">
        <v>530</v>
      </c>
      <c r="B1563" t="s">
        <v>10</v>
      </c>
      <c r="C1563">
        <v>42279</v>
      </c>
      <c r="D1563" s="61">
        <v>3099100000</v>
      </c>
      <c r="E1563" s="61">
        <v>1816400000</v>
      </c>
      <c r="F1563" s="61">
        <v>488500000</v>
      </c>
      <c r="G1563" s="61">
        <v>245200000</v>
      </c>
      <c r="H1563" s="61">
        <v>0</v>
      </c>
      <c r="I1563" t="s">
        <v>19</v>
      </c>
      <c r="J1563" t="s">
        <v>24</v>
      </c>
      <c r="K1563" s="61">
        <f t="shared" si="72"/>
        <v>1282700000</v>
      </c>
      <c r="L1563" s="61">
        <f t="shared" si="73"/>
        <v>733700000</v>
      </c>
      <c r="M1563" s="61">
        <f t="shared" si="74"/>
        <v>549000000</v>
      </c>
    </row>
    <row r="1564" spans="1:13" x14ac:dyDescent="0.25">
      <c r="A1564" t="s">
        <v>530</v>
      </c>
      <c r="B1564" t="s">
        <v>11</v>
      </c>
      <c r="C1564">
        <v>42643</v>
      </c>
      <c r="D1564" s="61">
        <v>3217800000</v>
      </c>
      <c r="E1564" s="61">
        <v>1856500000</v>
      </c>
      <c r="F1564" s="61">
        <v>557000000</v>
      </c>
      <c r="G1564" s="61">
        <v>253500000</v>
      </c>
      <c r="H1564" s="61">
        <v>0</v>
      </c>
      <c r="I1564" t="s">
        <v>19</v>
      </c>
      <c r="J1564" t="s">
        <v>24</v>
      </c>
      <c r="K1564" s="61">
        <f t="shared" si="72"/>
        <v>1361300000</v>
      </c>
      <c r="L1564" s="61">
        <f t="shared" si="73"/>
        <v>810500000</v>
      </c>
      <c r="M1564" s="61">
        <f t="shared" si="74"/>
        <v>550800000</v>
      </c>
    </row>
    <row r="1565" spans="1:13" x14ac:dyDescent="0.25">
      <c r="A1565" t="s">
        <v>531</v>
      </c>
      <c r="B1565" t="s">
        <v>6</v>
      </c>
      <c r="C1565">
        <v>41274</v>
      </c>
      <c r="D1565" s="61">
        <v>10879855000</v>
      </c>
      <c r="E1565" s="61">
        <v>5817880000</v>
      </c>
      <c r="F1565" s="61">
        <v>3596708000</v>
      </c>
      <c r="G1565" s="61">
        <v>0</v>
      </c>
      <c r="H1565" s="61">
        <v>0</v>
      </c>
      <c r="I1565" t="s">
        <v>13</v>
      </c>
      <c r="J1565" t="s">
        <v>283</v>
      </c>
      <c r="K1565" s="61">
        <f t="shared" si="72"/>
        <v>5061975000</v>
      </c>
      <c r="L1565" s="61">
        <f t="shared" si="73"/>
        <v>3596708000</v>
      </c>
      <c r="M1565" s="61">
        <f t="shared" si="74"/>
        <v>1465267000</v>
      </c>
    </row>
    <row r="1566" spans="1:13" x14ac:dyDescent="0.25">
      <c r="A1566" t="s">
        <v>531</v>
      </c>
      <c r="B1566" t="s">
        <v>9</v>
      </c>
      <c r="C1566">
        <v>41639</v>
      </c>
      <c r="D1566" s="61">
        <v>11419648000</v>
      </c>
      <c r="E1566" s="61">
        <v>5931469000</v>
      </c>
      <c r="F1566" s="61">
        <v>3841032000</v>
      </c>
      <c r="G1566" s="61">
        <v>0</v>
      </c>
      <c r="H1566" s="61">
        <v>0</v>
      </c>
      <c r="I1566" t="s">
        <v>13</v>
      </c>
      <c r="J1566" t="s">
        <v>283</v>
      </c>
      <c r="K1566" s="61">
        <f t="shared" si="72"/>
        <v>5488179000</v>
      </c>
      <c r="L1566" s="61">
        <f t="shared" si="73"/>
        <v>3841032000</v>
      </c>
      <c r="M1566" s="61">
        <f t="shared" si="74"/>
        <v>1647147000</v>
      </c>
    </row>
    <row r="1567" spans="1:13" x14ac:dyDescent="0.25">
      <c r="A1567" t="s">
        <v>531</v>
      </c>
      <c r="B1567" t="s">
        <v>10</v>
      </c>
      <c r="C1567">
        <v>42007</v>
      </c>
      <c r="D1567" s="61">
        <v>12282161000</v>
      </c>
      <c r="E1567" s="61">
        <v>6288190000</v>
      </c>
      <c r="F1567" s="61">
        <v>4159885000</v>
      </c>
      <c r="G1567" s="61">
        <v>0</v>
      </c>
      <c r="H1567" s="61">
        <v>0</v>
      </c>
      <c r="I1567" t="s">
        <v>13</v>
      </c>
      <c r="J1567" t="s">
        <v>283</v>
      </c>
      <c r="K1567" s="61">
        <f t="shared" si="72"/>
        <v>5993971000</v>
      </c>
      <c r="L1567" s="61">
        <f t="shared" si="73"/>
        <v>4159885000</v>
      </c>
      <c r="M1567" s="61">
        <f t="shared" si="74"/>
        <v>1834086000</v>
      </c>
    </row>
    <row r="1568" spans="1:13" x14ac:dyDescent="0.25">
      <c r="A1568" t="s">
        <v>531</v>
      </c>
      <c r="B1568" t="s">
        <v>11</v>
      </c>
      <c r="C1568">
        <v>42371</v>
      </c>
      <c r="D1568" s="61">
        <v>12376744000</v>
      </c>
      <c r="E1568" s="61">
        <v>6393800000</v>
      </c>
      <c r="F1568" s="61">
        <v>4178386000</v>
      </c>
      <c r="G1568" s="61">
        <v>0</v>
      </c>
      <c r="H1568" s="61">
        <v>0</v>
      </c>
      <c r="I1568" t="s">
        <v>13</v>
      </c>
      <c r="J1568" t="s">
        <v>283</v>
      </c>
      <c r="K1568" s="61">
        <f t="shared" si="72"/>
        <v>5982944000</v>
      </c>
      <c r="L1568" s="61">
        <f t="shared" si="73"/>
        <v>4178386000</v>
      </c>
      <c r="M1568" s="61">
        <f t="shared" si="74"/>
        <v>1804558000</v>
      </c>
    </row>
    <row r="1569" spans="1:13" x14ac:dyDescent="0.25">
      <c r="A1569" t="s">
        <v>532</v>
      </c>
      <c r="B1569" t="s">
        <v>6</v>
      </c>
      <c r="C1569">
        <v>41547</v>
      </c>
      <c r="D1569" s="61">
        <v>13794000000</v>
      </c>
      <c r="E1569" s="61">
        <v>6799000000</v>
      </c>
      <c r="F1569" s="61">
        <v>2829000000</v>
      </c>
      <c r="G1569" s="61">
        <v>0</v>
      </c>
      <c r="H1569" s="61">
        <v>237000000</v>
      </c>
      <c r="I1569" t="s">
        <v>13</v>
      </c>
      <c r="J1569" t="s">
        <v>198</v>
      </c>
      <c r="K1569" s="61">
        <f t="shared" si="72"/>
        <v>6995000000</v>
      </c>
      <c r="L1569" s="61">
        <f t="shared" si="73"/>
        <v>3066000000</v>
      </c>
      <c r="M1569" s="61">
        <f t="shared" si="74"/>
        <v>3929000000</v>
      </c>
    </row>
    <row r="1570" spans="1:13" x14ac:dyDescent="0.25">
      <c r="A1570" t="s">
        <v>532</v>
      </c>
      <c r="B1570" t="s">
        <v>9</v>
      </c>
      <c r="C1570">
        <v>41912</v>
      </c>
      <c r="D1570" s="61">
        <v>13783000000</v>
      </c>
      <c r="E1570" s="61">
        <v>6542000000</v>
      </c>
      <c r="F1570" s="61">
        <v>2899000000</v>
      </c>
      <c r="G1570" s="61">
        <v>0</v>
      </c>
      <c r="H1570" s="61">
        <v>217000000</v>
      </c>
      <c r="I1570" t="s">
        <v>13</v>
      </c>
      <c r="J1570" t="s">
        <v>198</v>
      </c>
      <c r="K1570" s="61">
        <f t="shared" si="72"/>
        <v>7241000000</v>
      </c>
      <c r="L1570" s="61">
        <f t="shared" si="73"/>
        <v>3116000000</v>
      </c>
      <c r="M1570" s="61">
        <f t="shared" si="74"/>
        <v>4125000000</v>
      </c>
    </row>
    <row r="1571" spans="1:13" x14ac:dyDescent="0.25">
      <c r="A1571" t="s">
        <v>532</v>
      </c>
      <c r="B1571" t="s">
        <v>10</v>
      </c>
      <c r="C1571">
        <v>42277</v>
      </c>
      <c r="D1571" s="61">
        <v>13268000000</v>
      </c>
      <c r="E1571" s="61">
        <v>6868000000</v>
      </c>
      <c r="F1571" s="61">
        <v>2860000000</v>
      </c>
      <c r="G1571" s="61">
        <v>0</v>
      </c>
      <c r="H1571" s="61">
        <v>222000000</v>
      </c>
      <c r="I1571" t="s">
        <v>13</v>
      </c>
      <c r="J1571" t="s">
        <v>198</v>
      </c>
      <c r="K1571" s="61">
        <f t="shared" si="72"/>
        <v>6400000000</v>
      </c>
      <c r="L1571" s="61">
        <f t="shared" si="73"/>
        <v>3082000000</v>
      </c>
      <c r="M1571" s="61">
        <f t="shared" si="74"/>
        <v>3318000000</v>
      </c>
    </row>
    <row r="1572" spans="1:13" x14ac:dyDescent="0.25">
      <c r="A1572" t="s">
        <v>532</v>
      </c>
      <c r="B1572" t="s">
        <v>11</v>
      </c>
      <c r="C1572">
        <v>42643</v>
      </c>
      <c r="D1572" s="61">
        <v>12488000000</v>
      </c>
      <c r="E1572" s="61">
        <v>6684000000</v>
      </c>
      <c r="F1572" s="61">
        <v>2851000000</v>
      </c>
      <c r="G1572" s="61">
        <v>0</v>
      </c>
      <c r="H1572" s="61">
        <v>221000000</v>
      </c>
      <c r="I1572" t="s">
        <v>13</v>
      </c>
      <c r="J1572" t="s">
        <v>198</v>
      </c>
      <c r="K1572" s="61">
        <f t="shared" si="72"/>
        <v>5804000000</v>
      </c>
      <c r="L1572" s="61">
        <f t="shared" si="73"/>
        <v>3072000000</v>
      </c>
      <c r="M1572" s="61">
        <f t="shared" si="74"/>
        <v>2732000000</v>
      </c>
    </row>
    <row r="1573" spans="1:13" x14ac:dyDescent="0.25">
      <c r="A1573" t="s">
        <v>533</v>
      </c>
      <c r="B1573" t="s">
        <v>6</v>
      </c>
      <c r="C1573">
        <v>41274</v>
      </c>
      <c r="D1573" s="61">
        <v>138393000000</v>
      </c>
      <c r="E1573" s="61">
        <v>126485000000</v>
      </c>
      <c r="F1573" s="61">
        <v>5229000000</v>
      </c>
      <c r="G1573" s="61">
        <v>0</v>
      </c>
      <c r="H1573" s="61">
        <v>1549000000</v>
      </c>
      <c r="I1573" t="s">
        <v>77</v>
      </c>
      <c r="J1573" t="s">
        <v>335</v>
      </c>
      <c r="K1573" s="61">
        <f t="shared" si="72"/>
        <v>11908000000</v>
      </c>
      <c r="L1573" s="61">
        <f t="shared" si="73"/>
        <v>6778000000</v>
      </c>
      <c r="M1573" s="61">
        <f t="shared" si="74"/>
        <v>5130000000</v>
      </c>
    </row>
    <row r="1574" spans="1:13" x14ac:dyDescent="0.25">
      <c r="A1574" t="s">
        <v>533</v>
      </c>
      <c r="B1574" t="s">
        <v>9</v>
      </c>
      <c r="C1574">
        <v>41639</v>
      </c>
      <c r="D1574" s="61">
        <v>138074000000</v>
      </c>
      <c r="E1574" s="61">
        <v>127316000000</v>
      </c>
      <c r="F1574" s="61">
        <v>5081000000</v>
      </c>
      <c r="G1574" s="61">
        <v>0</v>
      </c>
      <c r="H1574" s="61">
        <v>1720000000</v>
      </c>
      <c r="I1574" t="s">
        <v>77</v>
      </c>
      <c r="J1574" t="s">
        <v>335</v>
      </c>
      <c r="K1574" s="61">
        <f t="shared" si="72"/>
        <v>10758000000</v>
      </c>
      <c r="L1574" s="61">
        <f t="shared" si="73"/>
        <v>6801000000</v>
      </c>
      <c r="M1574" s="61">
        <f t="shared" si="74"/>
        <v>3957000000</v>
      </c>
    </row>
    <row r="1575" spans="1:13" x14ac:dyDescent="0.25">
      <c r="A1575" t="s">
        <v>533</v>
      </c>
      <c r="B1575" t="s">
        <v>10</v>
      </c>
      <c r="C1575">
        <v>42004</v>
      </c>
      <c r="D1575" s="61">
        <v>130844000000</v>
      </c>
      <c r="E1575" s="61">
        <v>118141000000</v>
      </c>
      <c r="F1575" s="61">
        <v>5111000000</v>
      </c>
      <c r="G1575" s="61">
        <v>0</v>
      </c>
      <c r="H1575" s="61">
        <v>1690000000</v>
      </c>
      <c r="I1575" t="s">
        <v>77</v>
      </c>
      <c r="J1575" t="s">
        <v>335</v>
      </c>
      <c r="K1575" s="61">
        <f t="shared" si="72"/>
        <v>12703000000</v>
      </c>
      <c r="L1575" s="61">
        <f t="shared" si="73"/>
        <v>6801000000</v>
      </c>
      <c r="M1575" s="61">
        <f t="shared" si="74"/>
        <v>5902000000</v>
      </c>
    </row>
    <row r="1576" spans="1:13" x14ac:dyDescent="0.25">
      <c r="A1576" t="s">
        <v>533</v>
      </c>
      <c r="B1576" t="s">
        <v>11</v>
      </c>
      <c r="C1576">
        <v>42369</v>
      </c>
      <c r="D1576" s="61">
        <v>87804000000</v>
      </c>
      <c r="E1576" s="61">
        <v>74651000000</v>
      </c>
      <c r="F1576" s="61">
        <v>4953000000</v>
      </c>
      <c r="G1576" s="61">
        <v>0</v>
      </c>
      <c r="H1576" s="61">
        <v>1842000000</v>
      </c>
      <c r="I1576" t="s">
        <v>77</v>
      </c>
      <c r="J1576" t="s">
        <v>335</v>
      </c>
      <c r="K1576" s="61">
        <f t="shared" si="72"/>
        <v>13153000000</v>
      </c>
      <c r="L1576" s="61">
        <f t="shared" si="73"/>
        <v>6795000000</v>
      </c>
      <c r="M1576" s="61">
        <f t="shared" si="74"/>
        <v>6358000000</v>
      </c>
    </row>
    <row r="1577" spans="1:13" x14ac:dyDescent="0.25">
      <c r="A1577" t="s">
        <v>534</v>
      </c>
      <c r="B1577" t="s">
        <v>6</v>
      </c>
      <c r="C1577">
        <v>41274</v>
      </c>
      <c r="D1577" s="61">
        <v>2567310000</v>
      </c>
      <c r="E1577" s="61">
        <v>2233284000</v>
      </c>
      <c r="F1577" s="61">
        <v>308143000</v>
      </c>
      <c r="G1577" s="61">
        <v>0</v>
      </c>
      <c r="H1577" s="61">
        <v>0</v>
      </c>
      <c r="I1577" t="s">
        <v>53</v>
      </c>
      <c r="J1577" t="s">
        <v>381</v>
      </c>
      <c r="K1577" s="61">
        <f t="shared" si="72"/>
        <v>334026000</v>
      </c>
      <c r="L1577" s="61">
        <f t="shared" si="73"/>
        <v>308143000</v>
      </c>
      <c r="M1577" s="61">
        <f t="shared" si="74"/>
        <v>25883000</v>
      </c>
    </row>
    <row r="1578" spans="1:13" x14ac:dyDescent="0.25">
      <c r="A1578" t="s">
        <v>534</v>
      </c>
      <c r="B1578" t="s">
        <v>9</v>
      </c>
      <c r="C1578">
        <v>41639</v>
      </c>
      <c r="D1578" s="61">
        <v>2770709000</v>
      </c>
      <c r="E1578" s="61">
        <v>2343829000</v>
      </c>
      <c r="F1578" s="61">
        <v>274217000</v>
      </c>
      <c r="G1578" s="61">
        <v>0</v>
      </c>
      <c r="H1578" s="61">
        <v>0</v>
      </c>
      <c r="I1578" t="s">
        <v>53</v>
      </c>
      <c r="J1578" t="s">
        <v>381</v>
      </c>
      <c r="K1578" s="61">
        <f t="shared" si="72"/>
        <v>426880000</v>
      </c>
      <c r="L1578" s="61">
        <f t="shared" si="73"/>
        <v>274217000</v>
      </c>
      <c r="M1578" s="61">
        <f t="shared" si="74"/>
        <v>152663000</v>
      </c>
    </row>
    <row r="1579" spans="1:13" x14ac:dyDescent="0.25">
      <c r="A1579" t="s">
        <v>534</v>
      </c>
      <c r="B1579" t="s">
        <v>10</v>
      </c>
      <c r="C1579">
        <v>42004</v>
      </c>
      <c r="D1579" s="61">
        <v>2994169000</v>
      </c>
      <c r="E1579" s="61">
        <v>2406587000</v>
      </c>
      <c r="F1579" s="61">
        <v>292358000</v>
      </c>
      <c r="G1579" s="61">
        <v>0</v>
      </c>
      <c r="H1579" s="61">
        <v>0</v>
      </c>
      <c r="I1579" t="s">
        <v>53</v>
      </c>
      <c r="J1579" t="s">
        <v>381</v>
      </c>
      <c r="K1579" s="61">
        <f t="shared" si="72"/>
        <v>587582000</v>
      </c>
      <c r="L1579" s="61">
        <f t="shared" si="73"/>
        <v>292358000</v>
      </c>
      <c r="M1579" s="61">
        <f t="shared" si="74"/>
        <v>295224000</v>
      </c>
    </row>
    <row r="1580" spans="1:13" x14ac:dyDescent="0.25">
      <c r="A1580" t="s">
        <v>534</v>
      </c>
      <c r="B1580" t="s">
        <v>11</v>
      </c>
      <c r="C1580">
        <v>42369</v>
      </c>
      <c r="D1580" s="61">
        <v>3422181000</v>
      </c>
      <c r="E1580" s="61">
        <v>2564648000</v>
      </c>
      <c r="F1580" s="61">
        <v>312694000</v>
      </c>
      <c r="G1580" s="61">
        <v>0</v>
      </c>
      <c r="H1580" s="61">
        <v>0</v>
      </c>
      <c r="I1580" t="s">
        <v>53</v>
      </c>
      <c r="J1580" t="s">
        <v>381</v>
      </c>
      <c r="K1580" s="61">
        <f t="shared" si="72"/>
        <v>857533000</v>
      </c>
      <c r="L1580" s="61">
        <f t="shared" si="73"/>
        <v>312694000</v>
      </c>
      <c r="M1580" s="61">
        <f t="shared" si="74"/>
        <v>544839000</v>
      </c>
    </row>
    <row r="1581" spans="1:13" x14ac:dyDescent="0.25">
      <c r="A1581" t="s">
        <v>535</v>
      </c>
      <c r="B1581" t="s">
        <v>6</v>
      </c>
      <c r="C1581">
        <v>41639</v>
      </c>
      <c r="D1581" s="61">
        <v>2299176000</v>
      </c>
      <c r="E1581" s="61">
        <v>928565000</v>
      </c>
      <c r="F1581" s="61">
        <v>177366000</v>
      </c>
      <c r="G1581" s="61">
        <v>32210000</v>
      </c>
      <c r="H1581" s="61">
        <v>461627000</v>
      </c>
      <c r="I1581" t="s">
        <v>46</v>
      </c>
      <c r="J1581" t="s">
        <v>47</v>
      </c>
      <c r="K1581" s="61">
        <f t="shared" si="72"/>
        <v>1370611000</v>
      </c>
      <c r="L1581" s="61">
        <f t="shared" si="73"/>
        <v>671203000</v>
      </c>
      <c r="M1581" s="61">
        <f t="shared" si="74"/>
        <v>699408000</v>
      </c>
    </row>
    <row r="1582" spans="1:13" x14ac:dyDescent="0.25">
      <c r="A1582" t="s">
        <v>535</v>
      </c>
      <c r="B1582" t="s">
        <v>9</v>
      </c>
      <c r="C1582">
        <v>42004</v>
      </c>
      <c r="D1582" s="61">
        <v>2312512000</v>
      </c>
      <c r="E1582" s="61">
        <v>953611000</v>
      </c>
      <c r="F1582" s="61">
        <v>169270000</v>
      </c>
      <c r="G1582" s="61">
        <v>0</v>
      </c>
      <c r="H1582" s="61">
        <v>481303000</v>
      </c>
      <c r="I1582" t="s">
        <v>46</v>
      </c>
      <c r="J1582" t="s">
        <v>47</v>
      </c>
      <c r="K1582" s="61">
        <f t="shared" si="72"/>
        <v>1358901000</v>
      </c>
      <c r="L1582" s="61">
        <f t="shared" si="73"/>
        <v>650573000</v>
      </c>
      <c r="M1582" s="61">
        <f t="shared" si="74"/>
        <v>708328000</v>
      </c>
    </row>
    <row r="1583" spans="1:13" x14ac:dyDescent="0.25">
      <c r="A1583" t="s">
        <v>535</v>
      </c>
      <c r="B1583" t="s">
        <v>10</v>
      </c>
      <c r="C1583">
        <v>42369</v>
      </c>
      <c r="D1583" s="61">
        <v>2502267000</v>
      </c>
      <c r="E1583" s="61">
        <v>1011249000</v>
      </c>
      <c r="F1583" s="61">
        <v>175307000</v>
      </c>
      <c r="G1583" s="61">
        <v>0</v>
      </c>
      <c r="H1583" s="61">
        <v>542952000</v>
      </c>
      <c r="I1583" t="s">
        <v>46</v>
      </c>
      <c r="J1583" t="s">
        <v>47</v>
      </c>
      <c r="K1583" s="61">
        <f t="shared" si="72"/>
        <v>1491018000</v>
      </c>
      <c r="L1583" s="61">
        <f t="shared" si="73"/>
        <v>718259000</v>
      </c>
      <c r="M1583" s="61">
        <f t="shared" si="74"/>
        <v>772759000</v>
      </c>
    </row>
    <row r="1584" spans="1:13" x14ac:dyDescent="0.25">
      <c r="A1584" t="s">
        <v>535</v>
      </c>
      <c r="B1584" t="s">
        <v>11</v>
      </c>
      <c r="C1584">
        <v>42735</v>
      </c>
      <c r="D1584" s="61">
        <v>2506202000</v>
      </c>
      <c r="E1584" s="61">
        <v>1024336000</v>
      </c>
      <c r="F1584" s="61">
        <v>179279000</v>
      </c>
      <c r="G1584" s="61">
        <v>0</v>
      </c>
      <c r="H1584" s="61">
        <v>565059000</v>
      </c>
      <c r="I1584" t="s">
        <v>46</v>
      </c>
      <c r="J1584" t="s">
        <v>47</v>
      </c>
      <c r="K1584" s="61">
        <f t="shared" si="72"/>
        <v>1481866000</v>
      </c>
      <c r="L1584" s="61">
        <f t="shared" si="73"/>
        <v>744338000</v>
      </c>
      <c r="M1584" s="61">
        <f t="shared" si="74"/>
        <v>737528000</v>
      </c>
    </row>
    <row r="1585" spans="1:13" x14ac:dyDescent="0.25">
      <c r="A1585" t="s">
        <v>536</v>
      </c>
      <c r="B1585" t="s">
        <v>6</v>
      </c>
      <c r="C1585">
        <v>41274</v>
      </c>
      <c r="D1585" s="61">
        <v>1407848000</v>
      </c>
      <c r="E1585" s="61">
        <v>516708000</v>
      </c>
      <c r="F1585" s="61">
        <v>220068000</v>
      </c>
      <c r="G1585" s="61">
        <v>0</v>
      </c>
      <c r="H1585" s="61">
        <v>98844000</v>
      </c>
      <c r="I1585" t="s">
        <v>7</v>
      </c>
      <c r="J1585" t="s">
        <v>205</v>
      </c>
      <c r="K1585" s="61">
        <f t="shared" si="72"/>
        <v>891140000</v>
      </c>
      <c r="L1585" s="61">
        <f t="shared" si="73"/>
        <v>318912000</v>
      </c>
      <c r="M1585" s="61">
        <f t="shared" si="74"/>
        <v>572228000</v>
      </c>
    </row>
    <row r="1586" spans="1:13" x14ac:dyDescent="0.25">
      <c r="A1586" t="s">
        <v>536</v>
      </c>
      <c r="B1586" t="s">
        <v>9</v>
      </c>
      <c r="C1586">
        <v>41639</v>
      </c>
      <c r="D1586" s="61">
        <v>1595703000</v>
      </c>
      <c r="E1586" s="61">
        <v>622523000</v>
      </c>
      <c r="F1586" s="61">
        <v>228982000</v>
      </c>
      <c r="G1586" s="61">
        <v>0</v>
      </c>
      <c r="H1586" s="61">
        <v>129931000</v>
      </c>
      <c r="I1586" t="s">
        <v>7</v>
      </c>
      <c r="J1586" t="s">
        <v>205</v>
      </c>
      <c r="K1586" s="61">
        <f t="shared" si="72"/>
        <v>973180000</v>
      </c>
      <c r="L1586" s="61">
        <f t="shared" si="73"/>
        <v>358913000</v>
      </c>
      <c r="M1586" s="61">
        <f t="shared" si="74"/>
        <v>614267000</v>
      </c>
    </row>
    <row r="1587" spans="1:13" x14ac:dyDescent="0.25">
      <c r="A1587" t="s">
        <v>536</v>
      </c>
      <c r="B1587" t="s">
        <v>10</v>
      </c>
      <c r="C1587">
        <v>42004</v>
      </c>
      <c r="D1587" s="61">
        <v>1746726000</v>
      </c>
      <c r="E1587" s="61">
        <v>716598000</v>
      </c>
      <c r="F1587" s="61">
        <v>227306000</v>
      </c>
      <c r="G1587" s="61">
        <v>0</v>
      </c>
      <c r="H1587" s="61">
        <v>142376000</v>
      </c>
      <c r="I1587" t="s">
        <v>7</v>
      </c>
      <c r="J1587" t="s">
        <v>205</v>
      </c>
      <c r="K1587" s="61">
        <f t="shared" si="72"/>
        <v>1030128000</v>
      </c>
      <c r="L1587" s="61">
        <f t="shared" si="73"/>
        <v>369682000</v>
      </c>
      <c r="M1587" s="61">
        <f t="shared" si="74"/>
        <v>660446000</v>
      </c>
    </row>
    <row r="1588" spans="1:13" x14ac:dyDescent="0.25">
      <c r="A1588" t="s">
        <v>536</v>
      </c>
      <c r="B1588" t="s">
        <v>11</v>
      </c>
      <c r="C1588">
        <v>42369</v>
      </c>
      <c r="D1588" s="61">
        <v>2068010000</v>
      </c>
      <c r="E1588" s="61">
        <v>803274000</v>
      </c>
      <c r="F1588" s="61">
        <v>312690000</v>
      </c>
      <c r="G1588" s="61">
        <v>0</v>
      </c>
      <c r="H1588" s="61">
        <v>215484000</v>
      </c>
      <c r="I1588" t="s">
        <v>7</v>
      </c>
      <c r="J1588" t="s">
        <v>205</v>
      </c>
      <c r="K1588" s="61">
        <f t="shared" si="72"/>
        <v>1264736000</v>
      </c>
      <c r="L1588" s="61">
        <f t="shared" si="73"/>
        <v>528174000</v>
      </c>
      <c r="M1588" s="61">
        <f t="shared" si="74"/>
        <v>736562000</v>
      </c>
    </row>
    <row r="1589" spans="1:13" x14ac:dyDescent="0.25">
      <c r="A1589" t="s">
        <v>537</v>
      </c>
      <c r="B1589" t="s">
        <v>6</v>
      </c>
      <c r="C1589">
        <v>41274</v>
      </c>
      <c r="D1589" s="61">
        <v>873592000</v>
      </c>
      <c r="E1589" s="61">
        <v>167600000</v>
      </c>
      <c r="F1589" s="61">
        <v>186971000</v>
      </c>
      <c r="G1589" s="61">
        <v>61694000</v>
      </c>
      <c r="H1589" s="61">
        <v>0</v>
      </c>
      <c r="I1589" t="s">
        <v>16</v>
      </c>
      <c r="J1589" t="s">
        <v>51</v>
      </c>
      <c r="K1589" s="61">
        <f t="shared" si="72"/>
        <v>705992000</v>
      </c>
      <c r="L1589" s="61">
        <f t="shared" si="73"/>
        <v>248665000</v>
      </c>
      <c r="M1589" s="61">
        <f t="shared" si="74"/>
        <v>457327000</v>
      </c>
    </row>
    <row r="1590" spans="1:13" x14ac:dyDescent="0.25">
      <c r="A1590" t="s">
        <v>537</v>
      </c>
      <c r="B1590" t="s">
        <v>9</v>
      </c>
      <c r="C1590">
        <v>41639</v>
      </c>
      <c r="D1590" s="61">
        <v>965087000</v>
      </c>
      <c r="E1590" s="61">
        <v>187013000</v>
      </c>
      <c r="F1590" s="61">
        <v>179545000</v>
      </c>
      <c r="G1590" s="61">
        <v>70297000</v>
      </c>
      <c r="H1590" s="61">
        <v>0</v>
      </c>
      <c r="I1590" t="s">
        <v>16</v>
      </c>
      <c r="J1590" t="s">
        <v>51</v>
      </c>
      <c r="K1590" s="61">
        <f t="shared" si="72"/>
        <v>778074000</v>
      </c>
      <c r="L1590" s="61">
        <f t="shared" si="73"/>
        <v>249842000</v>
      </c>
      <c r="M1590" s="61">
        <f t="shared" si="74"/>
        <v>528232000</v>
      </c>
    </row>
    <row r="1591" spans="1:13" x14ac:dyDescent="0.25">
      <c r="A1591" t="s">
        <v>537</v>
      </c>
      <c r="B1591" t="s">
        <v>10</v>
      </c>
      <c r="C1591">
        <v>42004</v>
      </c>
      <c r="D1591" s="61">
        <v>1010117000</v>
      </c>
      <c r="E1591" s="61">
        <v>188425000</v>
      </c>
      <c r="F1591" s="61">
        <v>189488000</v>
      </c>
      <c r="G1591" s="61">
        <v>67777000</v>
      </c>
      <c r="H1591" s="61">
        <v>0</v>
      </c>
      <c r="I1591" t="s">
        <v>16</v>
      </c>
      <c r="J1591" t="s">
        <v>51</v>
      </c>
      <c r="K1591" s="61">
        <f t="shared" si="72"/>
        <v>821692000</v>
      </c>
      <c r="L1591" s="61">
        <f t="shared" si="73"/>
        <v>257265000</v>
      </c>
      <c r="M1591" s="61">
        <f t="shared" si="74"/>
        <v>564427000</v>
      </c>
    </row>
    <row r="1592" spans="1:13" x14ac:dyDescent="0.25">
      <c r="A1592" t="s">
        <v>537</v>
      </c>
      <c r="B1592" t="s">
        <v>11</v>
      </c>
      <c r="C1592">
        <v>42369</v>
      </c>
      <c r="D1592" s="61">
        <v>1059366000</v>
      </c>
      <c r="E1592" s="61">
        <v>192788000</v>
      </c>
      <c r="F1592" s="61">
        <v>196914000</v>
      </c>
      <c r="G1592" s="61">
        <v>63718000</v>
      </c>
      <c r="H1592" s="61">
        <v>0</v>
      </c>
      <c r="I1592" t="s">
        <v>16</v>
      </c>
      <c r="J1592" t="s">
        <v>51</v>
      </c>
      <c r="K1592" s="61">
        <f t="shared" si="72"/>
        <v>866578000</v>
      </c>
      <c r="L1592" s="61">
        <f t="shared" si="73"/>
        <v>260632000</v>
      </c>
      <c r="M1592" s="61">
        <f t="shared" si="74"/>
        <v>605946000</v>
      </c>
    </row>
    <row r="1593" spans="1:13" x14ac:dyDescent="0.25">
      <c r="A1593" t="s">
        <v>538</v>
      </c>
      <c r="B1593" t="s">
        <v>6</v>
      </c>
      <c r="C1593">
        <v>41274</v>
      </c>
      <c r="D1593" s="61">
        <v>1527042000</v>
      </c>
      <c r="E1593" s="61">
        <v>279885000</v>
      </c>
      <c r="F1593" s="61">
        <v>432681000</v>
      </c>
      <c r="G1593" s="61">
        <v>765905000</v>
      </c>
      <c r="H1593" s="61">
        <v>0</v>
      </c>
      <c r="I1593" t="s">
        <v>19</v>
      </c>
      <c r="J1593" t="s">
        <v>60</v>
      </c>
      <c r="K1593" s="61">
        <f t="shared" si="72"/>
        <v>1247157000</v>
      </c>
      <c r="L1593" s="61">
        <f t="shared" si="73"/>
        <v>1198586000</v>
      </c>
      <c r="M1593" s="61">
        <f t="shared" si="74"/>
        <v>48571000</v>
      </c>
    </row>
    <row r="1594" spans="1:13" x14ac:dyDescent="0.25">
      <c r="A1594" t="s">
        <v>538</v>
      </c>
      <c r="B1594" t="s">
        <v>9</v>
      </c>
      <c r="C1594">
        <v>41639</v>
      </c>
      <c r="D1594" s="61">
        <v>1211975000</v>
      </c>
      <c r="E1594" s="61">
        <v>130277000</v>
      </c>
      <c r="F1594" s="61">
        <v>356188000</v>
      </c>
      <c r="G1594" s="61">
        <v>882097000</v>
      </c>
      <c r="H1594" s="61">
        <v>0</v>
      </c>
      <c r="I1594" t="s">
        <v>19</v>
      </c>
      <c r="J1594" t="s">
        <v>60</v>
      </c>
      <c r="K1594" s="61">
        <f t="shared" si="72"/>
        <v>1081698000</v>
      </c>
      <c r="L1594" s="61">
        <f t="shared" si="73"/>
        <v>1238285000</v>
      </c>
      <c r="M1594" s="61">
        <f t="shared" si="74"/>
        <v>-156587000</v>
      </c>
    </row>
    <row r="1595" spans="1:13" x14ac:dyDescent="0.25">
      <c r="A1595" t="s">
        <v>538</v>
      </c>
      <c r="B1595" t="s">
        <v>10</v>
      </c>
      <c r="C1595">
        <v>42004</v>
      </c>
      <c r="D1595" s="61">
        <v>580415000</v>
      </c>
      <c r="E1595" s="61">
        <v>60987000</v>
      </c>
      <c r="F1595" s="61">
        <v>305409000</v>
      </c>
      <c r="G1595" s="61">
        <v>855506000</v>
      </c>
      <c r="H1595" s="61">
        <v>0</v>
      </c>
      <c r="I1595" t="s">
        <v>19</v>
      </c>
      <c r="J1595" t="s">
        <v>60</v>
      </c>
      <c r="K1595" s="61">
        <f t="shared" si="72"/>
        <v>519428000</v>
      </c>
      <c r="L1595" s="61">
        <f t="shared" si="73"/>
        <v>1160915000</v>
      </c>
      <c r="M1595" s="61">
        <f t="shared" si="74"/>
        <v>-641487000</v>
      </c>
    </row>
    <row r="1596" spans="1:13" x14ac:dyDescent="0.25">
      <c r="A1596" t="s">
        <v>538</v>
      </c>
      <c r="B1596" t="s">
        <v>11</v>
      </c>
      <c r="C1596">
        <v>42369</v>
      </c>
      <c r="D1596" s="61">
        <v>1032336000</v>
      </c>
      <c r="E1596" s="61">
        <v>124512000</v>
      </c>
      <c r="F1596" s="61">
        <v>376575000</v>
      </c>
      <c r="G1596" s="61">
        <v>995922000</v>
      </c>
      <c r="H1596" s="61">
        <v>0</v>
      </c>
      <c r="I1596" t="s">
        <v>19</v>
      </c>
      <c r="J1596" t="s">
        <v>60</v>
      </c>
      <c r="K1596" s="61">
        <f t="shared" si="72"/>
        <v>907824000</v>
      </c>
      <c r="L1596" s="61">
        <f t="shared" si="73"/>
        <v>1372497000</v>
      </c>
      <c r="M1596" s="61">
        <f t="shared" si="74"/>
        <v>-464673000</v>
      </c>
    </row>
    <row r="1597" spans="1:13" x14ac:dyDescent="0.25">
      <c r="A1597" t="s">
        <v>539</v>
      </c>
      <c r="B1597" t="s">
        <v>6</v>
      </c>
      <c r="C1597">
        <v>41639</v>
      </c>
      <c r="D1597" s="61">
        <v>2514595000</v>
      </c>
      <c r="E1597" s="61">
        <v>1118240000</v>
      </c>
      <c r="F1597" s="61">
        <v>132447000</v>
      </c>
      <c r="G1597" s="61">
        <v>0</v>
      </c>
      <c r="H1597" s="61">
        <v>629908000</v>
      </c>
      <c r="I1597" t="s">
        <v>46</v>
      </c>
      <c r="J1597" t="s">
        <v>47</v>
      </c>
      <c r="K1597" s="61">
        <f t="shared" si="72"/>
        <v>1396355000</v>
      </c>
      <c r="L1597" s="61">
        <f t="shared" si="73"/>
        <v>762355000</v>
      </c>
      <c r="M1597" s="61">
        <f t="shared" si="74"/>
        <v>634000000</v>
      </c>
    </row>
    <row r="1598" spans="1:13" x14ac:dyDescent="0.25">
      <c r="A1598" t="s">
        <v>539</v>
      </c>
      <c r="B1598" t="s">
        <v>9</v>
      </c>
      <c r="C1598">
        <v>42004</v>
      </c>
      <c r="D1598" s="61">
        <v>2772550000</v>
      </c>
      <c r="E1598" s="61">
        <v>1212480000</v>
      </c>
      <c r="F1598" s="61">
        <v>147481000</v>
      </c>
      <c r="G1598" s="61">
        <v>0</v>
      </c>
      <c r="H1598" s="61">
        <v>725216000</v>
      </c>
      <c r="I1598" t="s">
        <v>46</v>
      </c>
      <c r="J1598" t="s">
        <v>47</v>
      </c>
      <c r="K1598" s="61">
        <f t="shared" si="72"/>
        <v>1560070000</v>
      </c>
      <c r="L1598" s="61">
        <f t="shared" si="73"/>
        <v>872697000</v>
      </c>
      <c r="M1598" s="61">
        <f t="shared" si="74"/>
        <v>687373000</v>
      </c>
    </row>
    <row r="1599" spans="1:13" x14ac:dyDescent="0.25">
      <c r="A1599" t="s">
        <v>539</v>
      </c>
      <c r="B1599" t="s">
        <v>10</v>
      </c>
      <c r="C1599">
        <v>42369</v>
      </c>
      <c r="D1599" s="61">
        <v>3285346000</v>
      </c>
      <c r="E1599" s="61">
        <v>1410205000</v>
      </c>
      <c r="F1599" s="61">
        <v>145992000</v>
      </c>
      <c r="G1599" s="61">
        <v>0</v>
      </c>
      <c r="H1599" s="61">
        <v>894057000</v>
      </c>
      <c r="I1599" t="s">
        <v>46</v>
      </c>
      <c r="J1599" t="s">
        <v>47</v>
      </c>
      <c r="K1599" s="61">
        <f t="shared" si="72"/>
        <v>1875141000</v>
      </c>
      <c r="L1599" s="61">
        <f t="shared" si="73"/>
        <v>1040049000</v>
      </c>
      <c r="M1599" s="61">
        <f t="shared" si="74"/>
        <v>835092000</v>
      </c>
    </row>
    <row r="1600" spans="1:13" x14ac:dyDescent="0.25">
      <c r="A1600" t="s">
        <v>539</v>
      </c>
      <c r="B1600" t="s">
        <v>11</v>
      </c>
      <c r="C1600">
        <v>42735</v>
      </c>
      <c r="D1600" s="61">
        <v>3442646000</v>
      </c>
      <c r="E1600" s="61">
        <v>1442073000</v>
      </c>
      <c r="F1600" s="61">
        <v>136863000</v>
      </c>
      <c r="G1600" s="61">
        <v>0</v>
      </c>
      <c r="H1600" s="61">
        <v>898924000</v>
      </c>
      <c r="I1600" t="s">
        <v>46</v>
      </c>
      <c r="J1600" t="s">
        <v>47</v>
      </c>
      <c r="K1600" s="61">
        <f t="shared" si="72"/>
        <v>2000573000</v>
      </c>
      <c r="L1600" s="61">
        <f t="shared" si="73"/>
        <v>1035787000</v>
      </c>
      <c r="M1600" s="61">
        <f t="shared" si="74"/>
        <v>964786000</v>
      </c>
    </row>
    <row r="1601" spans="1:13" x14ac:dyDescent="0.25">
      <c r="A1601" t="s">
        <v>540</v>
      </c>
      <c r="B1601" t="s">
        <v>6</v>
      </c>
      <c r="C1601">
        <v>41274</v>
      </c>
      <c r="D1601" s="61">
        <v>115846000000</v>
      </c>
      <c r="E1601" s="61">
        <v>46275000000</v>
      </c>
      <c r="F1601" s="61">
        <v>39951000000</v>
      </c>
      <c r="G1601" s="61">
        <v>0</v>
      </c>
      <c r="H1601" s="61">
        <v>16460000000</v>
      </c>
      <c r="I1601" t="s">
        <v>176</v>
      </c>
      <c r="J1601" t="s">
        <v>177</v>
      </c>
      <c r="K1601" s="61">
        <f t="shared" si="72"/>
        <v>69571000000</v>
      </c>
      <c r="L1601" s="61">
        <f t="shared" si="73"/>
        <v>56411000000</v>
      </c>
      <c r="M1601" s="61">
        <f t="shared" si="74"/>
        <v>13160000000</v>
      </c>
    </row>
    <row r="1602" spans="1:13" x14ac:dyDescent="0.25">
      <c r="A1602" t="s">
        <v>540</v>
      </c>
      <c r="B1602" t="s">
        <v>9</v>
      </c>
      <c r="C1602">
        <v>41639</v>
      </c>
      <c r="D1602" s="61">
        <v>120550000000</v>
      </c>
      <c r="E1602" s="61">
        <v>44887000000</v>
      </c>
      <c r="F1602" s="61">
        <v>27089000000</v>
      </c>
      <c r="G1602" s="61">
        <v>0</v>
      </c>
      <c r="H1602" s="61">
        <v>16606000000</v>
      </c>
      <c r="I1602" t="s">
        <v>176</v>
      </c>
      <c r="J1602" t="s">
        <v>177</v>
      </c>
      <c r="K1602" s="61">
        <f t="shared" ref="K1602:K1665" si="75">D1602-E1602</f>
        <v>75663000000</v>
      </c>
      <c r="L1602" s="61">
        <f t="shared" ref="L1602:L1665" si="76">F1602+G1602+H1602</f>
        <v>43695000000</v>
      </c>
      <c r="M1602" s="61">
        <f t="shared" si="74"/>
        <v>31968000000</v>
      </c>
    </row>
    <row r="1603" spans="1:13" x14ac:dyDescent="0.25">
      <c r="A1603" t="s">
        <v>540</v>
      </c>
      <c r="B1603" t="s">
        <v>10</v>
      </c>
      <c r="C1603">
        <v>42004</v>
      </c>
      <c r="D1603" s="61">
        <v>127079000000</v>
      </c>
      <c r="E1603" s="61">
        <v>49931000000</v>
      </c>
      <c r="F1603" s="61">
        <v>41016000000</v>
      </c>
      <c r="G1603" s="61">
        <v>0</v>
      </c>
      <c r="H1603" s="61">
        <v>16533000000</v>
      </c>
      <c r="I1603" t="s">
        <v>176</v>
      </c>
      <c r="J1603" t="s">
        <v>177</v>
      </c>
      <c r="K1603" s="61">
        <f t="shared" si="75"/>
        <v>77148000000</v>
      </c>
      <c r="L1603" s="61">
        <f t="shared" si="76"/>
        <v>57549000000</v>
      </c>
      <c r="M1603" s="61">
        <f t="shared" ref="M1603:M1666" si="77">K1603-L1603</f>
        <v>19599000000</v>
      </c>
    </row>
    <row r="1604" spans="1:13" x14ac:dyDescent="0.25">
      <c r="A1604" t="s">
        <v>540</v>
      </c>
      <c r="B1604" t="s">
        <v>11</v>
      </c>
      <c r="C1604">
        <v>42369</v>
      </c>
      <c r="D1604" s="61">
        <v>131620000000</v>
      </c>
      <c r="E1604" s="61">
        <v>52557000000</v>
      </c>
      <c r="F1604" s="61">
        <v>29986000000</v>
      </c>
      <c r="G1604" s="61">
        <v>0</v>
      </c>
      <c r="H1604" s="61">
        <v>16017000000</v>
      </c>
      <c r="I1604" t="s">
        <v>176</v>
      </c>
      <c r="J1604" t="s">
        <v>177</v>
      </c>
      <c r="K1604" s="61">
        <f t="shared" si="75"/>
        <v>79063000000</v>
      </c>
      <c r="L1604" s="61">
        <f t="shared" si="76"/>
        <v>46003000000</v>
      </c>
      <c r="M1604" s="61">
        <f t="shared" si="77"/>
        <v>33060000000</v>
      </c>
    </row>
    <row r="1605" spans="1:13" x14ac:dyDescent="0.25">
      <c r="A1605" t="s">
        <v>541</v>
      </c>
      <c r="B1605" t="s">
        <v>6</v>
      </c>
      <c r="C1605">
        <v>41274</v>
      </c>
      <c r="D1605" s="61">
        <v>1843641000</v>
      </c>
      <c r="E1605" s="61">
        <v>737614000</v>
      </c>
      <c r="F1605" s="61">
        <v>477270000</v>
      </c>
      <c r="G1605" s="61">
        <v>96004000</v>
      </c>
      <c r="H1605" s="61">
        <v>13829000</v>
      </c>
      <c r="I1605" t="s">
        <v>19</v>
      </c>
      <c r="J1605" t="s">
        <v>22</v>
      </c>
      <c r="K1605" s="61">
        <f t="shared" si="75"/>
        <v>1106027000</v>
      </c>
      <c r="L1605" s="61">
        <f t="shared" si="76"/>
        <v>587103000</v>
      </c>
      <c r="M1605" s="61">
        <f t="shared" si="77"/>
        <v>518924000</v>
      </c>
    </row>
    <row r="1606" spans="1:13" x14ac:dyDescent="0.25">
      <c r="A1606" t="s">
        <v>541</v>
      </c>
      <c r="B1606" t="s">
        <v>9</v>
      </c>
      <c r="C1606">
        <v>41639</v>
      </c>
      <c r="D1606" s="61">
        <v>1904218000</v>
      </c>
      <c r="E1606" s="61">
        <v>783456000</v>
      </c>
      <c r="F1606" s="61">
        <v>492965000</v>
      </c>
      <c r="G1606" s="61">
        <v>100536000</v>
      </c>
      <c r="H1606" s="61">
        <v>9918000</v>
      </c>
      <c r="I1606" t="s">
        <v>19</v>
      </c>
      <c r="J1606" t="s">
        <v>22</v>
      </c>
      <c r="K1606" s="61">
        <f t="shared" si="75"/>
        <v>1120762000</v>
      </c>
      <c r="L1606" s="61">
        <f t="shared" si="76"/>
        <v>603419000</v>
      </c>
      <c r="M1606" s="61">
        <f t="shared" si="77"/>
        <v>517343000</v>
      </c>
    </row>
    <row r="1607" spans="1:13" x14ac:dyDescent="0.25">
      <c r="A1607" t="s">
        <v>541</v>
      </c>
      <c r="B1607" t="s">
        <v>10</v>
      </c>
      <c r="C1607">
        <v>42004</v>
      </c>
      <c r="D1607" s="61">
        <v>1989344000</v>
      </c>
      <c r="E1607" s="61">
        <v>824913000</v>
      </c>
      <c r="F1607" s="61">
        <v>512707000</v>
      </c>
      <c r="G1607" s="61">
        <v>107726000</v>
      </c>
      <c r="H1607" s="61">
        <v>10634000</v>
      </c>
      <c r="I1607" t="s">
        <v>19</v>
      </c>
      <c r="J1607" t="s">
        <v>22</v>
      </c>
      <c r="K1607" s="61">
        <f t="shared" si="75"/>
        <v>1164431000</v>
      </c>
      <c r="L1607" s="61">
        <f t="shared" si="76"/>
        <v>631067000</v>
      </c>
      <c r="M1607" s="61">
        <f t="shared" si="77"/>
        <v>533364000</v>
      </c>
    </row>
    <row r="1608" spans="1:13" x14ac:dyDescent="0.25">
      <c r="A1608" t="s">
        <v>541</v>
      </c>
      <c r="B1608" t="s">
        <v>11</v>
      </c>
      <c r="C1608">
        <v>42369</v>
      </c>
      <c r="D1608" s="61">
        <v>2042332000</v>
      </c>
      <c r="E1608" s="61">
        <v>842672000</v>
      </c>
      <c r="F1608" s="61">
        <v>495747000</v>
      </c>
      <c r="G1608" s="61">
        <v>118545000</v>
      </c>
      <c r="H1608" s="61">
        <v>10123000</v>
      </c>
      <c r="I1608" t="s">
        <v>19</v>
      </c>
      <c r="J1608" t="s">
        <v>22</v>
      </c>
      <c r="K1608" s="61">
        <f t="shared" si="75"/>
        <v>1199660000</v>
      </c>
      <c r="L1608" s="61">
        <f t="shared" si="76"/>
        <v>624415000</v>
      </c>
      <c r="M1608" s="61">
        <f t="shared" si="77"/>
        <v>575245000</v>
      </c>
    </row>
    <row r="1609" spans="1:13" x14ac:dyDescent="0.25">
      <c r="A1609" t="s">
        <v>542</v>
      </c>
      <c r="B1609" t="s">
        <v>6</v>
      </c>
      <c r="C1609">
        <v>41453</v>
      </c>
      <c r="D1609" s="61">
        <v>15351000000</v>
      </c>
      <c r="E1609" s="61">
        <v>10988000000</v>
      </c>
      <c r="F1609" s="61">
        <v>1525000000</v>
      </c>
      <c r="G1609" s="61">
        <v>1572000000</v>
      </c>
      <c r="H1609" s="61">
        <v>0</v>
      </c>
      <c r="I1609" t="s">
        <v>16</v>
      </c>
      <c r="J1609" t="s">
        <v>483</v>
      </c>
      <c r="K1609" s="61">
        <f t="shared" si="75"/>
        <v>4363000000</v>
      </c>
      <c r="L1609" s="61">
        <f t="shared" si="76"/>
        <v>3097000000</v>
      </c>
      <c r="M1609" s="61">
        <f t="shared" si="77"/>
        <v>1266000000</v>
      </c>
    </row>
    <row r="1610" spans="1:13" x14ac:dyDescent="0.25">
      <c r="A1610" t="s">
        <v>542</v>
      </c>
      <c r="B1610" t="s">
        <v>9</v>
      </c>
      <c r="C1610">
        <v>41817</v>
      </c>
      <c r="D1610" s="61">
        <v>15130000000</v>
      </c>
      <c r="E1610" s="61">
        <v>10770000000</v>
      </c>
      <c r="F1610" s="61">
        <v>908000000</v>
      </c>
      <c r="G1610" s="61">
        <v>1661000000</v>
      </c>
      <c r="H1610" s="61">
        <v>0</v>
      </c>
      <c r="I1610" t="s">
        <v>16</v>
      </c>
      <c r="J1610" t="s">
        <v>483</v>
      </c>
      <c r="K1610" s="61">
        <f t="shared" si="75"/>
        <v>4360000000</v>
      </c>
      <c r="L1610" s="61">
        <f t="shared" si="76"/>
        <v>2569000000</v>
      </c>
      <c r="M1610" s="61">
        <f t="shared" si="77"/>
        <v>1791000000</v>
      </c>
    </row>
    <row r="1611" spans="1:13" x14ac:dyDescent="0.25">
      <c r="A1611" t="s">
        <v>542</v>
      </c>
      <c r="B1611" t="s">
        <v>10</v>
      </c>
      <c r="C1611">
        <v>42188</v>
      </c>
      <c r="D1611" s="61">
        <v>14572000000</v>
      </c>
      <c r="E1611" s="61">
        <v>10351000000</v>
      </c>
      <c r="F1611" s="61">
        <v>964000000</v>
      </c>
      <c r="G1611" s="61">
        <v>1646000000</v>
      </c>
      <c r="H1611" s="61">
        <v>0</v>
      </c>
      <c r="I1611" t="s">
        <v>16</v>
      </c>
      <c r="J1611" t="s">
        <v>483</v>
      </c>
      <c r="K1611" s="61">
        <f t="shared" si="75"/>
        <v>4221000000</v>
      </c>
      <c r="L1611" s="61">
        <f t="shared" si="76"/>
        <v>2610000000</v>
      </c>
      <c r="M1611" s="61">
        <f t="shared" si="77"/>
        <v>1611000000</v>
      </c>
    </row>
    <row r="1612" spans="1:13" x14ac:dyDescent="0.25">
      <c r="A1612" t="s">
        <v>542</v>
      </c>
      <c r="B1612" t="s">
        <v>11</v>
      </c>
      <c r="C1612">
        <v>42552</v>
      </c>
      <c r="D1612" s="61">
        <v>12994000000</v>
      </c>
      <c r="E1612" s="61">
        <v>9559000000</v>
      </c>
      <c r="F1612" s="61">
        <v>1342000000</v>
      </c>
      <c r="G1612" s="61">
        <v>1627000000</v>
      </c>
      <c r="H1612" s="61">
        <v>0</v>
      </c>
      <c r="I1612" t="s">
        <v>16</v>
      </c>
      <c r="J1612" t="s">
        <v>483</v>
      </c>
      <c r="K1612" s="61">
        <f t="shared" si="75"/>
        <v>3435000000</v>
      </c>
      <c r="L1612" s="61">
        <f t="shared" si="76"/>
        <v>2969000000</v>
      </c>
      <c r="M1612" s="61">
        <f t="shared" si="77"/>
        <v>466000000</v>
      </c>
    </row>
    <row r="1613" spans="1:13" x14ac:dyDescent="0.25">
      <c r="A1613" t="s">
        <v>543</v>
      </c>
      <c r="B1613" t="s">
        <v>6</v>
      </c>
      <c r="C1613">
        <v>41274</v>
      </c>
      <c r="D1613" s="61">
        <v>4246400000</v>
      </c>
      <c r="E1613" s="61">
        <v>2760500000</v>
      </c>
      <c r="F1613" s="61">
        <v>121400000</v>
      </c>
      <c r="G1613" s="61">
        <v>0</v>
      </c>
      <c r="H1613" s="61">
        <v>364200000</v>
      </c>
      <c r="I1613" t="s">
        <v>36</v>
      </c>
      <c r="J1613" t="s">
        <v>39</v>
      </c>
      <c r="K1613" s="61">
        <f t="shared" si="75"/>
        <v>1485900000</v>
      </c>
      <c r="L1613" s="61">
        <f t="shared" si="76"/>
        <v>485600000</v>
      </c>
      <c r="M1613" s="61">
        <f t="shared" si="77"/>
        <v>1000300000</v>
      </c>
    </row>
    <row r="1614" spans="1:13" x14ac:dyDescent="0.25">
      <c r="A1614" t="s">
        <v>543</v>
      </c>
      <c r="B1614" t="s">
        <v>9</v>
      </c>
      <c r="C1614">
        <v>41639</v>
      </c>
      <c r="D1614" s="61">
        <v>4519000000</v>
      </c>
      <c r="E1614" s="61">
        <v>2982100000</v>
      </c>
      <c r="F1614" s="61">
        <v>116700000</v>
      </c>
      <c r="G1614" s="61">
        <v>0</v>
      </c>
      <c r="H1614" s="61">
        <v>340100000</v>
      </c>
      <c r="I1614" t="s">
        <v>36</v>
      </c>
      <c r="J1614" t="s">
        <v>39</v>
      </c>
      <c r="K1614" s="61">
        <f t="shared" si="75"/>
        <v>1536900000</v>
      </c>
      <c r="L1614" s="61">
        <f t="shared" si="76"/>
        <v>456800000</v>
      </c>
      <c r="M1614" s="61">
        <f t="shared" si="77"/>
        <v>1080100000</v>
      </c>
    </row>
    <row r="1615" spans="1:13" x14ac:dyDescent="0.25">
      <c r="A1615" t="s">
        <v>543</v>
      </c>
      <c r="B1615" t="s">
        <v>10</v>
      </c>
      <c r="C1615">
        <v>42004</v>
      </c>
      <c r="D1615" s="61">
        <v>4997100000</v>
      </c>
      <c r="E1615" s="61">
        <v>3371800000</v>
      </c>
      <c r="F1615" s="61">
        <v>121800000</v>
      </c>
      <c r="G1615" s="61">
        <v>0</v>
      </c>
      <c r="H1615" s="61">
        <v>391400000</v>
      </c>
      <c r="I1615" t="s">
        <v>36</v>
      </c>
      <c r="J1615" t="s">
        <v>39</v>
      </c>
      <c r="K1615" s="61">
        <f t="shared" si="75"/>
        <v>1625300000</v>
      </c>
      <c r="L1615" s="61">
        <f t="shared" si="76"/>
        <v>513200000</v>
      </c>
      <c r="M1615" s="61">
        <f t="shared" si="77"/>
        <v>1112100000</v>
      </c>
    </row>
    <row r="1616" spans="1:13" x14ac:dyDescent="0.25">
      <c r="A1616" t="s">
        <v>543</v>
      </c>
      <c r="B1616" t="s">
        <v>11</v>
      </c>
      <c r="C1616">
        <v>42369</v>
      </c>
      <c r="D1616" s="61">
        <v>5926100000</v>
      </c>
      <c r="E1616" s="61">
        <v>3949400000</v>
      </c>
      <c r="F1616" s="61">
        <v>164400000</v>
      </c>
      <c r="G1616" s="61">
        <v>0</v>
      </c>
      <c r="H1616" s="61">
        <v>561800000</v>
      </c>
      <c r="I1616" t="s">
        <v>36</v>
      </c>
      <c r="J1616" t="s">
        <v>39</v>
      </c>
      <c r="K1616" s="61">
        <f t="shared" si="75"/>
        <v>1976700000</v>
      </c>
      <c r="L1616" s="61">
        <f t="shared" si="76"/>
        <v>726200000</v>
      </c>
      <c r="M1616" s="61">
        <f t="shared" si="77"/>
        <v>1250500000</v>
      </c>
    </row>
    <row r="1617" spans="1:13" x14ac:dyDescent="0.25">
      <c r="A1617" t="s">
        <v>544</v>
      </c>
      <c r="B1617" t="s">
        <v>6</v>
      </c>
      <c r="C1617">
        <v>41274</v>
      </c>
      <c r="D1617" s="61">
        <v>91247000000</v>
      </c>
      <c r="E1617" s="61">
        <v>1727000000</v>
      </c>
      <c r="F1617" s="61">
        <v>48724000000</v>
      </c>
      <c r="G1617" s="61">
        <v>0</v>
      </c>
      <c r="H1617" s="61">
        <v>8891000000</v>
      </c>
      <c r="I1617" t="s">
        <v>41</v>
      </c>
      <c r="J1617" t="s">
        <v>99</v>
      </c>
      <c r="K1617" s="61">
        <f t="shared" si="75"/>
        <v>89520000000</v>
      </c>
      <c r="L1617" s="61">
        <f t="shared" si="76"/>
        <v>57615000000</v>
      </c>
      <c r="M1617" s="61">
        <f t="shared" si="77"/>
        <v>31905000000</v>
      </c>
    </row>
    <row r="1618" spans="1:13" x14ac:dyDescent="0.25">
      <c r="A1618" t="s">
        <v>544</v>
      </c>
      <c r="B1618" t="s">
        <v>9</v>
      </c>
      <c r="C1618">
        <v>41639</v>
      </c>
      <c r="D1618" s="61">
        <v>88069000000</v>
      </c>
      <c r="E1618" s="61">
        <v>1337000000</v>
      </c>
      <c r="F1618" s="61">
        <v>47338000000</v>
      </c>
      <c r="G1618" s="61">
        <v>0</v>
      </c>
      <c r="H1618" s="61">
        <v>3813000000</v>
      </c>
      <c r="I1618" t="s">
        <v>41</v>
      </c>
      <c r="J1618" t="s">
        <v>99</v>
      </c>
      <c r="K1618" s="61">
        <f t="shared" si="75"/>
        <v>86732000000</v>
      </c>
      <c r="L1618" s="61">
        <f t="shared" si="76"/>
        <v>51151000000</v>
      </c>
      <c r="M1618" s="61">
        <f t="shared" si="77"/>
        <v>35581000000</v>
      </c>
    </row>
    <row r="1619" spans="1:13" x14ac:dyDescent="0.25">
      <c r="A1619" t="s">
        <v>544</v>
      </c>
      <c r="B1619" t="s">
        <v>10</v>
      </c>
      <c r="C1619">
        <v>42004</v>
      </c>
      <c r="D1619" s="61">
        <v>88372000000</v>
      </c>
      <c r="E1619" s="61">
        <v>1096000000</v>
      </c>
      <c r="F1619" s="61">
        <v>47667000000</v>
      </c>
      <c r="G1619" s="61">
        <v>0</v>
      </c>
      <c r="H1619" s="61">
        <v>2765000000</v>
      </c>
      <c r="I1619" t="s">
        <v>41</v>
      </c>
      <c r="J1619" t="s">
        <v>99</v>
      </c>
      <c r="K1619" s="61">
        <f t="shared" si="75"/>
        <v>87276000000</v>
      </c>
      <c r="L1619" s="61">
        <f t="shared" si="76"/>
        <v>50432000000</v>
      </c>
      <c r="M1619" s="61">
        <f t="shared" si="77"/>
        <v>36844000000</v>
      </c>
    </row>
    <row r="1620" spans="1:13" x14ac:dyDescent="0.25">
      <c r="A1620" t="s">
        <v>544</v>
      </c>
      <c r="B1620" t="s">
        <v>11</v>
      </c>
      <c r="C1620">
        <v>42369</v>
      </c>
      <c r="D1620" s="61">
        <v>90033000000</v>
      </c>
      <c r="E1620" s="61">
        <v>963000000</v>
      </c>
      <c r="F1620" s="61">
        <v>48728000000</v>
      </c>
      <c r="G1620" s="61">
        <v>0</v>
      </c>
      <c r="H1620" s="61">
        <v>3688000000</v>
      </c>
      <c r="I1620" t="s">
        <v>41</v>
      </c>
      <c r="J1620" t="s">
        <v>99</v>
      </c>
      <c r="K1620" s="61">
        <f t="shared" si="75"/>
        <v>89070000000</v>
      </c>
      <c r="L1620" s="61">
        <f t="shared" si="76"/>
        <v>52416000000</v>
      </c>
      <c r="M1620" s="61">
        <f t="shared" si="77"/>
        <v>36654000000</v>
      </c>
    </row>
    <row r="1621" spans="1:13" x14ac:dyDescent="0.25">
      <c r="A1621" t="s">
        <v>545</v>
      </c>
      <c r="B1621" t="s">
        <v>6</v>
      </c>
      <c r="C1621">
        <v>41546</v>
      </c>
      <c r="D1621" s="61">
        <v>12917000000</v>
      </c>
      <c r="E1621" s="61">
        <v>8288000000</v>
      </c>
      <c r="F1621" s="61">
        <v>3682000000</v>
      </c>
      <c r="G1621" s="61">
        <v>0</v>
      </c>
      <c r="H1621" s="61">
        <v>0</v>
      </c>
      <c r="I1621" t="s">
        <v>30</v>
      </c>
      <c r="J1621" t="s">
        <v>340</v>
      </c>
      <c r="K1621" s="61">
        <f t="shared" si="75"/>
        <v>4629000000</v>
      </c>
      <c r="L1621" s="61">
        <f t="shared" si="76"/>
        <v>3682000000</v>
      </c>
      <c r="M1621" s="61">
        <f t="shared" si="77"/>
        <v>947000000</v>
      </c>
    </row>
    <row r="1622" spans="1:13" x14ac:dyDescent="0.25">
      <c r="A1622" t="s">
        <v>545</v>
      </c>
      <c r="B1622" t="s">
        <v>9</v>
      </c>
      <c r="C1622">
        <v>41910</v>
      </c>
      <c r="D1622" s="61">
        <v>14194000000</v>
      </c>
      <c r="E1622" s="61">
        <v>9150000000</v>
      </c>
      <c r="F1622" s="61">
        <v>4032000000</v>
      </c>
      <c r="G1622" s="61">
        <v>0</v>
      </c>
      <c r="H1622" s="61">
        <v>0</v>
      </c>
      <c r="I1622" t="s">
        <v>30</v>
      </c>
      <c r="J1622" t="s">
        <v>340</v>
      </c>
      <c r="K1622" s="61">
        <f t="shared" si="75"/>
        <v>5044000000</v>
      </c>
      <c r="L1622" s="61">
        <f t="shared" si="76"/>
        <v>4032000000</v>
      </c>
      <c r="M1622" s="61">
        <f t="shared" si="77"/>
        <v>1012000000</v>
      </c>
    </row>
    <row r="1623" spans="1:13" x14ac:dyDescent="0.25">
      <c r="A1623" t="s">
        <v>545</v>
      </c>
      <c r="B1623" t="s">
        <v>10</v>
      </c>
      <c r="C1623">
        <v>42274</v>
      </c>
      <c r="D1623" s="61">
        <v>15389000000</v>
      </c>
      <c r="E1623" s="61">
        <v>9973000000</v>
      </c>
      <c r="F1623" s="61">
        <v>4472000000</v>
      </c>
      <c r="G1623" s="61">
        <v>0</v>
      </c>
      <c r="H1623" s="61">
        <v>0</v>
      </c>
      <c r="I1623" t="s">
        <v>30</v>
      </c>
      <c r="J1623" t="s">
        <v>340</v>
      </c>
      <c r="K1623" s="61">
        <f t="shared" si="75"/>
        <v>5416000000</v>
      </c>
      <c r="L1623" s="61">
        <f t="shared" si="76"/>
        <v>4472000000</v>
      </c>
      <c r="M1623" s="61">
        <f t="shared" si="77"/>
        <v>944000000</v>
      </c>
    </row>
    <row r="1624" spans="1:13" x14ac:dyDescent="0.25">
      <c r="A1624" t="s">
        <v>545</v>
      </c>
      <c r="B1624" t="s">
        <v>11</v>
      </c>
      <c r="C1624">
        <v>42638</v>
      </c>
      <c r="D1624" s="61">
        <v>15724000000</v>
      </c>
      <c r="E1624" s="61">
        <v>10313000000</v>
      </c>
      <c r="F1624" s="61">
        <v>4477000000</v>
      </c>
      <c r="G1624" s="61">
        <v>0</v>
      </c>
      <c r="H1624" s="61">
        <v>0</v>
      </c>
      <c r="I1624" t="s">
        <v>30</v>
      </c>
      <c r="J1624" t="s">
        <v>340</v>
      </c>
      <c r="K1624" s="61">
        <f t="shared" si="75"/>
        <v>5411000000</v>
      </c>
      <c r="L1624" s="61">
        <f t="shared" si="76"/>
        <v>4477000000</v>
      </c>
      <c r="M1624" s="61">
        <f t="shared" si="77"/>
        <v>934000000</v>
      </c>
    </row>
    <row r="1625" spans="1:13" x14ac:dyDescent="0.25">
      <c r="A1625" t="s">
        <v>546</v>
      </c>
      <c r="B1625" t="s">
        <v>6</v>
      </c>
      <c r="C1625">
        <v>41639</v>
      </c>
      <c r="D1625" s="61">
        <v>18769000000</v>
      </c>
      <c r="E1625" s="61">
        <v>15471000000</v>
      </c>
      <c r="F1625" s="61">
        <v>1828000000</v>
      </c>
      <c r="G1625" s="61">
        <v>0</v>
      </c>
      <c r="H1625" s="61">
        <v>25000000</v>
      </c>
      <c r="I1625" t="s">
        <v>13</v>
      </c>
      <c r="J1625" t="s">
        <v>474</v>
      </c>
      <c r="K1625" s="61">
        <f t="shared" si="75"/>
        <v>3298000000</v>
      </c>
      <c r="L1625" s="61">
        <f t="shared" si="76"/>
        <v>1853000000</v>
      </c>
      <c r="M1625" s="61">
        <f t="shared" si="77"/>
        <v>1445000000</v>
      </c>
    </row>
    <row r="1626" spans="1:13" x14ac:dyDescent="0.25">
      <c r="A1626" t="s">
        <v>546</v>
      </c>
      <c r="B1626" t="s">
        <v>9</v>
      </c>
      <c r="C1626">
        <v>42004</v>
      </c>
      <c r="D1626" s="61">
        <v>19872000000</v>
      </c>
      <c r="E1626" s="61">
        <v>16477000000</v>
      </c>
      <c r="F1626" s="61">
        <v>2038000000</v>
      </c>
      <c r="G1626" s="61">
        <v>0</v>
      </c>
      <c r="H1626" s="61">
        <v>33000000</v>
      </c>
      <c r="I1626" t="s">
        <v>13</v>
      </c>
      <c r="J1626" t="s">
        <v>474</v>
      </c>
      <c r="K1626" s="61">
        <f t="shared" si="75"/>
        <v>3395000000</v>
      </c>
      <c r="L1626" s="61">
        <f t="shared" si="76"/>
        <v>2071000000</v>
      </c>
      <c r="M1626" s="61">
        <f t="shared" si="77"/>
        <v>1324000000</v>
      </c>
    </row>
    <row r="1627" spans="1:13" x14ac:dyDescent="0.25">
      <c r="A1627" t="s">
        <v>546</v>
      </c>
      <c r="B1627" t="s">
        <v>10</v>
      </c>
      <c r="C1627">
        <v>42369</v>
      </c>
      <c r="D1627" s="61">
        <v>20891000000</v>
      </c>
      <c r="E1627" s="61">
        <v>17201000000</v>
      </c>
      <c r="F1627" s="61">
        <v>2130000000</v>
      </c>
      <c r="G1627" s="61">
        <v>0</v>
      </c>
      <c r="H1627" s="61">
        <v>74000000</v>
      </c>
      <c r="I1627" t="s">
        <v>13</v>
      </c>
      <c r="J1627" t="s">
        <v>474</v>
      </c>
      <c r="K1627" s="61">
        <f t="shared" si="75"/>
        <v>3690000000</v>
      </c>
      <c r="L1627" s="61">
        <f t="shared" si="76"/>
        <v>2204000000</v>
      </c>
      <c r="M1627" s="61">
        <f t="shared" si="77"/>
        <v>1486000000</v>
      </c>
    </row>
    <row r="1628" spans="1:13" x14ac:dyDescent="0.25">
      <c r="A1628" t="s">
        <v>546</v>
      </c>
      <c r="B1628" t="s">
        <v>11</v>
      </c>
      <c r="C1628">
        <v>42735</v>
      </c>
      <c r="D1628" s="61">
        <v>20718000000</v>
      </c>
      <c r="E1628" s="61">
        <v>17036000000</v>
      </c>
      <c r="F1628" s="61">
        <v>2084000000</v>
      </c>
      <c r="G1628" s="61">
        <v>0</v>
      </c>
      <c r="H1628" s="61">
        <v>71000000</v>
      </c>
      <c r="I1628" t="s">
        <v>13</v>
      </c>
      <c r="J1628" t="s">
        <v>474</v>
      </c>
      <c r="K1628" s="61">
        <f t="shared" si="75"/>
        <v>3682000000</v>
      </c>
      <c r="L1628" s="61">
        <f t="shared" si="76"/>
        <v>2155000000</v>
      </c>
      <c r="M1628" s="61">
        <f t="shared" si="77"/>
        <v>1527000000</v>
      </c>
    </row>
    <row r="1629" spans="1:13" x14ac:dyDescent="0.25">
      <c r="A1629" t="s">
        <v>547</v>
      </c>
      <c r="B1629" t="s">
        <v>6</v>
      </c>
      <c r="C1629">
        <v>41639</v>
      </c>
      <c r="D1629" s="61">
        <v>13983000000</v>
      </c>
      <c r="E1629" s="61">
        <v>9112000000</v>
      </c>
      <c r="F1629" s="61">
        <v>1468000000</v>
      </c>
      <c r="G1629" s="61">
        <v>0</v>
      </c>
      <c r="H1629" s="61">
        <v>1333000000</v>
      </c>
      <c r="I1629" t="s">
        <v>7</v>
      </c>
      <c r="J1629" t="s">
        <v>548</v>
      </c>
      <c r="K1629" s="61">
        <f t="shared" si="75"/>
        <v>4871000000</v>
      </c>
      <c r="L1629" s="61">
        <f t="shared" si="76"/>
        <v>2801000000</v>
      </c>
      <c r="M1629" s="61">
        <f t="shared" si="77"/>
        <v>2070000000</v>
      </c>
    </row>
    <row r="1630" spans="1:13" x14ac:dyDescent="0.25">
      <c r="A1630" t="s">
        <v>547</v>
      </c>
      <c r="B1630" t="s">
        <v>9</v>
      </c>
      <c r="C1630">
        <v>42004</v>
      </c>
      <c r="D1630" s="61">
        <v>13996000000</v>
      </c>
      <c r="E1630" s="61">
        <v>9002000000</v>
      </c>
      <c r="F1630" s="61">
        <v>1481000000</v>
      </c>
      <c r="G1630" s="61">
        <v>0</v>
      </c>
      <c r="H1630" s="61">
        <v>1292000000</v>
      </c>
      <c r="I1630" t="s">
        <v>7</v>
      </c>
      <c r="J1630" t="s">
        <v>548</v>
      </c>
      <c r="K1630" s="61">
        <f t="shared" si="75"/>
        <v>4994000000</v>
      </c>
      <c r="L1630" s="61">
        <f t="shared" si="76"/>
        <v>2773000000</v>
      </c>
      <c r="M1630" s="61">
        <f t="shared" si="77"/>
        <v>2221000000</v>
      </c>
    </row>
    <row r="1631" spans="1:13" x14ac:dyDescent="0.25">
      <c r="A1631" t="s">
        <v>547</v>
      </c>
      <c r="B1631" t="s">
        <v>10</v>
      </c>
      <c r="C1631">
        <v>42369</v>
      </c>
      <c r="D1631" s="61">
        <v>12961000000</v>
      </c>
      <c r="E1631" s="61">
        <v>8231000000</v>
      </c>
      <c r="F1631" s="61">
        <v>1343000000</v>
      </c>
      <c r="G1631" s="61">
        <v>0</v>
      </c>
      <c r="H1631" s="61">
        <v>1245000000</v>
      </c>
      <c r="I1631" t="s">
        <v>7</v>
      </c>
      <c r="J1631" t="s">
        <v>548</v>
      </c>
      <c r="K1631" s="61">
        <f t="shared" si="75"/>
        <v>4730000000</v>
      </c>
      <c r="L1631" s="61">
        <f t="shared" si="76"/>
        <v>2588000000</v>
      </c>
      <c r="M1631" s="61">
        <f t="shared" si="77"/>
        <v>2142000000</v>
      </c>
    </row>
    <row r="1632" spans="1:13" x14ac:dyDescent="0.25">
      <c r="A1632" t="s">
        <v>547</v>
      </c>
      <c r="B1632" t="s">
        <v>11</v>
      </c>
      <c r="C1632">
        <v>42735</v>
      </c>
      <c r="D1632" s="61">
        <v>13609000000</v>
      </c>
      <c r="E1632" s="61">
        <v>8486000000</v>
      </c>
      <c r="F1632" s="61">
        <v>1410000000</v>
      </c>
      <c r="G1632" s="61">
        <v>0</v>
      </c>
      <c r="H1632" s="61">
        <v>1301000000</v>
      </c>
      <c r="I1632" t="s">
        <v>7</v>
      </c>
      <c r="J1632" t="s">
        <v>548</v>
      </c>
      <c r="K1632" s="61">
        <f t="shared" si="75"/>
        <v>5123000000</v>
      </c>
      <c r="L1632" s="61">
        <f t="shared" si="76"/>
        <v>2711000000</v>
      </c>
      <c r="M1632" s="61">
        <f t="shared" si="77"/>
        <v>2412000000</v>
      </c>
    </row>
    <row r="1633" spans="1:13" x14ac:dyDescent="0.25">
      <c r="A1633" t="s">
        <v>549</v>
      </c>
      <c r="B1633" t="s">
        <v>6</v>
      </c>
      <c r="C1633">
        <v>41274</v>
      </c>
      <c r="D1633" s="61">
        <v>7486000000</v>
      </c>
      <c r="E1633" s="61">
        <v>4523000000</v>
      </c>
      <c r="F1633" s="61">
        <v>595000000</v>
      </c>
      <c r="G1633" s="61">
        <v>0</v>
      </c>
      <c r="H1633" s="61">
        <v>756000000</v>
      </c>
      <c r="I1633" t="s">
        <v>77</v>
      </c>
      <c r="J1633" t="s">
        <v>78</v>
      </c>
      <c r="K1633" s="61">
        <f t="shared" si="75"/>
        <v>2963000000</v>
      </c>
      <c r="L1633" s="61">
        <f t="shared" si="76"/>
        <v>1351000000</v>
      </c>
      <c r="M1633" s="61">
        <f t="shared" si="77"/>
        <v>1612000000</v>
      </c>
    </row>
    <row r="1634" spans="1:13" x14ac:dyDescent="0.25">
      <c r="A1634" t="s">
        <v>549</v>
      </c>
      <c r="B1634" t="s">
        <v>9</v>
      </c>
      <c r="C1634">
        <v>41639</v>
      </c>
      <c r="D1634" s="61">
        <v>6860000000</v>
      </c>
      <c r="E1634" s="61">
        <v>4124000000</v>
      </c>
      <c r="F1634" s="61">
        <v>546000000</v>
      </c>
      <c r="G1634" s="61">
        <v>0</v>
      </c>
      <c r="H1634" s="61">
        <v>815000000</v>
      </c>
      <c r="I1634" t="s">
        <v>77</v>
      </c>
      <c r="J1634" t="s">
        <v>78</v>
      </c>
      <c r="K1634" s="61">
        <f t="shared" si="75"/>
        <v>2736000000</v>
      </c>
      <c r="L1634" s="61">
        <f t="shared" si="76"/>
        <v>1361000000</v>
      </c>
      <c r="M1634" s="61">
        <f t="shared" si="77"/>
        <v>1375000000</v>
      </c>
    </row>
    <row r="1635" spans="1:13" x14ac:dyDescent="0.25">
      <c r="A1635" t="s">
        <v>549</v>
      </c>
      <c r="B1635" t="s">
        <v>10</v>
      </c>
      <c r="C1635">
        <v>42004</v>
      </c>
      <c r="D1635" s="61">
        <v>7637000000</v>
      </c>
      <c r="E1635" s="61">
        <v>4508000000</v>
      </c>
      <c r="F1635" s="61">
        <v>384000000</v>
      </c>
      <c r="G1635" s="61">
        <v>0</v>
      </c>
      <c r="H1635" s="61">
        <v>1176000000</v>
      </c>
      <c r="I1635" t="s">
        <v>77</v>
      </c>
      <c r="J1635" t="s">
        <v>78</v>
      </c>
      <c r="K1635" s="61">
        <f t="shared" si="75"/>
        <v>3129000000</v>
      </c>
      <c r="L1635" s="61">
        <f t="shared" si="76"/>
        <v>1560000000</v>
      </c>
      <c r="M1635" s="61">
        <f t="shared" si="77"/>
        <v>1569000000</v>
      </c>
    </row>
    <row r="1636" spans="1:13" x14ac:dyDescent="0.25">
      <c r="A1636" t="s">
        <v>549</v>
      </c>
      <c r="B1636" t="s">
        <v>11</v>
      </c>
      <c r="C1636">
        <v>42369</v>
      </c>
      <c r="D1636" s="61">
        <v>7360000000</v>
      </c>
      <c r="E1636" s="61">
        <v>3434000000</v>
      </c>
      <c r="F1636" s="61">
        <v>864000000</v>
      </c>
      <c r="G1636" s="61">
        <v>0</v>
      </c>
      <c r="H1636" s="61">
        <v>1738000000</v>
      </c>
      <c r="I1636" t="s">
        <v>77</v>
      </c>
      <c r="J1636" t="s">
        <v>78</v>
      </c>
      <c r="K1636" s="61">
        <f t="shared" si="75"/>
        <v>3926000000</v>
      </c>
      <c r="L1636" s="61">
        <f t="shared" si="76"/>
        <v>2602000000</v>
      </c>
      <c r="M1636" s="61">
        <f t="shared" si="77"/>
        <v>1324000000</v>
      </c>
    </row>
    <row r="1637" spans="1:13" x14ac:dyDescent="0.25">
      <c r="A1637" t="s">
        <v>550</v>
      </c>
      <c r="B1637" t="s">
        <v>6</v>
      </c>
      <c r="C1637">
        <v>41305</v>
      </c>
      <c r="D1637" s="61">
        <v>468651000000</v>
      </c>
      <c r="E1637" s="61">
        <v>352297000000</v>
      </c>
      <c r="F1637" s="61">
        <v>88629000000</v>
      </c>
      <c r="G1637" s="61">
        <v>0</v>
      </c>
      <c r="H1637" s="61">
        <v>0</v>
      </c>
      <c r="I1637" t="s">
        <v>30</v>
      </c>
      <c r="J1637" t="s">
        <v>162</v>
      </c>
      <c r="K1637" s="61">
        <f t="shared" si="75"/>
        <v>116354000000</v>
      </c>
      <c r="L1637" s="61">
        <f t="shared" si="76"/>
        <v>88629000000</v>
      </c>
      <c r="M1637" s="61">
        <f t="shared" si="77"/>
        <v>27725000000</v>
      </c>
    </row>
    <row r="1638" spans="1:13" x14ac:dyDescent="0.25">
      <c r="A1638" t="s">
        <v>550</v>
      </c>
      <c r="B1638" t="s">
        <v>9</v>
      </c>
      <c r="C1638">
        <v>41670</v>
      </c>
      <c r="D1638" s="61">
        <v>476294000000</v>
      </c>
      <c r="E1638" s="61">
        <v>358069000000</v>
      </c>
      <c r="F1638" s="61">
        <v>91353000000</v>
      </c>
      <c r="G1638" s="61">
        <v>0</v>
      </c>
      <c r="H1638" s="61">
        <v>0</v>
      </c>
      <c r="I1638" t="s">
        <v>30</v>
      </c>
      <c r="J1638" t="s">
        <v>162</v>
      </c>
      <c r="K1638" s="61">
        <f t="shared" si="75"/>
        <v>118225000000</v>
      </c>
      <c r="L1638" s="61">
        <f t="shared" si="76"/>
        <v>91353000000</v>
      </c>
      <c r="M1638" s="61">
        <f t="shared" si="77"/>
        <v>26872000000</v>
      </c>
    </row>
    <row r="1639" spans="1:13" x14ac:dyDescent="0.25">
      <c r="A1639" t="s">
        <v>550</v>
      </c>
      <c r="B1639" t="s">
        <v>10</v>
      </c>
      <c r="C1639">
        <v>42035</v>
      </c>
      <c r="D1639" s="61">
        <v>485651000000</v>
      </c>
      <c r="E1639" s="61">
        <v>365086000000</v>
      </c>
      <c r="F1639" s="61">
        <v>93418000000</v>
      </c>
      <c r="G1639" s="61">
        <v>0</v>
      </c>
      <c r="H1639" s="61">
        <v>0</v>
      </c>
      <c r="I1639" t="s">
        <v>30</v>
      </c>
      <c r="J1639" t="s">
        <v>162</v>
      </c>
      <c r="K1639" s="61">
        <f t="shared" si="75"/>
        <v>120565000000</v>
      </c>
      <c r="L1639" s="61">
        <f t="shared" si="76"/>
        <v>93418000000</v>
      </c>
      <c r="M1639" s="61">
        <f t="shared" si="77"/>
        <v>27147000000</v>
      </c>
    </row>
    <row r="1640" spans="1:13" x14ac:dyDescent="0.25">
      <c r="A1640" t="s">
        <v>550</v>
      </c>
      <c r="B1640" t="s">
        <v>11</v>
      </c>
      <c r="C1640">
        <v>42400</v>
      </c>
      <c r="D1640" s="61">
        <v>482130000000</v>
      </c>
      <c r="E1640" s="61">
        <v>360984000000</v>
      </c>
      <c r="F1640" s="61">
        <v>97041000000</v>
      </c>
      <c r="G1640" s="61">
        <v>0</v>
      </c>
      <c r="H1640" s="61">
        <v>0</v>
      </c>
      <c r="I1640" t="s">
        <v>30</v>
      </c>
      <c r="J1640" t="s">
        <v>162</v>
      </c>
      <c r="K1640" s="61">
        <f t="shared" si="75"/>
        <v>121146000000</v>
      </c>
      <c r="L1640" s="61">
        <f t="shared" si="76"/>
        <v>97041000000</v>
      </c>
      <c r="M1640" s="61">
        <f t="shared" si="77"/>
        <v>24105000000</v>
      </c>
    </row>
    <row r="1641" spans="1:13" x14ac:dyDescent="0.25">
      <c r="A1641" t="s">
        <v>551</v>
      </c>
      <c r="B1641" t="s">
        <v>6</v>
      </c>
      <c r="C1641">
        <v>41912</v>
      </c>
      <c r="D1641" s="61">
        <v>9895100000</v>
      </c>
      <c r="E1641" s="61">
        <v>7961500000</v>
      </c>
      <c r="F1641" s="61">
        <v>937600000</v>
      </c>
      <c r="G1641" s="61">
        <v>0</v>
      </c>
      <c r="H1641" s="61">
        <v>86000000</v>
      </c>
      <c r="I1641" t="s">
        <v>53</v>
      </c>
      <c r="J1641" t="s">
        <v>90</v>
      </c>
      <c r="K1641" s="61">
        <f t="shared" si="75"/>
        <v>1933600000</v>
      </c>
      <c r="L1641" s="61">
        <f t="shared" si="76"/>
        <v>1023600000</v>
      </c>
      <c r="M1641" s="61">
        <f t="shared" si="77"/>
        <v>910000000</v>
      </c>
    </row>
    <row r="1642" spans="1:13" x14ac:dyDescent="0.25">
      <c r="A1642" t="s">
        <v>551</v>
      </c>
      <c r="B1642" t="s">
        <v>9</v>
      </c>
      <c r="C1642">
        <v>42277</v>
      </c>
      <c r="D1642" s="61">
        <v>11124800000</v>
      </c>
      <c r="E1642" s="61">
        <v>8986500000</v>
      </c>
      <c r="F1642" s="61">
        <v>1026100000</v>
      </c>
      <c r="G1642" s="61">
        <v>0</v>
      </c>
      <c r="H1642" s="61">
        <v>118900000</v>
      </c>
      <c r="I1642" t="s">
        <v>53</v>
      </c>
      <c r="J1642" t="s">
        <v>90</v>
      </c>
      <c r="K1642" s="61">
        <f t="shared" si="75"/>
        <v>2138300000</v>
      </c>
      <c r="L1642" s="61">
        <f t="shared" si="76"/>
        <v>1145000000</v>
      </c>
      <c r="M1642" s="61">
        <f t="shared" si="77"/>
        <v>993300000</v>
      </c>
    </row>
    <row r="1643" spans="1:13" x14ac:dyDescent="0.25">
      <c r="A1643" t="s">
        <v>551</v>
      </c>
      <c r="B1643" t="s">
        <v>10</v>
      </c>
      <c r="C1643">
        <v>42643</v>
      </c>
      <c r="D1643" s="61">
        <v>14171800000</v>
      </c>
      <c r="E1643" s="61">
        <v>11413200000</v>
      </c>
      <c r="F1643" s="61">
        <v>1750100000</v>
      </c>
      <c r="G1643" s="61">
        <v>0</v>
      </c>
      <c r="H1643" s="61">
        <v>211800000</v>
      </c>
      <c r="I1643" t="s">
        <v>53</v>
      </c>
      <c r="J1643" t="s">
        <v>90</v>
      </c>
      <c r="K1643" s="61">
        <f t="shared" si="75"/>
        <v>2758600000</v>
      </c>
      <c r="L1643" s="61">
        <f t="shared" si="76"/>
        <v>1961900000</v>
      </c>
      <c r="M1643" s="61">
        <f t="shared" si="77"/>
        <v>796700000</v>
      </c>
    </row>
    <row r="1644" spans="1:13" x14ac:dyDescent="0.25">
      <c r="A1644" t="s">
        <v>552</v>
      </c>
      <c r="B1644" t="s">
        <v>6</v>
      </c>
      <c r="C1644">
        <v>41274</v>
      </c>
      <c r="D1644" s="61">
        <v>5664800000</v>
      </c>
      <c r="E1644" s="61">
        <v>3194200000</v>
      </c>
      <c r="F1644" s="61">
        <v>1140600000</v>
      </c>
      <c r="G1644" s="61">
        <v>0</v>
      </c>
      <c r="H1644" s="61">
        <v>0</v>
      </c>
      <c r="I1644" t="s">
        <v>16</v>
      </c>
      <c r="J1644" t="s">
        <v>51</v>
      </c>
      <c r="K1644" s="61">
        <f t="shared" si="75"/>
        <v>2470600000</v>
      </c>
      <c r="L1644" s="61">
        <f t="shared" si="76"/>
        <v>1140600000</v>
      </c>
      <c r="M1644" s="61">
        <f t="shared" si="77"/>
        <v>1330000000</v>
      </c>
    </row>
    <row r="1645" spans="1:13" x14ac:dyDescent="0.25">
      <c r="A1645" t="s">
        <v>552</v>
      </c>
      <c r="B1645" t="s">
        <v>9</v>
      </c>
      <c r="C1645">
        <v>41639</v>
      </c>
      <c r="D1645" s="61">
        <v>5542000000</v>
      </c>
      <c r="E1645" s="61">
        <v>3235000000</v>
      </c>
      <c r="F1645" s="61">
        <v>1199600000</v>
      </c>
      <c r="G1645" s="61">
        <v>0</v>
      </c>
      <c r="H1645" s="61">
        <v>0</v>
      </c>
      <c r="I1645" t="s">
        <v>16</v>
      </c>
      <c r="J1645" t="s">
        <v>51</v>
      </c>
      <c r="K1645" s="61">
        <f t="shared" si="75"/>
        <v>2307000000</v>
      </c>
      <c r="L1645" s="61">
        <f t="shared" si="76"/>
        <v>1199600000</v>
      </c>
      <c r="M1645" s="61">
        <f t="shared" si="77"/>
        <v>1107400000</v>
      </c>
    </row>
    <row r="1646" spans="1:13" x14ac:dyDescent="0.25">
      <c r="A1646" t="s">
        <v>552</v>
      </c>
      <c r="B1646" t="s">
        <v>10</v>
      </c>
      <c r="C1646">
        <v>42004</v>
      </c>
      <c r="D1646" s="61">
        <v>5607200000</v>
      </c>
      <c r="E1646" s="61">
        <v>3297400000</v>
      </c>
      <c r="F1646" s="61">
        <v>1169300000</v>
      </c>
      <c r="G1646" s="61">
        <v>0</v>
      </c>
      <c r="H1646" s="61">
        <v>0</v>
      </c>
      <c r="I1646" t="s">
        <v>16</v>
      </c>
      <c r="J1646" t="s">
        <v>51</v>
      </c>
      <c r="K1646" s="61">
        <f t="shared" si="75"/>
        <v>2309800000</v>
      </c>
      <c r="L1646" s="61">
        <f t="shared" si="76"/>
        <v>1169300000</v>
      </c>
      <c r="M1646" s="61">
        <f t="shared" si="77"/>
        <v>1140500000</v>
      </c>
    </row>
    <row r="1647" spans="1:13" x14ac:dyDescent="0.25">
      <c r="A1647" t="s">
        <v>552</v>
      </c>
      <c r="B1647" t="s">
        <v>11</v>
      </c>
      <c r="C1647">
        <v>42369</v>
      </c>
      <c r="D1647" s="61">
        <v>5483700000</v>
      </c>
      <c r="E1647" s="61">
        <v>3199400000</v>
      </c>
      <c r="F1647" s="61">
        <v>1174900000</v>
      </c>
      <c r="G1647" s="61">
        <v>0</v>
      </c>
      <c r="H1647" s="61">
        <v>0</v>
      </c>
      <c r="I1647" t="s">
        <v>16</v>
      </c>
      <c r="J1647" t="s">
        <v>51</v>
      </c>
      <c r="K1647" s="61">
        <f t="shared" si="75"/>
        <v>2284300000</v>
      </c>
      <c r="L1647" s="61">
        <f t="shared" si="76"/>
        <v>1174900000</v>
      </c>
      <c r="M1647" s="61">
        <f t="shared" si="77"/>
        <v>1109400000</v>
      </c>
    </row>
    <row r="1648" spans="1:13" x14ac:dyDescent="0.25">
      <c r="A1648" t="s">
        <v>553</v>
      </c>
      <c r="B1648" t="s">
        <v>6</v>
      </c>
      <c r="C1648">
        <v>41274</v>
      </c>
      <c r="D1648" s="61">
        <v>5989000000</v>
      </c>
      <c r="E1648" s="61">
        <v>4993000000</v>
      </c>
      <c r="F1648" s="61">
        <v>320000000</v>
      </c>
      <c r="G1648" s="61">
        <v>32000000</v>
      </c>
      <c r="H1648" s="61">
        <v>0</v>
      </c>
      <c r="I1648" t="s">
        <v>46</v>
      </c>
      <c r="J1648" t="s">
        <v>47</v>
      </c>
      <c r="K1648" s="61">
        <f t="shared" si="75"/>
        <v>996000000</v>
      </c>
      <c r="L1648" s="61">
        <f t="shared" si="76"/>
        <v>352000000</v>
      </c>
      <c r="M1648" s="61">
        <f t="shared" si="77"/>
        <v>644000000</v>
      </c>
    </row>
    <row r="1649" spans="1:13" x14ac:dyDescent="0.25">
      <c r="A1649" t="s">
        <v>553</v>
      </c>
      <c r="B1649" t="s">
        <v>9</v>
      </c>
      <c r="C1649">
        <v>41639</v>
      </c>
      <c r="D1649" s="61">
        <v>7254000000</v>
      </c>
      <c r="E1649" s="61">
        <v>5716000000</v>
      </c>
      <c r="F1649" s="61">
        <v>494000000</v>
      </c>
      <c r="G1649" s="61">
        <v>33000000</v>
      </c>
      <c r="H1649" s="61">
        <v>0</v>
      </c>
      <c r="I1649" t="s">
        <v>46</v>
      </c>
      <c r="J1649" t="s">
        <v>47</v>
      </c>
      <c r="K1649" s="61">
        <f t="shared" si="75"/>
        <v>1538000000</v>
      </c>
      <c r="L1649" s="61">
        <f t="shared" si="76"/>
        <v>527000000</v>
      </c>
      <c r="M1649" s="61">
        <f t="shared" si="77"/>
        <v>1011000000</v>
      </c>
    </row>
    <row r="1650" spans="1:13" x14ac:dyDescent="0.25">
      <c r="A1650" t="s">
        <v>553</v>
      </c>
      <c r="B1650" t="s">
        <v>10</v>
      </c>
      <c r="C1650">
        <v>42004</v>
      </c>
      <c r="D1650" s="61">
        <v>7403000000</v>
      </c>
      <c r="E1650" s="61">
        <v>5763000000</v>
      </c>
      <c r="F1650" s="61">
        <v>249000000</v>
      </c>
      <c r="G1650" s="61">
        <v>27000000</v>
      </c>
      <c r="H1650" s="61">
        <v>0</v>
      </c>
      <c r="I1650" t="s">
        <v>46</v>
      </c>
      <c r="J1650" t="s">
        <v>47</v>
      </c>
      <c r="K1650" s="61">
        <f t="shared" si="75"/>
        <v>1640000000</v>
      </c>
      <c r="L1650" s="61">
        <f t="shared" si="76"/>
        <v>276000000</v>
      </c>
      <c r="M1650" s="61">
        <f t="shared" si="77"/>
        <v>1364000000</v>
      </c>
    </row>
    <row r="1651" spans="1:13" x14ac:dyDescent="0.25">
      <c r="A1651" t="s">
        <v>553</v>
      </c>
      <c r="B1651" t="s">
        <v>11</v>
      </c>
      <c r="C1651">
        <v>42369</v>
      </c>
      <c r="D1651" s="61">
        <v>7082000000</v>
      </c>
      <c r="E1651" s="61">
        <v>5694000000</v>
      </c>
      <c r="F1651" s="61">
        <v>420000000</v>
      </c>
      <c r="G1651" s="61">
        <v>24000000</v>
      </c>
      <c r="H1651" s="61">
        <v>0</v>
      </c>
      <c r="I1651" t="s">
        <v>46</v>
      </c>
      <c r="J1651" t="s">
        <v>47</v>
      </c>
      <c r="K1651" s="61">
        <f t="shared" si="75"/>
        <v>1388000000</v>
      </c>
      <c r="L1651" s="61">
        <f t="shared" si="76"/>
        <v>444000000</v>
      </c>
      <c r="M1651" s="61">
        <f t="shared" si="77"/>
        <v>944000000</v>
      </c>
    </row>
    <row r="1652" spans="1:13" x14ac:dyDescent="0.25">
      <c r="A1652" t="s">
        <v>554</v>
      </c>
      <c r="B1652" t="s">
        <v>6</v>
      </c>
      <c r="C1652">
        <v>41274</v>
      </c>
      <c r="D1652" s="61">
        <v>4534000000</v>
      </c>
      <c r="E1652" s="61">
        <v>2093000000</v>
      </c>
      <c r="F1652" s="61">
        <v>1389000000</v>
      </c>
      <c r="G1652" s="61">
        <v>0</v>
      </c>
      <c r="H1652" s="61">
        <v>185000000</v>
      </c>
      <c r="I1652" t="s">
        <v>13</v>
      </c>
      <c r="J1652" t="s">
        <v>127</v>
      </c>
      <c r="K1652" s="61">
        <f t="shared" si="75"/>
        <v>2441000000</v>
      </c>
      <c r="L1652" s="61">
        <f t="shared" si="76"/>
        <v>1574000000</v>
      </c>
      <c r="M1652" s="61">
        <f t="shared" si="77"/>
        <v>867000000</v>
      </c>
    </row>
    <row r="1653" spans="1:13" x14ac:dyDescent="0.25">
      <c r="A1653" t="s">
        <v>554</v>
      </c>
      <c r="B1653" t="s">
        <v>9</v>
      </c>
      <c r="C1653">
        <v>41639</v>
      </c>
      <c r="D1653" s="61">
        <v>5009000000</v>
      </c>
      <c r="E1653" s="61">
        <v>2394000000</v>
      </c>
      <c r="F1653" s="61">
        <v>1471000000</v>
      </c>
      <c r="G1653" s="61">
        <v>0</v>
      </c>
      <c r="H1653" s="61">
        <v>216000000</v>
      </c>
      <c r="I1653" t="s">
        <v>13</v>
      </c>
      <c r="J1653" t="s">
        <v>127</v>
      </c>
      <c r="K1653" s="61">
        <f t="shared" si="75"/>
        <v>2615000000</v>
      </c>
      <c r="L1653" s="61">
        <f t="shared" si="76"/>
        <v>1687000000</v>
      </c>
      <c r="M1653" s="61">
        <f t="shared" si="77"/>
        <v>928000000</v>
      </c>
    </row>
    <row r="1654" spans="1:13" x14ac:dyDescent="0.25">
      <c r="A1654" t="s">
        <v>554</v>
      </c>
      <c r="B1654" t="s">
        <v>10</v>
      </c>
      <c r="C1654">
        <v>42004</v>
      </c>
      <c r="D1654" s="61">
        <v>5281000000</v>
      </c>
      <c r="E1654" s="61">
        <v>2504000000</v>
      </c>
      <c r="F1654" s="61">
        <v>1557000000</v>
      </c>
      <c r="G1654" s="61">
        <v>0</v>
      </c>
      <c r="H1654" s="61">
        <v>233000000</v>
      </c>
      <c r="I1654" t="s">
        <v>13</v>
      </c>
      <c r="J1654" t="s">
        <v>127</v>
      </c>
      <c r="K1654" s="61">
        <f t="shared" si="75"/>
        <v>2777000000</v>
      </c>
      <c r="L1654" s="61">
        <f t="shared" si="76"/>
        <v>1790000000</v>
      </c>
      <c r="M1654" s="61">
        <f t="shared" si="77"/>
        <v>987000000</v>
      </c>
    </row>
    <row r="1655" spans="1:13" x14ac:dyDescent="0.25">
      <c r="A1655" t="s">
        <v>554</v>
      </c>
      <c r="B1655" t="s">
        <v>11</v>
      </c>
      <c r="C1655">
        <v>42369</v>
      </c>
      <c r="D1655" s="61">
        <v>5536000000</v>
      </c>
      <c r="E1655" s="61">
        <v>2700000000</v>
      </c>
      <c r="F1655" s="61">
        <v>1574000000</v>
      </c>
      <c r="G1655" s="61">
        <v>0</v>
      </c>
      <c r="H1655" s="61">
        <v>234000000</v>
      </c>
      <c r="I1655" t="s">
        <v>13</v>
      </c>
      <c r="J1655" t="s">
        <v>127</v>
      </c>
      <c r="K1655" s="61">
        <f t="shared" si="75"/>
        <v>2836000000</v>
      </c>
      <c r="L1655" s="61">
        <f t="shared" si="76"/>
        <v>1808000000</v>
      </c>
      <c r="M1655" s="61">
        <f t="shared" si="77"/>
        <v>1028000000</v>
      </c>
    </row>
    <row r="1656" spans="1:13" x14ac:dyDescent="0.25">
      <c r="A1656" t="s">
        <v>555</v>
      </c>
      <c r="B1656" t="s">
        <v>6</v>
      </c>
      <c r="C1656">
        <v>41274</v>
      </c>
      <c r="D1656" s="61">
        <v>5154284000</v>
      </c>
      <c r="E1656" s="61">
        <v>3251575000</v>
      </c>
      <c r="F1656" s="61">
        <v>481677000</v>
      </c>
      <c r="G1656" s="61">
        <v>0</v>
      </c>
      <c r="H1656" s="61">
        <v>373199000</v>
      </c>
      <c r="I1656" t="s">
        <v>13</v>
      </c>
      <c r="J1656" t="s">
        <v>556</v>
      </c>
      <c r="K1656" s="61">
        <f t="shared" si="75"/>
        <v>1902709000</v>
      </c>
      <c r="L1656" s="61">
        <f t="shared" si="76"/>
        <v>854876000</v>
      </c>
      <c r="M1656" s="61">
        <f t="shared" si="77"/>
        <v>1047833000</v>
      </c>
    </row>
    <row r="1657" spans="1:13" x14ac:dyDescent="0.25">
      <c r="A1657" t="s">
        <v>555</v>
      </c>
      <c r="B1657" t="s">
        <v>9</v>
      </c>
      <c r="C1657">
        <v>41639</v>
      </c>
      <c r="D1657" s="61">
        <v>5620936000</v>
      </c>
      <c r="E1657" s="61">
        <v>3478822000</v>
      </c>
      <c r="F1657" s="61">
        <v>465926000</v>
      </c>
      <c r="G1657" s="61">
        <v>0</v>
      </c>
      <c r="H1657" s="61">
        <v>371051000</v>
      </c>
      <c r="I1657" t="s">
        <v>13</v>
      </c>
      <c r="J1657" t="s">
        <v>556</v>
      </c>
      <c r="K1657" s="61">
        <f t="shared" si="75"/>
        <v>2142114000</v>
      </c>
      <c r="L1657" s="61">
        <f t="shared" si="76"/>
        <v>836977000</v>
      </c>
      <c r="M1657" s="61">
        <f t="shared" si="77"/>
        <v>1305137000</v>
      </c>
    </row>
    <row r="1658" spans="1:13" x14ac:dyDescent="0.25">
      <c r="A1658" t="s">
        <v>555</v>
      </c>
      <c r="B1658" t="s">
        <v>10</v>
      </c>
      <c r="C1658">
        <v>42004</v>
      </c>
      <c r="D1658" s="61">
        <v>5433661000</v>
      </c>
      <c r="E1658" s="61">
        <v>3316311000</v>
      </c>
      <c r="F1658" s="61">
        <v>502901000</v>
      </c>
      <c r="G1658" s="61">
        <v>0</v>
      </c>
      <c r="H1658" s="61">
        <v>314119000</v>
      </c>
      <c r="I1658" t="s">
        <v>13</v>
      </c>
      <c r="J1658" t="s">
        <v>556</v>
      </c>
      <c r="K1658" s="61">
        <f t="shared" si="75"/>
        <v>2117350000</v>
      </c>
      <c r="L1658" s="61">
        <f t="shared" si="76"/>
        <v>817020000</v>
      </c>
      <c r="M1658" s="61">
        <f t="shared" si="77"/>
        <v>1300330000</v>
      </c>
    </row>
    <row r="1659" spans="1:13" x14ac:dyDescent="0.25">
      <c r="A1659" t="s">
        <v>555</v>
      </c>
      <c r="B1659" t="s">
        <v>11</v>
      </c>
      <c r="C1659">
        <v>42369</v>
      </c>
      <c r="D1659" s="61">
        <v>4075883000</v>
      </c>
      <c r="E1659" s="61">
        <v>2530374000</v>
      </c>
      <c r="F1659" s="61">
        <v>475328000</v>
      </c>
      <c r="G1659" s="61">
        <v>0</v>
      </c>
      <c r="H1659" s="61">
        <v>322629000</v>
      </c>
      <c r="I1659" t="s">
        <v>13</v>
      </c>
      <c r="J1659" t="s">
        <v>556</v>
      </c>
      <c r="K1659" s="61">
        <f t="shared" si="75"/>
        <v>1545509000</v>
      </c>
      <c r="L1659" s="61">
        <f t="shared" si="76"/>
        <v>797957000</v>
      </c>
      <c r="M1659" s="61">
        <f t="shared" si="77"/>
        <v>747552000</v>
      </c>
    </row>
    <row r="1660" spans="1:13" x14ac:dyDescent="0.25">
      <c r="A1660" t="s">
        <v>557</v>
      </c>
      <c r="B1660" t="s">
        <v>6</v>
      </c>
      <c r="C1660">
        <v>41274</v>
      </c>
      <c r="D1660" s="61">
        <v>1623938000</v>
      </c>
      <c r="E1660" s="61">
        <v>337903000</v>
      </c>
      <c r="F1660" s="61">
        <v>188302000</v>
      </c>
      <c r="G1660" s="61">
        <v>0</v>
      </c>
      <c r="H1660" s="61">
        <v>513916000</v>
      </c>
      <c r="I1660" t="s">
        <v>77</v>
      </c>
      <c r="J1660" t="s">
        <v>78</v>
      </c>
      <c r="K1660" s="61">
        <f t="shared" si="75"/>
        <v>1286035000</v>
      </c>
      <c r="L1660" s="61">
        <f t="shared" si="76"/>
        <v>702218000</v>
      </c>
      <c r="M1660" s="61">
        <f t="shared" si="77"/>
        <v>583817000</v>
      </c>
    </row>
    <row r="1661" spans="1:13" x14ac:dyDescent="0.25">
      <c r="A1661" t="s">
        <v>557</v>
      </c>
      <c r="B1661" t="s">
        <v>9</v>
      </c>
      <c r="C1661">
        <v>41639</v>
      </c>
      <c r="D1661" s="61">
        <v>1998051000</v>
      </c>
      <c r="E1661" s="61">
        <v>406198000</v>
      </c>
      <c r="F1661" s="61">
        <v>72143000</v>
      </c>
      <c r="G1661" s="61">
        <v>0</v>
      </c>
      <c r="H1661" s="61">
        <v>615874000</v>
      </c>
      <c r="I1661" t="s">
        <v>77</v>
      </c>
      <c r="J1661" t="s">
        <v>78</v>
      </c>
      <c r="K1661" s="61">
        <f t="shared" si="75"/>
        <v>1591853000</v>
      </c>
      <c r="L1661" s="61">
        <f t="shared" si="76"/>
        <v>688017000</v>
      </c>
      <c r="M1661" s="61">
        <f t="shared" si="77"/>
        <v>903836000</v>
      </c>
    </row>
    <row r="1662" spans="1:13" x14ac:dyDescent="0.25">
      <c r="A1662" t="s">
        <v>557</v>
      </c>
      <c r="B1662" t="s">
        <v>10</v>
      </c>
      <c r="C1662">
        <v>42004</v>
      </c>
      <c r="D1662" s="61">
        <v>2424176000</v>
      </c>
      <c r="E1662" s="61">
        <v>572831000</v>
      </c>
      <c r="F1662" s="61">
        <v>225070000</v>
      </c>
      <c r="G1662" s="61">
        <v>0</v>
      </c>
      <c r="H1662" s="61">
        <v>806021000</v>
      </c>
      <c r="I1662" t="s">
        <v>77</v>
      </c>
      <c r="J1662" t="s">
        <v>78</v>
      </c>
      <c r="K1662" s="61">
        <f t="shared" si="75"/>
        <v>1851345000</v>
      </c>
      <c r="L1662" s="61">
        <f t="shared" si="76"/>
        <v>1031091000</v>
      </c>
      <c r="M1662" s="61">
        <f t="shared" si="77"/>
        <v>820254000</v>
      </c>
    </row>
    <row r="1663" spans="1:13" x14ac:dyDescent="0.25">
      <c r="A1663" t="s">
        <v>557</v>
      </c>
      <c r="B1663" t="s">
        <v>11</v>
      </c>
      <c r="C1663">
        <v>42369</v>
      </c>
      <c r="D1663" s="61">
        <v>1452619000</v>
      </c>
      <c r="E1663" s="61">
        <v>519874000</v>
      </c>
      <c r="F1663" s="61">
        <v>179867000</v>
      </c>
      <c r="G1663" s="61">
        <v>0</v>
      </c>
      <c r="H1663" s="61">
        <v>778923000</v>
      </c>
      <c r="I1663" t="s">
        <v>77</v>
      </c>
      <c r="J1663" t="s">
        <v>78</v>
      </c>
      <c r="K1663" s="61">
        <f t="shared" si="75"/>
        <v>932745000</v>
      </c>
      <c r="L1663" s="61">
        <f t="shared" si="76"/>
        <v>958790000</v>
      </c>
      <c r="M1663" s="61">
        <f t="shared" si="77"/>
        <v>-26045000</v>
      </c>
    </row>
    <row r="1664" spans="1:13" x14ac:dyDescent="0.25">
      <c r="A1664" t="s">
        <v>558</v>
      </c>
      <c r="B1664" t="s">
        <v>6</v>
      </c>
      <c r="C1664">
        <v>41274</v>
      </c>
      <c r="D1664" s="61">
        <v>10128223000</v>
      </c>
      <c r="E1664" s="61">
        <v>6710036000</v>
      </c>
      <c r="F1664" s="61">
        <v>669451000</v>
      </c>
      <c r="G1664" s="61">
        <v>0</v>
      </c>
      <c r="H1664" s="61">
        <v>926053000</v>
      </c>
      <c r="I1664" t="s">
        <v>36</v>
      </c>
      <c r="J1664" t="s">
        <v>37</v>
      </c>
      <c r="K1664" s="61">
        <f t="shared" si="75"/>
        <v>3418187000</v>
      </c>
      <c r="L1664" s="61">
        <f t="shared" si="76"/>
        <v>1595504000</v>
      </c>
      <c r="M1664" s="61">
        <f t="shared" si="77"/>
        <v>1822683000</v>
      </c>
    </row>
    <row r="1665" spans="1:13" x14ac:dyDescent="0.25">
      <c r="A1665" t="s">
        <v>558</v>
      </c>
      <c r="B1665" t="s">
        <v>9</v>
      </c>
      <c r="C1665">
        <v>41639</v>
      </c>
      <c r="D1665" s="61">
        <v>10914922000</v>
      </c>
      <c r="E1665" s="61">
        <v>7408278000</v>
      </c>
      <c r="F1665" s="61">
        <v>681226000</v>
      </c>
      <c r="G1665" s="61">
        <v>0</v>
      </c>
      <c r="H1665" s="61">
        <v>977863000</v>
      </c>
      <c r="I1665" t="s">
        <v>36</v>
      </c>
      <c r="J1665" t="s">
        <v>37</v>
      </c>
      <c r="K1665" s="61">
        <f t="shared" si="75"/>
        <v>3506644000</v>
      </c>
      <c r="L1665" s="61">
        <f t="shared" si="76"/>
        <v>1659089000</v>
      </c>
      <c r="M1665" s="61">
        <f t="shared" si="77"/>
        <v>1847555000</v>
      </c>
    </row>
    <row r="1666" spans="1:13" x14ac:dyDescent="0.25">
      <c r="A1666" t="s">
        <v>558</v>
      </c>
      <c r="B1666" t="s">
        <v>10</v>
      </c>
      <c r="C1666">
        <v>42004</v>
      </c>
      <c r="D1666" s="61">
        <v>11686135000</v>
      </c>
      <c r="E1666" s="61">
        <v>7951352000</v>
      </c>
      <c r="F1666" s="61">
        <v>767608000</v>
      </c>
      <c r="G1666" s="61">
        <v>0</v>
      </c>
      <c r="H1666" s="61">
        <v>1019045000</v>
      </c>
      <c r="I1666" t="s">
        <v>36</v>
      </c>
      <c r="J1666" t="s">
        <v>37</v>
      </c>
      <c r="K1666" s="61">
        <f t="shared" ref="K1666:K1711" si="78">D1666-E1666</f>
        <v>3734783000</v>
      </c>
      <c r="L1666" s="61">
        <f t="shared" ref="L1666:L1711" si="79">F1666+G1666+H1666</f>
        <v>1786653000</v>
      </c>
      <c r="M1666" s="61">
        <f t="shared" si="77"/>
        <v>1948130000</v>
      </c>
    </row>
    <row r="1667" spans="1:13" x14ac:dyDescent="0.25">
      <c r="A1667" t="s">
        <v>558</v>
      </c>
      <c r="B1667" t="s">
        <v>11</v>
      </c>
      <c r="C1667">
        <v>42369</v>
      </c>
      <c r="D1667" s="61">
        <v>11024486000</v>
      </c>
      <c r="E1667" s="61">
        <v>7033633000</v>
      </c>
      <c r="F1667" s="61">
        <v>865817000</v>
      </c>
      <c r="G1667" s="61">
        <v>0</v>
      </c>
      <c r="H1667" s="61">
        <v>1124524000</v>
      </c>
      <c r="I1667" t="s">
        <v>36</v>
      </c>
      <c r="J1667" t="s">
        <v>37</v>
      </c>
      <c r="K1667" s="61">
        <f t="shared" si="78"/>
        <v>3990853000</v>
      </c>
      <c r="L1667" s="61">
        <f t="shared" si="79"/>
        <v>1990341000</v>
      </c>
      <c r="M1667" s="61">
        <f t="shared" ref="M1667:M1711" si="80">K1667-L1667</f>
        <v>2000512000</v>
      </c>
    </row>
    <row r="1668" spans="1:13" x14ac:dyDescent="0.25">
      <c r="A1668" t="s">
        <v>559</v>
      </c>
      <c r="B1668" t="s">
        <v>6</v>
      </c>
      <c r="C1668">
        <v>41274</v>
      </c>
      <c r="D1668" s="61">
        <v>7232397000</v>
      </c>
      <c r="E1668" s="61">
        <v>5165169000</v>
      </c>
      <c r="F1668" s="61">
        <v>0</v>
      </c>
      <c r="G1668" s="61">
        <v>0</v>
      </c>
      <c r="H1668" s="61">
        <v>1173955000</v>
      </c>
      <c r="I1668" t="s">
        <v>41</v>
      </c>
      <c r="J1668" t="s">
        <v>44</v>
      </c>
      <c r="K1668" s="61">
        <f t="shared" si="78"/>
        <v>2067228000</v>
      </c>
      <c r="L1668" s="61">
        <f t="shared" si="79"/>
        <v>1173955000</v>
      </c>
      <c r="M1668" s="61">
        <f t="shared" si="80"/>
        <v>893273000</v>
      </c>
    </row>
    <row r="1669" spans="1:13" x14ac:dyDescent="0.25">
      <c r="A1669" t="s">
        <v>559</v>
      </c>
      <c r="B1669" t="s">
        <v>9</v>
      </c>
      <c r="C1669">
        <v>41639</v>
      </c>
      <c r="D1669" s="61">
        <v>7541234000</v>
      </c>
      <c r="E1669" s="61">
        <v>5106489000</v>
      </c>
      <c r="F1669" s="61">
        <v>0</v>
      </c>
      <c r="G1669" s="61">
        <v>0</v>
      </c>
      <c r="H1669" s="61">
        <v>1213178000</v>
      </c>
      <c r="I1669" t="s">
        <v>41</v>
      </c>
      <c r="J1669" t="s">
        <v>44</v>
      </c>
      <c r="K1669" s="61">
        <f t="shared" si="78"/>
        <v>2434745000</v>
      </c>
      <c r="L1669" s="61">
        <f t="shared" si="79"/>
        <v>1213178000</v>
      </c>
      <c r="M1669" s="61">
        <f t="shared" si="80"/>
        <v>1221567000</v>
      </c>
    </row>
    <row r="1670" spans="1:13" x14ac:dyDescent="0.25">
      <c r="A1670" t="s">
        <v>559</v>
      </c>
      <c r="B1670" t="s">
        <v>10</v>
      </c>
      <c r="C1670">
        <v>42004</v>
      </c>
      <c r="D1670" s="61">
        <v>6602267000</v>
      </c>
      <c r="E1670" s="61">
        <v>4239474000</v>
      </c>
      <c r="F1670" s="61">
        <v>0</v>
      </c>
      <c r="G1670" s="61">
        <v>0</v>
      </c>
      <c r="H1670" s="61">
        <v>1341315000</v>
      </c>
      <c r="I1670" t="s">
        <v>41</v>
      </c>
      <c r="J1670" t="s">
        <v>44</v>
      </c>
      <c r="K1670" s="61">
        <f t="shared" si="78"/>
        <v>2362793000</v>
      </c>
      <c r="L1670" s="61">
        <f t="shared" si="79"/>
        <v>1341315000</v>
      </c>
      <c r="M1670" s="61">
        <f t="shared" si="80"/>
        <v>1021478000</v>
      </c>
    </row>
    <row r="1671" spans="1:13" x14ac:dyDescent="0.25">
      <c r="A1671" t="s">
        <v>559</v>
      </c>
      <c r="B1671" t="s">
        <v>11</v>
      </c>
      <c r="C1671">
        <v>42369</v>
      </c>
      <c r="D1671" s="61">
        <v>9308926000</v>
      </c>
      <c r="E1671" s="61">
        <v>6199645000</v>
      </c>
      <c r="F1671" s="61">
        <v>0</v>
      </c>
      <c r="G1671" s="61">
        <v>0</v>
      </c>
      <c r="H1671" s="61">
        <v>1966939000</v>
      </c>
      <c r="I1671" t="s">
        <v>41</v>
      </c>
      <c r="J1671" t="s">
        <v>44</v>
      </c>
      <c r="K1671" s="61">
        <f t="shared" si="78"/>
        <v>3109281000</v>
      </c>
      <c r="L1671" s="61">
        <f t="shared" si="79"/>
        <v>1966939000</v>
      </c>
      <c r="M1671" s="61">
        <f t="shared" si="80"/>
        <v>1142342000</v>
      </c>
    </row>
    <row r="1672" spans="1:13" x14ac:dyDescent="0.25">
      <c r="A1672" t="s">
        <v>560</v>
      </c>
      <c r="B1672" t="s">
        <v>6</v>
      </c>
      <c r="C1672">
        <v>41363</v>
      </c>
      <c r="D1672" s="61">
        <v>2168652000</v>
      </c>
      <c r="E1672" s="61">
        <v>737206000</v>
      </c>
      <c r="F1672" s="61">
        <v>365684000</v>
      </c>
      <c r="G1672" s="61">
        <v>475522000</v>
      </c>
      <c r="H1672" s="61">
        <v>9508000</v>
      </c>
      <c r="I1672" t="s">
        <v>16</v>
      </c>
      <c r="J1672" t="s">
        <v>28</v>
      </c>
      <c r="K1672" s="61">
        <f t="shared" si="78"/>
        <v>1431446000</v>
      </c>
      <c r="L1672" s="61">
        <f t="shared" si="79"/>
        <v>850714000</v>
      </c>
      <c r="M1672" s="61">
        <f t="shared" si="80"/>
        <v>580732000</v>
      </c>
    </row>
    <row r="1673" spans="1:13" x14ac:dyDescent="0.25">
      <c r="A1673" t="s">
        <v>560</v>
      </c>
      <c r="B1673" t="s">
        <v>9</v>
      </c>
      <c r="C1673">
        <v>41727</v>
      </c>
      <c r="D1673" s="61">
        <v>2382531000</v>
      </c>
      <c r="E1673" s="61">
        <v>743253000</v>
      </c>
      <c r="F1673" s="61">
        <v>378607000</v>
      </c>
      <c r="G1673" s="61">
        <v>492447000</v>
      </c>
      <c r="H1673" s="61">
        <v>9887000</v>
      </c>
      <c r="I1673" t="s">
        <v>16</v>
      </c>
      <c r="J1673" t="s">
        <v>28</v>
      </c>
      <c r="K1673" s="61">
        <f t="shared" si="78"/>
        <v>1639278000</v>
      </c>
      <c r="L1673" s="61">
        <f t="shared" si="79"/>
        <v>880941000</v>
      </c>
      <c r="M1673" s="61">
        <f t="shared" si="80"/>
        <v>758337000</v>
      </c>
    </row>
    <row r="1674" spans="1:13" x14ac:dyDescent="0.25">
      <c r="A1674" t="s">
        <v>560</v>
      </c>
      <c r="B1674" t="s">
        <v>10</v>
      </c>
      <c r="C1674">
        <v>42091</v>
      </c>
      <c r="D1674" s="61">
        <v>2377344000</v>
      </c>
      <c r="E1674" s="61">
        <v>708823000</v>
      </c>
      <c r="F1674" s="61">
        <v>353670000</v>
      </c>
      <c r="G1674" s="61">
        <v>525745000</v>
      </c>
      <c r="H1674" s="61">
        <v>9537000</v>
      </c>
      <c r="I1674" t="s">
        <v>16</v>
      </c>
      <c r="J1674" t="s">
        <v>28</v>
      </c>
      <c r="K1674" s="61">
        <f t="shared" si="78"/>
        <v>1668521000</v>
      </c>
      <c r="L1674" s="61">
        <f t="shared" si="79"/>
        <v>888952000</v>
      </c>
      <c r="M1674" s="61">
        <f t="shared" si="80"/>
        <v>779569000</v>
      </c>
    </row>
    <row r="1675" spans="1:13" x14ac:dyDescent="0.25">
      <c r="A1675" t="s">
        <v>560</v>
      </c>
      <c r="B1675" t="s">
        <v>11</v>
      </c>
      <c r="C1675">
        <v>42462</v>
      </c>
      <c r="D1675" s="61">
        <v>2213881000</v>
      </c>
      <c r="E1675" s="61">
        <v>671907000</v>
      </c>
      <c r="F1675" s="61">
        <v>331652000</v>
      </c>
      <c r="G1675" s="61">
        <v>533891000</v>
      </c>
      <c r="H1675" s="61">
        <v>6550000</v>
      </c>
      <c r="I1675" t="s">
        <v>16</v>
      </c>
      <c r="J1675" t="s">
        <v>28</v>
      </c>
      <c r="K1675" s="61">
        <f t="shared" si="78"/>
        <v>1541974000</v>
      </c>
      <c r="L1675" s="61">
        <f t="shared" si="79"/>
        <v>872093000</v>
      </c>
      <c r="M1675" s="61">
        <f t="shared" si="80"/>
        <v>669881000</v>
      </c>
    </row>
    <row r="1676" spans="1:13" x14ac:dyDescent="0.25">
      <c r="A1676" t="s">
        <v>561</v>
      </c>
      <c r="B1676" t="s">
        <v>6</v>
      </c>
      <c r="C1676">
        <v>41274</v>
      </c>
      <c r="D1676" s="61">
        <v>451509000000</v>
      </c>
      <c r="E1676" s="61">
        <v>302056000000</v>
      </c>
      <c r="F1676" s="61">
        <v>81844000000</v>
      </c>
      <c r="G1676" s="61">
        <v>0</v>
      </c>
      <c r="H1676" s="61">
        <v>15888000000</v>
      </c>
      <c r="I1676" t="s">
        <v>77</v>
      </c>
      <c r="J1676" t="s">
        <v>138</v>
      </c>
      <c r="K1676" s="61">
        <f t="shared" si="78"/>
        <v>149453000000</v>
      </c>
      <c r="L1676" s="61">
        <f t="shared" si="79"/>
        <v>97732000000</v>
      </c>
      <c r="M1676" s="61">
        <f t="shared" si="80"/>
        <v>51721000000</v>
      </c>
    </row>
    <row r="1677" spans="1:13" x14ac:dyDescent="0.25">
      <c r="A1677" t="s">
        <v>561</v>
      </c>
      <c r="B1677" t="s">
        <v>9</v>
      </c>
      <c r="C1677">
        <v>41639</v>
      </c>
      <c r="D1677" s="61">
        <v>420836000000</v>
      </c>
      <c r="E1677" s="61">
        <v>284681000000</v>
      </c>
      <c r="F1677" s="61">
        <v>76696000000</v>
      </c>
      <c r="G1677" s="61">
        <v>0</v>
      </c>
      <c r="H1677" s="61">
        <v>17182000000</v>
      </c>
      <c r="I1677" t="s">
        <v>77</v>
      </c>
      <c r="J1677" t="s">
        <v>138</v>
      </c>
      <c r="K1677" s="61">
        <f t="shared" si="78"/>
        <v>136155000000</v>
      </c>
      <c r="L1677" s="61">
        <f t="shared" si="79"/>
        <v>93878000000</v>
      </c>
      <c r="M1677" s="61">
        <f t="shared" si="80"/>
        <v>42277000000</v>
      </c>
    </row>
    <row r="1678" spans="1:13" x14ac:dyDescent="0.25">
      <c r="A1678" t="s">
        <v>561</v>
      </c>
      <c r="B1678" t="s">
        <v>10</v>
      </c>
      <c r="C1678">
        <v>42004</v>
      </c>
      <c r="D1678" s="61">
        <v>394105000000</v>
      </c>
      <c r="E1678" s="61">
        <v>266831000000</v>
      </c>
      <c r="F1678" s="61">
        <v>74226000000</v>
      </c>
      <c r="G1678" s="61">
        <v>0</v>
      </c>
      <c r="H1678" s="61">
        <v>17297000000</v>
      </c>
      <c r="I1678" t="s">
        <v>77</v>
      </c>
      <c r="J1678" t="s">
        <v>138</v>
      </c>
      <c r="K1678" s="61">
        <f t="shared" si="78"/>
        <v>127274000000</v>
      </c>
      <c r="L1678" s="61">
        <f t="shared" si="79"/>
        <v>91523000000</v>
      </c>
      <c r="M1678" s="61">
        <f t="shared" si="80"/>
        <v>35751000000</v>
      </c>
    </row>
    <row r="1679" spans="1:13" x14ac:dyDescent="0.25">
      <c r="A1679" t="s">
        <v>561</v>
      </c>
      <c r="B1679" t="s">
        <v>11</v>
      </c>
      <c r="C1679">
        <v>42369</v>
      </c>
      <c r="D1679" s="61">
        <v>259488000000</v>
      </c>
      <c r="E1679" s="61">
        <v>165590000000</v>
      </c>
      <c r="F1679" s="61">
        <v>61444000000</v>
      </c>
      <c r="G1679" s="61">
        <v>0</v>
      </c>
      <c r="H1679" s="61">
        <v>18048000000</v>
      </c>
      <c r="I1679" t="s">
        <v>77</v>
      </c>
      <c r="J1679" t="s">
        <v>138</v>
      </c>
      <c r="K1679" s="61">
        <f t="shared" si="78"/>
        <v>93898000000</v>
      </c>
      <c r="L1679" s="61">
        <f t="shared" si="79"/>
        <v>79492000000</v>
      </c>
      <c r="M1679" s="61">
        <f t="shared" si="80"/>
        <v>14406000000</v>
      </c>
    </row>
    <row r="1680" spans="1:13" x14ac:dyDescent="0.25">
      <c r="A1680" t="s">
        <v>562</v>
      </c>
      <c r="B1680" t="s">
        <v>6</v>
      </c>
      <c r="C1680">
        <v>41274</v>
      </c>
      <c r="D1680" s="61">
        <v>2928429000</v>
      </c>
      <c r="E1680" s="61">
        <v>1372042000</v>
      </c>
      <c r="F1680" s="61">
        <v>1148731000</v>
      </c>
      <c r="G1680" s="61">
        <v>0</v>
      </c>
      <c r="H1680" s="61">
        <v>0</v>
      </c>
      <c r="I1680" t="s">
        <v>19</v>
      </c>
      <c r="J1680" t="s">
        <v>160</v>
      </c>
      <c r="K1680" s="61">
        <f t="shared" si="78"/>
        <v>1556387000</v>
      </c>
      <c r="L1680" s="61">
        <f t="shared" si="79"/>
        <v>1148731000</v>
      </c>
      <c r="M1680" s="61">
        <f t="shared" si="80"/>
        <v>407656000</v>
      </c>
    </row>
    <row r="1681" spans="1:13" x14ac:dyDescent="0.25">
      <c r="A1681" t="s">
        <v>562</v>
      </c>
      <c r="B1681" t="s">
        <v>9</v>
      </c>
      <c r="C1681">
        <v>41639</v>
      </c>
      <c r="D1681" s="61">
        <v>2950800000</v>
      </c>
      <c r="E1681" s="61">
        <v>1373400000</v>
      </c>
      <c r="F1681" s="61">
        <v>1144800000</v>
      </c>
      <c r="G1681" s="61">
        <v>0</v>
      </c>
      <c r="H1681" s="61">
        <v>0</v>
      </c>
      <c r="I1681" t="s">
        <v>19</v>
      </c>
      <c r="J1681" t="s">
        <v>160</v>
      </c>
      <c r="K1681" s="61">
        <f t="shared" si="78"/>
        <v>1577400000</v>
      </c>
      <c r="L1681" s="61">
        <f t="shared" si="79"/>
        <v>1144800000</v>
      </c>
      <c r="M1681" s="61">
        <f t="shared" si="80"/>
        <v>432600000</v>
      </c>
    </row>
    <row r="1682" spans="1:13" x14ac:dyDescent="0.25">
      <c r="A1682" t="s">
        <v>562</v>
      </c>
      <c r="B1682" t="s">
        <v>10</v>
      </c>
      <c r="C1682">
        <v>42004</v>
      </c>
      <c r="D1682" s="61">
        <v>2922600000</v>
      </c>
      <c r="E1682" s="61">
        <v>1322800000</v>
      </c>
      <c r="F1682" s="61">
        <v>1143100000</v>
      </c>
      <c r="G1682" s="61">
        <v>0</v>
      </c>
      <c r="H1682" s="61">
        <v>0</v>
      </c>
      <c r="I1682" t="s">
        <v>19</v>
      </c>
      <c r="J1682" t="s">
        <v>160</v>
      </c>
      <c r="K1682" s="61">
        <f t="shared" si="78"/>
        <v>1599800000</v>
      </c>
      <c r="L1682" s="61">
        <f t="shared" si="79"/>
        <v>1143100000</v>
      </c>
      <c r="M1682" s="61">
        <f t="shared" si="80"/>
        <v>456700000</v>
      </c>
    </row>
    <row r="1683" spans="1:13" x14ac:dyDescent="0.25">
      <c r="A1683" t="s">
        <v>562</v>
      </c>
      <c r="B1683" t="s">
        <v>11</v>
      </c>
      <c r="C1683">
        <v>42369</v>
      </c>
      <c r="D1683" s="61">
        <v>2674300000</v>
      </c>
      <c r="E1683" s="61">
        <v>1157100000</v>
      </c>
      <c r="F1683" s="61">
        <v>1077300000</v>
      </c>
      <c r="G1683" s="61">
        <v>0</v>
      </c>
      <c r="H1683" s="61">
        <v>0</v>
      </c>
      <c r="I1683" t="s">
        <v>19</v>
      </c>
      <c r="J1683" t="s">
        <v>160</v>
      </c>
      <c r="K1683" s="61">
        <f t="shared" si="78"/>
        <v>1517200000</v>
      </c>
      <c r="L1683" s="61">
        <f t="shared" si="79"/>
        <v>1077300000</v>
      </c>
      <c r="M1683" s="61">
        <f t="shared" si="80"/>
        <v>439900000</v>
      </c>
    </row>
    <row r="1684" spans="1:13" x14ac:dyDescent="0.25">
      <c r="A1684" t="s">
        <v>563</v>
      </c>
      <c r="B1684" t="s">
        <v>6</v>
      </c>
      <c r="C1684">
        <v>41274</v>
      </c>
      <c r="D1684" s="61">
        <v>20421000000</v>
      </c>
      <c r="E1684" s="61">
        <v>13634000000</v>
      </c>
      <c r="F1684" s="61">
        <v>4398000000</v>
      </c>
      <c r="G1684" s="61">
        <v>655000000</v>
      </c>
      <c r="H1684" s="61">
        <v>301000000</v>
      </c>
      <c r="I1684" t="s">
        <v>16</v>
      </c>
      <c r="J1684" t="s">
        <v>170</v>
      </c>
      <c r="K1684" s="61">
        <f t="shared" si="78"/>
        <v>6787000000</v>
      </c>
      <c r="L1684" s="61">
        <f t="shared" si="79"/>
        <v>5354000000</v>
      </c>
      <c r="M1684" s="61">
        <f t="shared" si="80"/>
        <v>1433000000</v>
      </c>
    </row>
    <row r="1685" spans="1:13" x14ac:dyDescent="0.25">
      <c r="A1685" t="s">
        <v>563</v>
      </c>
      <c r="B1685" t="s">
        <v>9</v>
      </c>
      <c r="C1685">
        <v>41639</v>
      </c>
      <c r="D1685" s="61">
        <v>20006000000</v>
      </c>
      <c r="E1685" s="61">
        <v>13521000000</v>
      </c>
      <c r="F1685" s="61">
        <v>4219000000</v>
      </c>
      <c r="G1685" s="61">
        <v>603000000</v>
      </c>
      <c r="H1685" s="61">
        <v>305000000</v>
      </c>
      <c r="I1685" t="s">
        <v>16</v>
      </c>
      <c r="J1685" t="s">
        <v>170</v>
      </c>
      <c r="K1685" s="61">
        <f t="shared" si="78"/>
        <v>6485000000</v>
      </c>
      <c r="L1685" s="61">
        <f t="shared" si="79"/>
        <v>5127000000</v>
      </c>
      <c r="M1685" s="61">
        <f t="shared" si="80"/>
        <v>1358000000</v>
      </c>
    </row>
    <row r="1686" spans="1:13" x14ac:dyDescent="0.25">
      <c r="A1686" t="s">
        <v>563</v>
      </c>
      <c r="B1686" t="s">
        <v>10</v>
      </c>
      <c r="C1686">
        <v>42004</v>
      </c>
      <c r="D1686" s="61">
        <v>19540000000</v>
      </c>
      <c r="E1686" s="61">
        <v>13294000000</v>
      </c>
      <c r="F1686" s="61">
        <v>4020000000</v>
      </c>
      <c r="G1686" s="61">
        <v>577000000</v>
      </c>
      <c r="H1686" s="61">
        <v>315000000</v>
      </c>
      <c r="I1686" t="s">
        <v>16</v>
      </c>
      <c r="J1686" t="s">
        <v>170</v>
      </c>
      <c r="K1686" s="61">
        <f t="shared" si="78"/>
        <v>6246000000</v>
      </c>
      <c r="L1686" s="61">
        <f t="shared" si="79"/>
        <v>4912000000</v>
      </c>
      <c r="M1686" s="61">
        <f t="shared" si="80"/>
        <v>1334000000</v>
      </c>
    </row>
    <row r="1687" spans="1:13" x14ac:dyDescent="0.25">
      <c r="A1687" t="s">
        <v>563</v>
      </c>
      <c r="B1687" t="s">
        <v>11</v>
      </c>
      <c r="C1687">
        <v>42369</v>
      </c>
      <c r="D1687" s="61">
        <v>18045000000</v>
      </c>
      <c r="E1687" s="61">
        <v>12782000000</v>
      </c>
      <c r="F1687" s="61">
        <v>3792000000</v>
      </c>
      <c r="G1687" s="61">
        <v>563000000</v>
      </c>
      <c r="H1687" s="61">
        <v>310000000</v>
      </c>
      <c r="I1687" t="s">
        <v>16</v>
      </c>
      <c r="J1687" t="s">
        <v>170</v>
      </c>
      <c r="K1687" s="61">
        <f t="shared" si="78"/>
        <v>5263000000</v>
      </c>
      <c r="L1687" s="61">
        <f t="shared" si="79"/>
        <v>4665000000</v>
      </c>
      <c r="M1687" s="61">
        <f t="shared" si="80"/>
        <v>598000000</v>
      </c>
    </row>
    <row r="1688" spans="1:13" x14ac:dyDescent="0.25">
      <c r="A1688" t="s">
        <v>564</v>
      </c>
      <c r="B1688" t="s">
        <v>6</v>
      </c>
      <c r="C1688">
        <v>41274</v>
      </c>
      <c r="D1688" s="61">
        <v>3791000000</v>
      </c>
      <c r="E1688" s="61">
        <v>2289000000</v>
      </c>
      <c r="F1688" s="61">
        <v>936000000</v>
      </c>
      <c r="G1688" s="61">
        <v>106000000</v>
      </c>
      <c r="H1688" s="61">
        <v>0</v>
      </c>
      <c r="I1688" t="s">
        <v>7</v>
      </c>
      <c r="J1688" t="s">
        <v>158</v>
      </c>
      <c r="K1688" s="61">
        <f t="shared" si="78"/>
        <v>1502000000</v>
      </c>
      <c r="L1688" s="61">
        <f t="shared" si="79"/>
        <v>1042000000</v>
      </c>
      <c r="M1688" s="61">
        <f t="shared" si="80"/>
        <v>460000000</v>
      </c>
    </row>
    <row r="1689" spans="1:13" x14ac:dyDescent="0.25">
      <c r="A1689" t="s">
        <v>564</v>
      </c>
      <c r="B1689" t="s">
        <v>9</v>
      </c>
      <c r="C1689">
        <v>41639</v>
      </c>
      <c r="D1689" s="61">
        <v>3837000000</v>
      </c>
      <c r="E1689" s="61">
        <v>2338000000</v>
      </c>
      <c r="F1689" s="61">
        <v>990000000</v>
      </c>
      <c r="G1689" s="61">
        <v>104000000</v>
      </c>
      <c r="H1689" s="61">
        <v>0</v>
      </c>
      <c r="I1689" t="s">
        <v>7</v>
      </c>
      <c r="J1689" t="s">
        <v>158</v>
      </c>
      <c r="K1689" s="61">
        <f t="shared" si="78"/>
        <v>1499000000</v>
      </c>
      <c r="L1689" s="61">
        <f t="shared" si="79"/>
        <v>1094000000</v>
      </c>
      <c r="M1689" s="61">
        <f t="shared" si="80"/>
        <v>405000000</v>
      </c>
    </row>
    <row r="1690" spans="1:13" x14ac:dyDescent="0.25">
      <c r="A1690" t="s">
        <v>564</v>
      </c>
      <c r="B1690" t="s">
        <v>10</v>
      </c>
      <c r="C1690">
        <v>42004</v>
      </c>
      <c r="D1690" s="61">
        <v>3916000000</v>
      </c>
      <c r="E1690" s="61">
        <v>2403000000</v>
      </c>
      <c r="F1690" s="61">
        <v>920000000</v>
      </c>
      <c r="G1690" s="61">
        <v>104000000</v>
      </c>
      <c r="H1690" s="61">
        <v>0</v>
      </c>
      <c r="I1690" t="s">
        <v>7</v>
      </c>
      <c r="J1690" t="s">
        <v>158</v>
      </c>
      <c r="K1690" s="61">
        <f t="shared" si="78"/>
        <v>1513000000</v>
      </c>
      <c r="L1690" s="61">
        <f t="shared" si="79"/>
        <v>1024000000</v>
      </c>
      <c r="M1690" s="61">
        <f t="shared" si="80"/>
        <v>489000000</v>
      </c>
    </row>
    <row r="1691" spans="1:13" x14ac:dyDescent="0.25">
      <c r="A1691" t="s">
        <v>564</v>
      </c>
      <c r="B1691" t="s">
        <v>11</v>
      </c>
      <c r="C1691">
        <v>42369</v>
      </c>
      <c r="D1691" s="61">
        <v>3653000000</v>
      </c>
      <c r="E1691" s="61">
        <v>2249000000</v>
      </c>
      <c r="F1691" s="61">
        <v>854000000</v>
      </c>
      <c r="G1691" s="61">
        <v>95000000</v>
      </c>
      <c r="H1691" s="61">
        <v>0</v>
      </c>
      <c r="I1691" t="s">
        <v>7</v>
      </c>
      <c r="J1691" t="s">
        <v>158</v>
      </c>
      <c r="K1691" s="61">
        <f t="shared" si="78"/>
        <v>1404000000</v>
      </c>
      <c r="L1691" s="61">
        <f t="shared" si="79"/>
        <v>949000000</v>
      </c>
      <c r="M1691" s="61">
        <f t="shared" si="80"/>
        <v>455000000</v>
      </c>
    </row>
    <row r="1692" spans="1:13" x14ac:dyDescent="0.25">
      <c r="A1692" t="s">
        <v>565</v>
      </c>
      <c r="B1692" t="s">
        <v>6</v>
      </c>
      <c r="C1692">
        <v>41274</v>
      </c>
      <c r="D1692" s="61">
        <v>4986566000</v>
      </c>
      <c r="E1692" s="61">
        <v>1620566000</v>
      </c>
      <c r="F1692" s="61">
        <v>1641819000</v>
      </c>
      <c r="G1692" s="61">
        <v>885824000</v>
      </c>
      <c r="H1692" s="61">
        <v>35819000</v>
      </c>
      <c r="I1692" t="s">
        <v>16</v>
      </c>
      <c r="J1692" t="s">
        <v>51</v>
      </c>
      <c r="K1692" s="61">
        <f t="shared" si="78"/>
        <v>3366000000</v>
      </c>
      <c r="L1692" s="61">
        <f t="shared" si="79"/>
        <v>2563462000</v>
      </c>
      <c r="M1692" s="61">
        <f t="shared" si="80"/>
        <v>802538000</v>
      </c>
    </row>
    <row r="1693" spans="1:13" x14ac:dyDescent="0.25">
      <c r="A1693" t="s">
        <v>565</v>
      </c>
      <c r="B1693" t="s">
        <v>9</v>
      </c>
      <c r="C1693">
        <v>41639</v>
      </c>
      <c r="D1693" s="61">
        <v>4680380000</v>
      </c>
      <c r="E1693" s="61">
        <v>1349380000</v>
      </c>
      <c r="F1693" s="61">
        <v>1751275000</v>
      </c>
      <c r="G1693" s="61">
        <v>957587000</v>
      </c>
      <c r="H1693" s="61">
        <v>44841000</v>
      </c>
      <c r="I1693" t="s">
        <v>16</v>
      </c>
      <c r="J1693" t="s">
        <v>51</v>
      </c>
      <c r="K1693" s="61">
        <f t="shared" si="78"/>
        <v>3331000000</v>
      </c>
      <c r="L1693" s="61">
        <f t="shared" si="79"/>
        <v>2753703000</v>
      </c>
      <c r="M1693" s="61">
        <f t="shared" si="80"/>
        <v>577297000</v>
      </c>
    </row>
    <row r="1694" spans="1:13" x14ac:dyDescent="0.25">
      <c r="A1694" t="s">
        <v>565</v>
      </c>
      <c r="B1694" t="s">
        <v>10</v>
      </c>
      <c r="C1694">
        <v>42004</v>
      </c>
      <c r="D1694" s="61">
        <v>4618133000</v>
      </c>
      <c r="E1694" s="61">
        <v>1387375000</v>
      </c>
      <c r="F1694" s="61">
        <v>1770710000</v>
      </c>
      <c r="G1694" s="61">
        <v>1156386000</v>
      </c>
      <c r="H1694" s="61">
        <v>66750000</v>
      </c>
      <c r="I1694" t="s">
        <v>16</v>
      </c>
      <c r="J1694" t="s">
        <v>51</v>
      </c>
      <c r="K1694" s="61">
        <f t="shared" si="78"/>
        <v>3230758000</v>
      </c>
      <c r="L1694" s="61">
        <f t="shared" si="79"/>
        <v>2993846000</v>
      </c>
      <c r="M1694" s="61">
        <f t="shared" si="80"/>
        <v>236912000</v>
      </c>
    </row>
    <row r="1695" spans="1:13" x14ac:dyDescent="0.25">
      <c r="A1695" t="s">
        <v>565</v>
      </c>
      <c r="B1695" t="s">
        <v>11</v>
      </c>
      <c r="C1695">
        <v>42369</v>
      </c>
      <c r="D1695" s="61">
        <v>4968301000</v>
      </c>
      <c r="E1695" s="61">
        <v>2077748000</v>
      </c>
      <c r="F1695" s="61">
        <v>1768522000</v>
      </c>
      <c r="G1695" s="61">
        <v>1177923000</v>
      </c>
      <c r="H1695" s="61">
        <v>79042000</v>
      </c>
      <c r="I1695" t="s">
        <v>16</v>
      </c>
      <c r="J1695" t="s">
        <v>51</v>
      </c>
      <c r="K1695" s="61">
        <f t="shared" si="78"/>
        <v>2890553000</v>
      </c>
      <c r="L1695" s="61">
        <f t="shared" si="79"/>
        <v>3025487000</v>
      </c>
      <c r="M1695" s="61">
        <f t="shared" si="80"/>
        <v>-134934000</v>
      </c>
    </row>
    <row r="1696" spans="1:13" x14ac:dyDescent="0.25">
      <c r="A1696" t="s">
        <v>566</v>
      </c>
      <c r="B1696" t="s">
        <v>6</v>
      </c>
      <c r="C1696">
        <v>41272</v>
      </c>
      <c r="D1696" s="61">
        <v>13633000000</v>
      </c>
      <c r="E1696" s="61">
        <v>9852000000</v>
      </c>
      <c r="F1696" s="61">
        <v>1450000000</v>
      </c>
      <c r="G1696" s="61">
        <v>0</v>
      </c>
      <c r="H1696" s="61">
        <v>0</v>
      </c>
      <c r="I1696" t="s">
        <v>13</v>
      </c>
      <c r="J1696" t="s">
        <v>149</v>
      </c>
      <c r="K1696" s="61">
        <f t="shared" si="78"/>
        <v>3781000000</v>
      </c>
      <c r="L1696" s="61">
        <f t="shared" si="79"/>
        <v>1450000000</v>
      </c>
      <c r="M1696" s="61">
        <f t="shared" si="80"/>
        <v>2331000000</v>
      </c>
    </row>
    <row r="1697" spans="1:13" x14ac:dyDescent="0.25">
      <c r="A1697" t="s">
        <v>566</v>
      </c>
      <c r="B1697" t="s">
        <v>9</v>
      </c>
      <c r="C1697">
        <v>41636</v>
      </c>
      <c r="D1697" s="61">
        <v>13084000000</v>
      </c>
      <c r="E1697" s="61">
        <v>9501000000</v>
      </c>
      <c r="F1697" s="61">
        <v>1454000000</v>
      </c>
      <c r="G1697" s="61">
        <v>0</v>
      </c>
      <c r="H1697" s="61">
        <v>0</v>
      </c>
      <c r="I1697" t="s">
        <v>13</v>
      </c>
      <c r="J1697" t="s">
        <v>149</v>
      </c>
      <c r="K1697" s="61">
        <f t="shared" si="78"/>
        <v>3583000000</v>
      </c>
      <c r="L1697" s="61">
        <f t="shared" si="79"/>
        <v>1454000000</v>
      </c>
      <c r="M1697" s="61">
        <f t="shared" si="80"/>
        <v>2129000000</v>
      </c>
    </row>
    <row r="1698" spans="1:13" x14ac:dyDescent="0.25">
      <c r="A1698" t="s">
        <v>566</v>
      </c>
      <c r="B1698" t="s">
        <v>10</v>
      </c>
      <c r="C1698">
        <v>42000</v>
      </c>
      <c r="D1698" s="61">
        <v>13279000000</v>
      </c>
      <c r="E1698" s="61">
        <v>9682000000</v>
      </c>
      <c r="F1698" s="61">
        <v>1505000000</v>
      </c>
      <c r="G1698" s="61">
        <v>0</v>
      </c>
      <c r="H1698" s="61">
        <v>0</v>
      </c>
      <c r="I1698" t="s">
        <v>13</v>
      </c>
      <c r="J1698" t="s">
        <v>149</v>
      </c>
      <c r="K1698" s="61">
        <f t="shared" si="78"/>
        <v>3597000000</v>
      </c>
      <c r="L1698" s="61">
        <f t="shared" si="79"/>
        <v>1505000000</v>
      </c>
      <c r="M1698" s="61">
        <f t="shared" si="80"/>
        <v>2092000000</v>
      </c>
    </row>
    <row r="1699" spans="1:13" x14ac:dyDescent="0.25">
      <c r="A1699" t="s">
        <v>566</v>
      </c>
      <c r="B1699" t="s">
        <v>11</v>
      </c>
      <c r="C1699">
        <v>42364</v>
      </c>
      <c r="D1699" s="61">
        <v>13105000000</v>
      </c>
      <c r="E1699" s="61">
        <v>9359000000</v>
      </c>
      <c r="F1699" s="61">
        <v>1746000000</v>
      </c>
      <c r="G1699" s="61">
        <v>0</v>
      </c>
      <c r="H1699" s="61">
        <v>0</v>
      </c>
      <c r="I1699" t="s">
        <v>13</v>
      </c>
      <c r="J1699" t="s">
        <v>149</v>
      </c>
      <c r="K1699" s="61">
        <f t="shared" si="78"/>
        <v>3746000000</v>
      </c>
      <c r="L1699" s="61">
        <f t="shared" si="79"/>
        <v>1746000000</v>
      </c>
      <c r="M1699" s="61">
        <f t="shared" si="80"/>
        <v>2000000000</v>
      </c>
    </row>
    <row r="1700" spans="1:13" x14ac:dyDescent="0.25">
      <c r="A1700" t="s">
        <v>567</v>
      </c>
      <c r="B1700" t="s">
        <v>6</v>
      </c>
      <c r="C1700">
        <v>41274</v>
      </c>
      <c r="D1700" s="61">
        <v>4471700000</v>
      </c>
      <c r="E1700" s="61">
        <v>1125200000</v>
      </c>
      <c r="F1700" s="61">
        <v>1822100000</v>
      </c>
      <c r="G1700" s="61">
        <v>225600000</v>
      </c>
      <c r="H1700" s="61">
        <v>0</v>
      </c>
      <c r="I1700" t="s">
        <v>19</v>
      </c>
      <c r="J1700" t="s">
        <v>24</v>
      </c>
      <c r="K1700" s="61">
        <f t="shared" si="78"/>
        <v>3346500000</v>
      </c>
      <c r="L1700" s="61">
        <f t="shared" si="79"/>
        <v>2047700000</v>
      </c>
      <c r="M1700" s="61">
        <f t="shared" si="80"/>
        <v>1298800000</v>
      </c>
    </row>
    <row r="1701" spans="1:13" x14ac:dyDescent="0.25">
      <c r="A1701" t="s">
        <v>567</v>
      </c>
      <c r="B1701" t="s">
        <v>9</v>
      </c>
      <c r="C1701">
        <v>41639</v>
      </c>
      <c r="D1701" s="61">
        <v>4623400000</v>
      </c>
      <c r="E1701" s="61">
        <v>1266700000</v>
      </c>
      <c r="F1701" s="61">
        <v>1796300000</v>
      </c>
      <c r="G1701" s="61">
        <v>203000000</v>
      </c>
      <c r="H1701" s="61">
        <v>78500000</v>
      </c>
      <c r="I1701" t="s">
        <v>19</v>
      </c>
      <c r="J1701" t="s">
        <v>24</v>
      </c>
      <c r="K1701" s="61">
        <f t="shared" si="78"/>
        <v>3356700000</v>
      </c>
      <c r="L1701" s="61">
        <f t="shared" si="79"/>
        <v>2077800000</v>
      </c>
      <c r="M1701" s="61">
        <f t="shared" si="80"/>
        <v>1278900000</v>
      </c>
    </row>
    <row r="1702" spans="1:13" x14ac:dyDescent="0.25">
      <c r="A1702" t="s">
        <v>567</v>
      </c>
      <c r="B1702" t="s">
        <v>10</v>
      </c>
      <c r="C1702">
        <v>42004</v>
      </c>
      <c r="D1702" s="61">
        <v>4673300000</v>
      </c>
      <c r="E1702" s="61">
        <v>1242800000</v>
      </c>
      <c r="F1702" s="61">
        <v>1772200000</v>
      </c>
      <c r="G1702" s="61">
        <v>187400000</v>
      </c>
      <c r="H1702" s="61">
        <v>92500000</v>
      </c>
      <c r="I1702" t="s">
        <v>19</v>
      </c>
      <c r="J1702" t="s">
        <v>24</v>
      </c>
      <c r="K1702" s="61">
        <f t="shared" si="78"/>
        <v>3430500000</v>
      </c>
      <c r="L1702" s="61">
        <f t="shared" si="79"/>
        <v>2052100000</v>
      </c>
      <c r="M1702" s="61">
        <f t="shared" si="80"/>
        <v>1378400000</v>
      </c>
    </row>
    <row r="1703" spans="1:13" x14ac:dyDescent="0.25">
      <c r="A1703" t="s">
        <v>567</v>
      </c>
      <c r="B1703" t="s">
        <v>11</v>
      </c>
      <c r="C1703">
        <v>42369</v>
      </c>
      <c r="D1703" s="61">
        <v>5997800000</v>
      </c>
      <c r="E1703" s="61">
        <v>1800600000</v>
      </c>
      <c r="F1703" s="61">
        <v>2291900000</v>
      </c>
      <c r="G1703" s="61">
        <v>268800000</v>
      </c>
      <c r="H1703" s="61">
        <v>337400000</v>
      </c>
      <c r="I1703" t="s">
        <v>19</v>
      </c>
      <c r="J1703" t="s">
        <v>24</v>
      </c>
      <c r="K1703" s="61">
        <f t="shared" si="78"/>
        <v>4197200000</v>
      </c>
      <c r="L1703" s="61">
        <f t="shared" si="79"/>
        <v>2898100000</v>
      </c>
      <c r="M1703" s="61">
        <f t="shared" si="80"/>
        <v>1299100000</v>
      </c>
    </row>
    <row r="1704" spans="1:13" x14ac:dyDescent="0.25">
      <c r="A1704" t="s">
        <v>568</v>
      </c>
      <c r="B1704" t="s">
        <v>6</v>
      </c>
      <c r="C1704">
        <v>41274</v>
      </c>
      <c r="D1704" s="61">
        <v>2458592000</v>
      </c>
      <c r="E1704" s="61">
        <v>80146000</v>
      </c>
      <c r="F1704" s="61">
        <v>1579007000</v>
      </c>
      <c r="G1704" s="61">
        <v>0</v>
      </c>
      <c r="H1704" s="61">
        <v>31237000</v>
      </c>
      <c r="I1704" t="s">
        <v>41</v>
      </c>
      <c r="J1704" t="s">
        <v>134</v>
      </c>
      <c r="K1704" s="61">
        <f t="shared" si="78"/>
        <v>2378446000</v>
      </c>
      <c r="L1704" s="61">
        <f t="shared" si="79"/>
        <v>1610244000</v>
      </c>
      <c r="M1704" s="61">
        <f t="shared" si="80"/>
        <v>768202000</v>
      </c>
    </row>
    <row r="1705" spans="1:13" x14ac:dyDescent="0.25">
      <c r="A1705" t="s">
        <v>568</v>
      </c>
      <c r="B1705" t="s">
        <v>9</v>
      </c>
      <c r="C1705">
        <v>41639</v>
      </c>
      <c r="D1705" s="61">
        <v>2278812000</v>
      </c>
      <c r="E1705" s="61">
        <v>58913000</v>
      </c>
      <c r="F1705" s="61">
        <v>1700064000</v>
      </c>
      <c r="G1705" s="61">
        <v>0</v>
      </c>
      <c r="H1705" s="61">
        <v>72761000</v>
      </c>
      <c r="I1705" t="s">
        <v>41</v>
      </c>
      <c r="J1705" t="s">
        <v>134</v>
      </c>
      <c r="K1705" s="61">
        <f t="shared" si="78"/>
        <v>2219899000</v>
      </c>
      <c r="L1705" s="61">
        <f t="shared" si="79"/>
        <v>1772825000</v>
      </c>
      <c r="M1705" s="61">
        <f t="shared" si="80"/>
        <v>447074000</v>
      </c>
    </row>
    <row r="1706" spans="1:13" x14ac:dyDescent="0.25">
      <c r="A1706" t="s">
        <v>568</v>
      </c>
      <c r="B1706" t="s">
        <v>10</v>
      </c>
      <c r="C1706">
        <v>42004</v>
      </c>
      <c r="D1706" s="61">
        <v>2361631000</v>
      </c>
      <c r="E1706" s="61">
        <v>49736000</v>
      </c>
      <c r="F1706" s="61">
        <v>1654369000</v>
      </c>
      <c r="G1706" s="61">
        <v>0</v>
      </c>
      <c r="H1706" s="61">
        <v>87159000</v>
      </c>
      <c r="I1706" t="s">
        <v>41</v>
      </c>
      <c r="J1706" t="s">
        <v>134</v>
      </c>
      <c r="K1706" s="61">
        <f t="shared" si="78"/>
        <v>2311895000</v>
      </c>
      <c r="L1706" s="61">
        <f t="shared" si="79"/>
        <v>1741528000</v>
      </c>
      <c r="M1706" s="61">
        <f t="shared" si="80"/>
        <v>570367000</v>
      </c>
    </row>
    <row r="1707" spans="1:13" x14ac:dyDescent="0.25">
      <c r="A1707" t="s">
        <v>568</v>
      </c>
      <c r="B1707" t="s">
        <v>11</v>
      </c>
      <c r="C1707">
        <v>42369</v>
      </c>
      <c r="D1707" s="61">
        <v>2210591000</v>
      </c>
      <c r="E1707" s="61">
        <v>49344000</v>
      </c>
      <c r="F1707" s="61">
        <v>1591239000</v>
      </c>
      <c r="G1707" s="61">
        <v>0</v>
      </c>
      <c r="H1707" s="61">
        <v>49282000</v>
      </c>
      <c r="I1707" t="s">
        <v>41</v>
      </c>
      <c r="J1707" t="s">
        <v>134</v>
      </c>
      <c r="K1707" s="61">
        <f t="shared" si="78"/>
        <v>2161247000</v>
      </c>
      <c r="L1707" s="61">
        <f t="shared" si="79"/>
        <v>1640521000</v>
      </c>
      <c r="M1707" s="61">
        <f t="shared" si="80"/>
        <v>520726000</v>
      </c>
    </row>
    <row r="1708" spans="1:13" x14ac:dyDescent="0.25">
      <c r="A1708" t="s">
        <v>569</v>
      </c>
      <c r="B1708" t="s">
        <v>6</v>
      </c>
      <c r="C1708">
        <v>41639</v>
      </c>
      <c r="D1708" s="61">
        <v>4561000000</v>
      </c>
      <c r="E1708" s="61">
        <v>1669000000</v>
      </c>
      <c r="F1708" s="61">
        <v>1613000000</v>
      </c>
      <c r="G1708" s="61">
        <v>399000000</v>
      </c>
      <c r="H1708" s="61">
        <v>60000000</v>
      </c>
      <c r="I1708" t="s">
        <v>19</v>
      </c>
      <c r="J1708" t="s">
        <v>20</v>
      </c>
      <c r="K1708" s="61">
        <f t="shared" si="78"/>
        <v>2892000000</v>
      </c>
      <c r="L1708" s="61">
        <f t="shared" si="79"/>
        <v>2072000000</v>
      </c>
      <c r="M1708" s="61">
        <f t="shared" si="80"/>
        <v>820000000</v>
      </c>
    </row>
    <row r="1709" spans="1:13" x14ac:dyDescent="0.25">
      <c r="A1709" t="s">
        <v>569</v>
      </c>
      <c r="B1709" t="s">
        <v>9</v>
      </c>
      <c r="C1709">
        <v>42004</v>
      </c>
      <c r="D1709" s="61">
        <v>4785000000</v>
      </c>
      <c r="E1709" s="61">
        <v>1717000000</v>
      </c>
      <c r="F1709" s="61">
        <v>1643000000</v>
      </c>
      <c r="G1709" s="61">
        <v>396000000</v>
      </c>
      <c r="H1709" s="61">
        <v>60000000</v>
      </c>
      <c r="I1709" t="s">
        <v>19</v>
      </c>
      <c r="J1709" t="s">
        <v>20</v>
      </c>
      <c r="K1709" s="61">
        <f t="shared" si="78"/>
        <v>3068000000</v>
      </c>
      <c r="L1709" s="61">
        <f t="shared" si="79"/>
        <v>2099000000</v>
      </c>
      <c r="M1709" s="61">
        <f t="shared" si="80"/>
        <v>969000000</v>
      </c>
    </row>
    <row r="1710" spans="1:13" x14ac:dyDescent="0.25">
      <c r="A1710" t="s">
        <v>569</v>
      </c>
      <c r="B1710" t="s">
        <v>10</v>
      </c>
      <c r="C1710">
        <v>42369</v>
      </c>
      <c r="D1710" s="61">
        <v>4765000000</v>
      </c>
      <c r="E1710" s="61">
        <v>1738000000</v>
      </c>
      <c r="F1710" s="61">
        <v>1532000000</v>
      </c>
      <c r="G1710" s="61">
        <v>364000000</v>
      </c>
      <c r="H1710" s="61">
        <v>61000000</v>
      </c>
      <c r="I1710" t="s">
        <v>19</v>
      </c>
      <c r="J1710" t="s">
        <v>20</v>
      </c>
      <c r="K1710" s="61">
        <f t="shared" si="78"/>
        <v>3027000000</v>
      </c>
      <c r="L1710" s="61">
        <f t="shared" si="79"/>
        <v>1957000000</v>
      </c>
      <c r="M1710" s="61">
        <f t="shared" si="80"/>
        <v>1070000000</v>
      </c>
    </row>
    <row r="1711" spans="1:13" x14ac:dyDescent="0.25">
      <c r="A1711" t="s">
        <v>569</v>
      </c>
      <c r="B1711" t="s">
        <v>11</v>
      </c>
      <c r="C1711">
        <v>42735</v>
      </c>
      <c r="D1711" s="61">
        <v>4888000000</v>
      </c>
      <c r="E1711" s="61">
        <v>1666000000</v>
      </c>
      <c r="F1711" s="61">
        <v>1364000000</v>
      </c>
      <c r="G1711" s="61">
        <v>376000000</v>
      </c>
      <c r="H1711" s="61">
        <v>85000000</v>
      </c>
      <c r="I1711" t="s">
        <v>19</v>
      </c>
      <c r="J1711" t="s">
        <v>20</v>
      </c>
      <c r="K1711" s="61">
        <f t="shared" si="78"/>
        <v>3222000000</v>
      </c>
      <c r="L1711" s="61">
        <f t="shared" si="79"/>
        <v>1825000000</v>
      </c>
      <c r="M1711" s="61">
        <f t="shared" si="80"/>
        <v>1397000000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013A96-00FB-4BA0-AF73-4301C29CA394}">
  <dimension ref="A1:X91"/>
  <sheetViews>
    <sheetView topLeftCell="A9" zoomScale="70" zoomScaleNormal="70" workbookViewId="0">
      <selection activeCell="B71" sqref="B71:N75"/>
    </sheetView>
  </sheetViews>
  <sheetFormatPr defaultRowHeight="15" x14ac:dyDescent="0.25"/>
  <cols>
    <col min="1" max="1" width="1.85546875" customWidth="1"/>
    <col min="2" max="2" width="11.42578125" customWidth="1"/>
    <col min="3" max="3" width="21.140625" bestFit="1" customWidth="1"/>
    <col min="4" max="4" width="24.85546875" customWidth="1"/>
    <col min="5" max="5" width="25.85546875" bestFit="1" customWidth="1"/>
    <col min="15" max="15" width="22.85546875" customWidth="1"/>
    <col min="16" max="16" width="20.5703125" bestFit="1" customWidth="1"/>
    <col min="17" max="17" width="14.7109375" bestFit="1" customWidth="1"/>
    <col min="18" max="18" width="7.85546875" bestFit="1" customWidth="1"/>
    <col min="20" max="20" width="22.85546875" customWidth="1"/>
    <col min="21" max="21" width="20.5703125" bestFit="1" customWidth="1"/>
    <col min="22" max="22" width="14.7109375" bestFit="1" customWidth="1"/>
    <col min="23" max="23" width="7.85546875" bestFit="1" customWidth="1"/>
  </cols>
  <sheetData>
    <row r="1" spans="1:24" ht="26.25" x14ac:dyDescent="0.4">
      <c r="A1" s="89"/>
      <c r="B1" s="171" t="s">
        <v>666</v>
      </c>
      <c r="C1" s="171"/>
      <c r="D1" s="171"/>
      <c r="E1" s="171"/>
      <c r="F1" s="171"/>
      <c r="G1" s="171"/>
      <c r="H1" s="171"/>
      <c r="I1" s="171"/>
      <c r="J1" s="171"/>
      <c r="K1" s="171"/>
      <c r="L1" s="171"/>
      <c r="M1" s="171"/>
      <c r="N1" s="171"/>
      <c r="O1" s="171"/>
      <c r="P1" s="171"/>
      <c r="Q1" s="171"/>
      <c r="R1" s="171"/>
      <c r="S1" s="171"/>
      <c r="T1" s="171"/>
      <c r="U1" s="171"/>
      <c r="V1" s="171"/>
      <c r="W1" s="171"/>
      <c r="X1" s="71"/>
    </row>
    <row r="2" spans="1:24" x14ac:dyDescent="0.25">
      <c r="A2" s="20"/>
      <c r="C2" s="173" t="s">
        <v>674</v>
      </c>
      <c r="D2" s="173"/>
      <c r="E2" s="173"/>
    </row>
    <row r="3" spans="1:24" x14ac:dyDescent="0.25">
      <c r="A3" s="20"/>
      <c r="C3" s="93"/>
      <c r="D3" s="101" t="s">
        <v>30</v>
      </c>
      <c r="E3" s="101" t="s">
        <v>13</v>
      </c>
      <c r="O3" s="174" t="s">
        <v>30</v>
      </c>
      <c r="P3" s="174"/>
      <c r="Q3" s="174"/>
      <c r="R3" s="174"/>
      <c r="T3" s="174" t="s">
        <v>13</v>
      </c>
      <c r="U3" s="174"/>
      <c r="V3" s="174"/>
      <c r="W3" s="174"/>
    </row>
    <row r="4" spans="1:24" x14ac:dyDescent="0.25">
      <c r="C4" s="29" t="s">
        <v>657</v>
      </c>
      <c r="D4" s="104">
        <f>COUNT('Consumer Staples'!$D$2:$D$34)</f>
        <v>33</v>
      </c>
      <c r="E4" s="104">
        <f>COUNT('Consumer Discretionary'!$D$2:$D$77)</f>
        <v>76</v>
      </c>
      <c r="O4" s="87" t="s">
        <v>662</v>
      </c>
      <c r="P4" s="60" t="s">
        <v>663</v>
      </c>
      <c r="Q4" s="6" t="s">
        <v>661</v>
      </c>
      <c r="R4" s="6" t="s">
        <v>664</v>
      </c>
      <c r="T4" s="87" t="s">
        <v>662</v>
      </c>
      <c r="U4" s="60" t="s">
        <v>663</v>
      </c>
      <c r="V4" s="6" t="s">
        <v>661</v>
      </c>
      <c r="W4" s="6" t="s">
        <v>664</v>
      </c>
    </row>
    <row r="5" spans="1:24" x14ac:dyDescent="0.25">
      <c r="C5" s="18" t="s">
        <v>610</v>
      </c>
      <c r="D5" s="103">
        <f>MIN('Consumer Staples'!$D$2:$D$34)</f>
        <v>99642000</v>
      </c>
      <c r="E5" s="103">
        <f>MIN('Consumer Discretionary'!$D$2:$D$77)</f>
        <v>1492000000</v>
      </c>
      <c r="O5" s="85">
        <v>0</v>
      </c>
      <c r="P5" s="78">
        <f>O6</f>
        <v>50000000000</v>
      </c>
      <c r="Q5" s="110" t="str">
        <f>TEXT(FLOOR(O5,5000000000),"0,,,")&amp;"-"&amp; TEXT(FLOOR(P5,5000000000),"0,,,")&amp;"B"</f>
        <v>0-50B</v>
      </c>
      <c r="R5" s="5">
        <f>COUNTIFS('Consumer Staples'!$D$2:$D$34,"&gt;="&amp;O5, 'Consumer Staples'!$D$2:$D$34,"&lt;="&amp;P5)</f>
        <v>25</v>
      </c>
      <c r="T5" s="85">
        <v>0</v>
      </c>
      <c r="U5" s="78">
        <f>T6</f>
        <v>50000000000</v>
      </c>
      <c r="V5" s="110" t="str">
        <f>TEXT(FLOOR(T5,5000000000),"0,,,")&amp; "-"&amp; TEXT(FLOOR(U5,5000000000),"0,,,")&amp;"B"</f>
        <v>0-50B</v>
      </c>
      <c r="W5" s="5">
        <f>COUNTIFS('Consumer Discretionary'!$D$2:$D$77,"&gt;="&amp;T5, 'Consumer Discretionary'!$D$2:$D$77,"&lt;="&amp;U5)</f>
        <v>69</v>
      </c>
    </row>
    <row r="6" spans="1:24" x14ac:dyDescent="0.25">
      <c r="C6" s="18" t="s">
        <v>614</v>
      </c>
      <c r="D6" s="103">
        <f>_xlfn.PERCENTILE.EXC('Consumer Staples'!$D$2:$D$34, 0.25)</f>
        <v>6100500000</v>
      </c>
      <c r="E6" s="103">
        <f>_xlfn.PERCENTILE.EXC('Consumer Discretionary'!$D$2:$D$77, 0.25)</f>
        <v>6077776000</v>
      </c>
      <c r="O6" s="85">
        <f>O5+50000000000</f>
        <v>50000000000</v>
      </c>
      <c r="P6" s="78">
        <f t="shared" ref="P6:P13" si="0">O7</f>
        <v>100000000000</v>
      </c>
      <c r="Q6" s="110" t="str">
        <f t="shared" ref="Q6:Q14" si="1">TEXT(FLOOR(O6,5000000000),"0,,,")&amp;"-"&amp; TEXT(FLOOR(P6,5000000000),"0,,,")&amp;"B"</f>
        <v>50-100B</v>
      </c>
      <c r="R6" s="5">
        <f>COUNTIFS('Consumer Staples'!$D$2:$D$34,"&gt;="&amp;O6, 'Consumer Staples'!$D$2:$D$34,"&lt;="&amp;P6)</f>
        <v>4</v>
      </c>
      <c r="T6" s="85">
        <f>T5+50000000000</f>
        <v>50000000000</v>
      </c>
      <c r="U6" s="78">
        <f t="shared" ref="U6:U13" si="2">T7</f>
        <v>100000000000</v>
      </c>
      <c r="V6" s="110" t="str">
        <f t="shared" ref="V6:V14" si="3">TEXT(FLOOR(T6,5000000000),"0,,,")&amp; "-"&amp; TEXT(FLOOR(U6,5000000000),"0,,,")&amp;"B"</f>
        <v>50-100B</v>
      </c>
      <c r="W6" s="5">
        <f>COUNTIFS('Consumer Discretionary'!$D$2:$D$77,"&gt;="&amp;T6, 'Consumer Discretionary'!$D$2:$D$77,"&lt;="&amp;U6)</f>
        <v>4</v>
      </c>
    </row>
    <row r="7" spans="1:24" x14ac:dyDescent="0.25">
      <c r="C7" s="18" t="s">
        <v>607</v>
      </c>
      <c r="D7" s="103">
        <f>MEDIAN('Consumer Staples'!$D$2:$D$34)</f>
        <v>13525000000</v>
      </c>
      <c r="E7" s="103">
        <f>MEDIAN('Consumer Discretionary'!$D$2:$D$77)</f>
        <v>10186347000</v>
      </c>
      <c r="O7" s="85">
        <f t="shared" ref="O7:O14" si="4">O6+50000000000</f>
        <v>100000000000</v>
      </c>
      <c r="P7" s="78">
        <f t="shared" si="0"/>
        <v>150000000000</v>
      </c>
      <c r="Q7" s="110" t="str">
        <f t="shared" si="1"/>
        <v>100-150B</v>
      </c>
      <c r="R7" s="5">
        <f>COUNTIFS('Consumer Staples'!$D$2:$D$34,"&gt;="&amp;O7, 'Consumer Staples'!$D$2:$D$34,"&lt;="&amp;P7)</f>
        <v>2</v>
      </c>
      <c r="T7" s="85">
        <f t="shared" ref="T7:T14" si="5">T6+50000000000</f>
        <v>100000000000</v>
      </c>
      <c r="U7" s="78">
        <f t="shared" si="2"/>
        <v>150000000000</v>
      </c>
      <c r="V7" s="110" t="str">
        <f t="shared" si="3"/>
        <v>100-150B</v>
      </c>
      <c r="W7" s="5">
        <f>COUNTIFS('Consumer Discretionary'!$D$2:$D$77,"&gt;="&amp;T7, 'Consumer Discretionary'!$D$2:$D$77,"&lt;="&amp;U7)</f>
        <v>1</v>
      </c>
    </row>
    <row r="8" spans="1:24" x14ac:dyDescent="0.25">
      <c r="C8" s="18" t="s">
        <v>608</v>
      </c>
      <c r="D8" s="103">
        <f>_xlfn.PERCENTILE.EXC('Consumer Staples'!$D$2:$D$34, 0.75)</f>
        <v>47330459500</v>
      </c>
      <c r="E8" s="103">
        <f>_xlfn.PERCENTILE.EXC('Consumer Staples'!$D$2:$D$34, 0.75)</f>
        <v>47330459500</v>
      </c>
      <c r="O8" s="85">
        <f t="shared" si="4"/>
        <v>150000000000</v>
      </c>
      <c r="P8" s="78">
        <f t="shared" si="0"/>
        <v>200000000000</v>
      </c>
      <c r="Q8" s="110" t="str">
        <f t="shared" si="1"/>
        <v>150-200B</v>
      </c>
      <c r="R8" s="5">
        <f>COUNTIFS('Consumer Staples'!$D$2:$D$34,"&gt;="&amp;O8, 'Consumer Staples'!$D$2:$D$34,"&lt;="&amp;P8)</f>
        <v>1</v>
      </c>
      <c r="T8" s="85">
        <f t="shared" si="5"/>
        <v>150000000000</v>
      </c>
      <c r="U8" s="78">
        <f t="shared" si="2"/>
        <v>200000000000</v>
      </c>
      <c r="V8" s="110" t="str">
        <f t="shared" si="3"/>
        <v>150-200B</v>
      </c>
      <c r="W8" s="5">
        <f>COUNTIFS('Consumer Discretionary'!$D$2:$D$77,"&gt;="&amp;T8, 'Consumer Discretionary'!$D$2:$D$77,"&lt;="&amp;U8)</f>
        <v>2</v>
      </c>
    </row>
    <row r="9" spans="1:24" x14ac:dyDescent="0.25">
      <c r="C9" s="107" t="s">
        <v>609</v>
      </c>
      <c r="D9" s="103">
        <f>MAX('Consumer Staples'!$D$2:$D$34)</f>
        <v>482130000000</v>
      </c>
      <c r="E9" s="103">
        <f>MAX('Consumer Discretionary'!$D$2:$D$77)</f>
        <v>166380000000</v>
      </c>
      <c r="O9" s="85">
        <f t="shared" si="4"/>
        <v>200000000000</v>
      </c>
      <c r="P9" s="78">
        <f t="shared" si="0"/>
        <v>250000000000</v>
      </c>
      <c r="Q9" s="110" t="str">
        <f t="shared" si="1"/>
        <v>200-250B</v>
      </c>
      <c r="R9" s="5">
        <f>COUNTIFS('Consumer Staples'!$D$2:$D$34,"&gt;="&amp;O9, 'Consumer Staples'!$D$2:$D$34,"&lt;="&amp;P9)</f>
        <v>0</v>
      </c>
      <c r="T9" s="85">
        <f t="shared" si="5"/>
        <v>200000000000</v>
      </c>
      <c r="U9" s="78">
        <f t="shared" si="2"/>
        <v>250000000000</v>
      </c>
      <c r="V9" s="110" t="str">
        <f t="shared" si="3"/>
        <v>200-250B</v>
      </c>
      <c r="W9" s="5">
        <f>COUNTIFS('Consumer Discretionary'!$D$2:$D$77,"&gt;="&amp;T9, 'Consumer Discretionary'!$D$2:$D$77,"&lt;="&amp;U9)</f>
        <v>0</v>
      </c>
    </row>
    <row r="10" spans="1:24" x14ac:dyDescent="0.25">
      <c r="C10" s="18"/>
      <c r="D10" s="108"/>
      <c r="E10" s="108"/>
      <c r="O10" s="85">
        <f t="shared" si="4"/>
        <v>250000000000</v>
      </c>
      <c r="P10" s="78">
        <f t="shared" si="0"/>
        <v>300000000000</v>
      </c>
      <c r="Q10" s="110" t="str">
        <f t="shared" si="1"/>
        <v>250-300B</v>
      </c>
      <c r="R10" s="5">
        <f>COUNTIFS('Consumer Staples'!$D$2:$D$34,"&gt;="&amp;O10, 'Consumer Staples'!$D$2:$D$34,"&lt;="&amp;P10)</f>
        <v>0</v>
      </c>
      <c r="T10" s="85">
        <f t="shared" si="5"/>
        <v>250000000000</v>
      </c>
      <c r="U10" s="78">
        <f t="shared" si="2"/>
        <v>300000000000</v>
      </c>
      <c r="V10" s="110" t="str">
        <f t="shared" si="3"/>
        <v>250-300B</v>
      </c>
      <c r="W10" s="5">
        <f>COUNTIFS('Consumer Discretionary'!$D$2:$D$77,"&gt;="&amp;T10, 'Consumer Discretionary'!$D$2:$D$77,"&lt;="&amp;U10)</f>
        <v>0</v>
      </c>
    </row>
    <row r="11" spans="1:24" x14ac:dyDescent="0.25">
      <c r="C11" s="29" t="s">
        <v>656</v>
      </c>
      <c r="D11" s="103">
        <f>AVERAGE('Consumer Staples'!D2:D34)</f>
        <v>44215178848.484848</v>
      </c>
      <c r="E11" s="103">
        <f>AVERAGE('Consumer Discretionary'!$D$2:$D$77)</f>
        <v>20050682947.36842</v>
      </c>
      <c r="O11" s="85">
        <f t="shared" si="4"/>
        <v>300000000000</v>
      </c>
      <c r="P11" s="78">
        <f t="shared" si="0"/>
        <v>350000000000</v>
      </c>
      <c r="Q11" s="110" t="str">
        <f t="shared" si="1"/>
        <v>300-350B</v>
      </c>
      <c r="R11" s="5">
        <f>COUNTIFS('Consumer Staples'!$D$2:$D$34,"&gt;="&amp;O11, 'Consumer Staples'!$D$2:$D$34,"&lt;="&amp;P11)</f>
        <v>0</v>
      </c>
      <c r="T11" s="85">
        <f t="shared" si="5"/>
        <v>300000000000</v>
      </c>
      <c r="U11" s="78">
        <f t="shared" si="2"/>
        <v>350000000000</v>
      </c>
      <c r="V11" s="110" t="str">
        <f t="shared" si="3"/>
        <v>300-350B</v>
      </c>
      <c r="W11" s="5">
        <f>COUNTIFS('Consumer Discretionary'!$D$2:$D$77,"&gt;="&amp;T11, 'Consumer Discretionary'!$D$2:$D$77,"&lt;="&amp;U11)</f>
        <v>0</v>
      </c>
    </row>
    <row r="12" spans="1:24" x14ac:dyDescent="0.25">
      <c r="C12" s="18" t="s">
        <v>616</v>
      </c>
      <c r="D12" s="112">
        <f>_xlfn.STDEV.P('Consumer Staples'!$D$2:$D$34)</f>
        <v>86896247341.093704</v>
      </c>
      <c r="E12" s="112">
        <f>_xlfn.STDEV.P('Consumer Discretionary'!$D$2:$D$77)</f>
        <v>30773667577.991573</v>
      </c>
      <c r="O12" s="85">
        <f t="shared" si="4"/>
        <v>350000000000</v>
      </c>
      <c r="P12" s="78">
        <f t="shared" si="0"/>
        <v>400000000000</v>
      </c>
      <c r="Q12" s="110" t="str">
        <f t="shared" si="1"/>
        <v>350-400B</v>
      </c>
      <c r="R12" s="5">
        <f>COUNTIFS('Consumer Staples'!$D$2:$D$34,"&gt;="&amp;O12, 'Consumer Staples'!$D$2:$D$34,"&lt;="&amp;P12)</f>
        <v>0</v>
      </c>
      <c r="T12" s="85">
        <f t="shared" si="5"/>
        <v>350000000000</v>
      </c>
      <c r="U12" s="78">
        <f t="shared" si="2"/>
        <v>400000000000</v>
      </c>
      <c r="V12" s="110" t="str">
        <f t="shared" si="3"/>
        <v>350-400B</v>
      </c>
      <c r="W12" s="5">
        <f>COUNTIFS('Consumer Discretionary'!$D$2:$D$77,"&gt;="&amp;T12, 'Consumer Discretionary'!$D$2:$D$77,"&lt;="&amp;U12)</f>
        <v>0</v>
      </c>
    </row>
    <row r="13" spans="1:24" x14ac:dyDescent="0.25">
      <c r="C13" s="18" t="s">
        <v>659</v>
      </c>
      <c r="D13" s="105">
        <f>SKEW('Consumer Staples'!$D$2:$D$34)</f>
        <v>4.1669314945846532</v>
      </c>
      <c r="E13" s="105">
        <f>SKEW('Consumer Discretionary'!$D$2:$D$77)</f>
        <v>3.4321254252718791</v>
      </c>
      <c r="O13" s="85">
        <f t="shared" si="4"/>
        <v>400000000000</v>
      </c>
      <c r="P13" s="78">
        <f t="shared" si="0"/>
        <v>450000000000</v>
      </c>
      <c r="Q13" s="110" t="str">
        <f t="shared" si="1"/>
        <v>400-450B</v>
      </c>
      <c r="R13" s="5">
        <f>COUNTIFS('Consumer Staples'!$D$2:$D$34,"&gt;="&amp;O13, 'Consumer Staples'!$D$2:$D$34,"&lt;="&amp;P13)</f>
        <v>0</v>
      </c>
      <c r="T13" s="85">
        <f t="shared" si="5"/>
        <v>400000000000</v>
      </c>
      <c r="U13" s="78">
        <f t="shared" si="2"/>
        <v>450000000000</v>
      </c>
      <c r="V13" s="110" t="str">
        <f t="shared" si="3"/>
        <v>400-450B</v>
      </c>
      <c r="W13" s="5">
        <f>COUNTIFS('Consumer Discretionary'!$D$2:$D$77,"&gt;="&amp;T13, 'Consumer Discretionary'!$D$2:$D$77,"&lt;="&amp;U13)</f>
        <v>0</v>
      </c>
    </row>
    <row r="14" spans="1:24" x14ac:dyDescent="0.25">
      <c r="C14" s="18" t="s">
        <v>660</v>
      </c>
      <c r="D14" s="106">
        <f>KURT('Consumer Staples'!D2:D34)</f>
        <v>19.814166401606386</v>
      </c>
      <c r="E14" s="106">
        <f>KURT('Consumer Discretionary'!$D$2:$D$77)</f>
        <v>12.193885972610854</v>
      </c>
      <c r="O14" s="86">
        <f t="shared" si="4"/>
        <v>450000000000</v>
      </c>
      <c r="P14" s="79">
        <f>O14+50000000000</f>
        <v>500000000000</v>
      </c>
      <c r="Q14" s="111" t="str">
        <f t="shared" si="1"/>
        <v>450-500B</v>
      </c>
      <c r="R14" s="106">
        <f>COUNTIFS('Consumer Staples'!$D$2:$D$34,"&gt;="&amp;O14, 'Consumer Staples'!$D$2:$D$34,"&lt;="&amp;P14)</f>
        <v>1</v>
      </c>
      <c r="T14" s="86">
        <f t="shared" si="5"/>
        <v>450000000000</v>
      </c>
      <c r="U14" s="79">
        <f>T14+50000000000</f>
        <v>500000000000</v>
      </c>
      <c r="V14" s="111" t="str">
        <f t="shared" si="3"/>
        <v>450-500B</v>
      </c>
      <c r="W14" s="106">
        <f>COUNTIFS('Consumer Discretionary'!$D$2:$D$77,"&gt;="&amp;T14, 'Consumer Discretionary'!$D$2:$D$77,"&lt;="&amp;U14)</f>
        <v>0</v>
      </c>
    </row>
    <row r="50" spans="2:18" ht="15" customHeight="1" x14ac:dyDescent="0.25">
      <c r="C50" s="84"/>
      <c r="D50" s="84"/>
      <c r="E50" s="84"/>
      <c r="F50" s="84"/>
      <c r="G50" s="84"/>
      <c r="H50" s="84"/>
      <c r="I50" s="84"/>
      <c r="J50" s="84"/>
      <c r="K50" s="84"/>
      <c r="L50" s="84"/>
      <c r="M50" s="84"/>
      <c r="N50" s="84"/>
      <c r="O50" s="84"/>
      <c r="P50" s="84"/>
      <c r="Q50" s="84"/>
      <c r="R50" s="84"/>
    </row>
    <row r="51" spans="2:18" ht="18.75" x14ac:dyDescent="0.3">
      <c r="B51" s="172" t="s">
        <v>650</v>
      </c>
      <c r="C51" s="172"/>
      <c r="D51" s="172"/>
      <c r="E51" s="172"/>
      <c r="F51" s="172"/>
      <c r="G51" s="172"/>
      <c r="H51" s="172"/>
      <c r="I51" s="172"/>
      <c r="J51" s="172"/>
      <c r="K51" s="172"/>
      <c r="L51" s="172"/>
      <c r="M51" s="84"/>
      <c r="N51" s="84"/>
      <c r="O51" s="84"/>
      <c r="P51" s="84"/>
      <c r="Q51" s="84"/>
      <c r="R51" s="84"/>
    </row>
    <row r="52" spans="2:18" ht="15" customHeight="1" x14ac:dyDescent="0.25">
      <c r="B52" s="109"/>
      <c r="C52" s="109"/>
      <c r="D52" s="109"/>
      <c r="E52" s="109"/>
      <c r="F52" s="109"/>
      <c r="G52" s="109"/>
      <c r="H52" s="109"/>
      <c r="I52" s="109"/>
      <c r="J52" s="109"/>
      <c r="K52" s="109"/>
      <c r="L52" s="109"/>
      <c r="M52" s="84"/>
      <c r="N52" s="84"/>
      <c r="O52" s="84"/>
      <c r="P52" s="84"/>
      <c r="Q52" s="84"/>
      <c r="R52" s="84"/>
    </row>
    <row r="53" spans="2:18" ht="15" customHeight="1" x14ac:dyDescent="0.25">
      <c r="B53" s="170" t="s">
        <v>667</v>
      </c>
      <c r="C53" s="170"/>
      <c r="D53" s="170"/>
      <c r="E53" s="170"/>
      <c r="F53" s="170"/>
      <c r="G53" s="170"/>
      <c r="H53" s="170"/>
      <c r="I53" s="170"/>
      <c r="J53" s="170"/>
      <c r="K53" s="170"/>
      <c r="L53" s="170"/>
      <c r="M53" s="170"/>
      <c r="N53" s="170"/>
      <c r="O53" s="84"/>
      <c r="P53" s="84"/>
      <c r="Q53" s="84"/>
      <c r="R53" s="84"/>
    </row>
    <row r="54" spans="2:18" ht="15" customHeight="1" x14ac:dyDescent="0.25">
      <c r="B54" s="170"/>
      <c r="C54" s="170"/>
      <c r="D54" s="170"/>
      <c r="E54" s="170"/>
      <c r="F54" s="170"/>
      <c r="G54" s="170"/>
      <c r="H54" s="170"/>
      <c r="I54" s="170"/>
      <c r="J54" s="170"/>
      <c r="K54" s="170"/>
      <c r="L54" s="170"/>
      <c r="M54" s="170"/>
      <c r="N54" s="170"/>
      <c r="O54" s="84"/>
      <c r="P54" s="84"/>
      <c r="Q54" s="84"/>
      <c r="R54" s="84"/>
    </row>
    <row r="55" spans="2:18" ht="15" customHeight="1" x14ac:dyDescent="0.25">
      <c r="B55" s="170"/>
      <c r="C55" s="170"/>
      <c r="D55" s="170"/>
      <c r="E55" s="170"/>
      <c r="F55" s="170"/>
      <c r="G55" s="170"/>
      <c r="H55" s="170"/>
      <c r="I55" s="170"/>
      <c r="J55" s="170"/>
      <c r="K55" s="170"/>
      <c r="L55" s="170"/>
      <c r="M55" s="170"/>
      <c r="N55" s="170"/>
      <c r="O55" s="84"/>
      <c r="P55" s="84"/>
      <c r="Q55" s="84"/>
      <c r="R55" s="84"/>
    </row>
    <row r="56" spans="2:18" ht="15" customHeight="1" x14ac:dyDescent="0.25">
      <c r="B56" s="170"/>
      <c r="C56" s="170"/>
      <c r="D56" s="170"/>
      <c r="E56" s="170"/>
      <c r="F56" s="170"/>
      <c r="G56" s="170"/>
      <c r="H56" s="170"/>
      <c r="I56" s="170"/>
      <c r="J56" s="170"/>
      <c r="K56" s="170"/>
      <c r="L56" s="170"/>
      <c r="M56" s="170"/>
      <c r="N56" s="170"/>
      <c r="O56" s="84"/>
      <c r="P56" s="84"/>
      <c r="Q56" s="84"/>
      <c r="R56" s="84"/>
    </row>
    <row r="57" spans="2:18" ht="15" customHeight="1" x14ac:dyDescent="0.25">
      <c r="B57" s="170"/>
      <c r="C57" s="170"/>
      <c r="D57" s="170"/>
      <c r="E57" s="170"/>
      <c r="F57" s="170"/>
      <c r="G57" s="170"/>
      <c r="H57" s="170"/>
      <c r="I57" s="170"/>
      <c r="J57" s="170"/>
      <c r="K57" s="170"/>
      <c r="L57" s="170"/>
      <c r="M57" s="170"/>
      <c r="N57" s="170"/>
      <c r="O57" s="84"/>
      <c r="P57" s="84"/>
      <c r="Q57" s="84"/>
      <c r="R57" s="84"/>
    </row>
    <row r="58" spans="2:18" ht="15" customHeight="1" x14ac:dyDescent="0.25">
      <c r="C58" s="109"/>
      <c r="D58" s="109"/>
      <c r="E58" s="109"/>
      <c r="F58" s="109"/>
      <c r="G58" s="109"/>
      <c r="H58" s="109"/>
      <c r="I58" s="109"/>
      <c r="J58" s="109"/>
      <c r="K58" s="109"/>
      <c r="L58" s="109"/>
      <c r="M58" s="84"/>
      <c r="N58" s="84"/>
      <c r="O58" s="84"/>
      <c r="P58" s="84"/>
      <c r="Q58" s="84"/>
      <c r="R58" s="84"/>
    </row>
    <row r="59" spans="2:18" ht="15" customHeight="1" x14ac:dyDescent="0.25">
      <c r="B59" s="170" t="s">
        <v>668</v>
      </c>
      <c r="C59" s="170"/>
      <c r="D59" s="170"/>
      <c r="E59" s="170"/>
      <c r="F59" s="170"/>
      <c r="G59" s="170"/>
      <c r="H59" s="170"/>
      <c r="I59" s="170"/>
      <c r="J59" s="170"/>
      <c r="K59" s="170"/>
      <c r="L59" s="170"/>
      <c r="M59" s="170"/>
      <c r="N59" s="170"/>
      <c r="O59" s="84"/>
      <c r="P59" s="84"/>
      <c r="Q59" s="84"/>
      <c r="R59" s="84"/>
    </row>
    <row r="60" spans="2:18" ht="15" customHeight="1" x14ac:dyDescent="0.25">
      <c r="B60" s="170"/>
      <c r="C60" s="170"/>
      <c r="D60" s="170"/>
      <c r="E60" s="170"/>
      <c r="F60" s="170"/>
      <c r="G60" s="170"/>
      <c r="H60" s="170"/>
      <c r="I60" s="170"/>
      <c r="J60" s="170"/>
      <c r="K60" s="170"/>
      <c r="L60" s="170"/>
      <c r="M60" s="170"/>
      <c r="N60" s="170"/>
      <c r="O60" s="84"/>
      <c r="P60" s="84"/>
      <c r="Q60" s="84"/>
      <c r="R60" s="84"/>
    </row>
    <row r="61" spans="2:18" ht="15" customHeight="1" x14ac:dyDescent="0.25">
      <c r="B61" s="170"/>
      <c r="C61" s="170"/>
      <c r="D61" s="170"/>
      <c r="E61" s="170"/>
      <c r="F61" s="170"/>
      <c r="G61" s="170"/>
      <c r="H61" s="170"/>
      <c r="I61" s="170"/>
      <c r="J61" s="170"/>
      <c r="K61" s="170"/>
      <c r="L61" s="170"/>
      <c r="M61" s="170"/>
      <c r="N61" s="170"/>
      <c r="O61" s="84"/>
      <c r="P61" s="84"/>
      <c r="Q61" s="84"/>
      <c r="R61" s="84"/>
    </row>
    <row r="62" spans="2:18" ht="15" customHeight="1" x14ac:dyDescent="0.25">
      <c r="B62" s="170"/>
      <c r="C62" s="170"/>
      <c r="D62" s="170"/>
      <c r="E62" s="170"/>
      <c r="F62" s="170"/>
      <c r="G62" s="170"/>
      <c r="H62" s="170"/>
      <c r="I62" s="170"/>
      <c r="J62" s="170"/>
      <c r="K62" s="170"/>
      <c r="L62" s="170"/>
      <c r="M62" s="170"/>
      <c r="N62" s="170"/>
      <c r="O62" s="84"/>
      <c r="P62" s="84"/>
      <c r="Q62" s="84"/>
      <c r="R62" s="84"/>
    </row>
    <row r="63" spans="2:18" ht="15" customHeight="1" x14ac:dyDescent="0.25">
      <c r="B63" s="170"/>
      <c r="C63" s="170"/>
      <c r="D63" s="170"/>
      <c r="E63" s="170"/>
      <c r="F63" s="170"/>
      <c r="G63" s="170"/>
      <c r="H63" s="170"/>
      <c r="I63" s="170"/>
      <c r="J63" s="170"/>
      <c r="K63" s="170"/>
      <c r="L63" s="170"/>
      <c r="M63" s="170"/>
      <c r="N63" s="170"/>
      <c r="O63" s="84"/>
      <c r="P63" s="84"/>
      <c r="Q63" s="84"/>
      <c r="R63" s="84"/>
    </row>
    <row r="64" spans="2:18" ht="15" customHeight="1" x14ac:dyDescent="0.25">
      <c r="C64" s="109"/>
      <c r="D64" s="109"/>
      <c r="E64" s="109"/>
      <c r="F64" s="109"/>
      <c r="G64" s="109"/>
      <c r="H64" s="109"/>
      <c r="I64" s="109"/>
      <c r="J64" s="109"/>
      <c r="K64" s="109"/>
      <c r="L64" s="109"/>
      <c r="M64" s="84"/>
      <c r="N64" s="84"/>
      <c r="O64" s="84"/>
      <c r="P64" s="84"/>
      <c r="Q64" s="84"/>
      <c r="R64" s="84"/>
    </row>
    <row r="65" spans="2:18" ht="15" customHeight="1" x14ac:dyDescent="0.25">
      <c r="B65" s="170" t="s">
        <v>669</v>
      </c>
      <c r="C65" s="170"/>
      <c r="D65" s="170"/>
      <c r="E65" s="170"/>
      <c r="F65" s="170"/>
      <c r="G65" s="170"/>
      <c r="H65" s="170"/>
      <c r="I65" s="170"/>
      <c r="J65" s="170"/>
      <c r="K65" s="170"/>
      <c r="L65" s="170"/>
      <c r="M65" s="170"/>
      <c r="N65" s="170"/>
      <c r="O65" s="84"/>
      <c r="P65" s="84"/>
      <c r="Q65" s="84"/>
      <c r="R65" s="84"/>
    </row>
    <row r="66" spans="2:18" ht="15" customHeight="1" x14ac:dyDescent="0.25">
      <c r="B66" s="170"/>
      <c r="C66" s="170"/>
      <c r="D66" s="170"/>
      <c r="E66" s="170"/>
      <c r="F66" s="170"/>
      <c r="G66" s="170"/>
      <c r="H66" s="170"/>
      <c r="I66" s="170"/>
      <c r="J66" s="170"/>
      <c r="K66" s="170"/>
      <c r="L66" s="170"/>
      <c r="M66" s="170"/>
      <c r="N66" s="170"/>
      <c r="O66" s="84"/>
      <c r="P66" s="84"/>
      <c r="Q66" s="84"/>
      <c r="R66" s="84"/>
    </row>
    <row r="67" spans="2:18" ht="15" customHeight="1" x14ac:dyDescent="0.25">
      <c r="B67" s="170"/>
      <c r="C67" s="170"/>
      <c r="D67" s="170"/>
      <c r="E67" s="170"/>
      <c r="F67" s="170"/>
      <c r="G67" s="170"/>
      <c r="H67" s="170"/>
      <c r="I67" s="170"/>
      <c r="J67" s="170"/>
      <c r="K67" s="170"/>
      <c r="L67" s="170"/>
      <c r="M67" s="170"/>
      <c r="N67" s="170"/>
      <c r="O67" s="84"/>
      <c r="P67" s="84"/>
      <c r="Q67" s="84"/>
      <c r="R67" s="84"/>
    </row>
    <row r="68" spans="2:18" ht="15" customHeight="1" x14ac:dyDescent="0.25">
      <c r="B68" s="170"/>
      <c r="C68" s="170"/>
      <c r="D68" s="170"/>
      <c r="E68" s="170"/>
      <c r="F68" s="170"/>
      <c r="G68" s="170"/>
      <c r="H68" s="170"/>
      <c r="I68" s="170"/>
      <c r="J68" s="170"/>
      <c r="K68" s="170"/>
      <c r="L68" s="170"/>
      <c r="M68" s="170"/>
      <c r="N68" s="170"/>
      <c r="O68" s="84"/>
      <c r="P68" s="84"/>
      <c r="Q68" s="84"/>
      <c r="R68" s="84"/>
    </row>
    <row r="69" spans="2:18" ht="15" customHeight="1" x14ac:dyDescent="0.25">
      <c r="B69" s="170"/>
      <c r="C69" s="170"/>
      <c r="D69" s="170"/>
      <c r="E69" s="170"/>
      <c r="F69" s="170"/>
      <c r="G69" s="170"/>
      <c r="H69" s="170"/>
      <c r="I69" s="170"/>
      <c r="J69" s="170"/>
      <c r="K69" s="170"/>
      <c r="L69" s="170"/>
      <c r="M69" s="170"/>
      <c r="N69" s="170"/>
      <c r="O69" s="84"/>
      <c r="P69" s="84"/>
      <c r="Q69" s="84"/>
      <c r="R69" s="84"/>
    </row>
    <row r="70" spans="2:18" ht="15" customHeight="1" x14ac:dyDescent="0.25">
      <c r="C70" s="109"/>
      <c r="D70" s="109"/>
      <c r="E70" s="109"/>
      <c r="F70" s="109"/>
      <c r="G70" s="109"/>
      <c r="H70" s="109"/>
      <c r="I70" s="109"/>
      <c r="J70" s="109"/>
      <c r="K70" s="109"/>
      <c r="L70" s="109"/>
      <c r="M70" s="84"/>
      <c r="N70" s="84"/>
      <c r="O70" s="84"/>
      <c r="P70" s="84"/>
      <c r="Q70" s="84"/>
      <c r="R70" s="84"/>
    </row>
    <row r="71" spans="2:18" ht="15" customHeight="1" x14ac:dyDescent="0.25">
      <c r="B71" s="170" t="s">
        <v>670</v>
      </c>
      <c r="C71" s="170"/>
      <c r="D71" s="170"/>
      <c r="E71" s="170"/>
      <c r="F71" s="170"/>
      <c r="G71" s="170"/>
      <c r="H71" s="170"/>
      <c r="I71" s="170"/>
      <c r="J71" s="170"/>
      <c r="K71" s="170"/>
      <c r="L71" s="170"/>
      <c r="M71" s="170"/>
      <c r="N71" s="170"/>
      <c r="O71" s="84"/>
      <c r="P71" s="84"/>
      <c r="Q71" s="84"/>
      <c r="R71" s="84"/>
    </row>
    <row r="72" spans="2:18" ht="15" customHeight="1" x14ac:dyDescent="0.25">
      <c r="B72" s="170"/>
      <c r="C72" s="170"/>
      <c r="D72" s="170"/>
      <c r="E72" s="170"/>
      <c r="F72" s="170"/>
      <c r="G72" s="170"/>
      <c r="H72" s="170"/>
      <c r="I72" s="170"/>
      <c r="J72" s="170"/>
      <c r="K72" s="170"/>
      <c r="L72" s="170"/>
      <c r="M72" s="170"/>
      <c r="N72" s="170"/>
      <c r="O72" s="84"/>
      <c r="P72" s="84"/>
      <c r="Q72" s="84"/>
      <c r="R72" s="84"/>
    </row>
    <row r="73" spans="2:18" ht="15" customHeight="1" x14ac:dyDescent="0.25">
      <c r="B73" s="170"/>
      <c r="C73" s="170"/>
      <c r="D73" s="170"/>
      <c r="E73" s="170"/>
      <c r="F73" s="170"/>
      <c r="G73" s="170"/>
      <c r="H73" s="170"/>
      <c r="I73" s="170"/>
      <c r="J73" s="170"/>
      <c r="K73" s="170"/>
      <c r="L73" s="170"/>
      <c r="M73" s="170"/>
      <c r="N73" s="170"/>
      <c r="O73" s="84"/>
      <c r="P73" s="84"/>
      <c r="Q73" s="84"/>
      <c r="R73" s="84"/>
    </row>
    <row r="74" spans="2:18" ht="15" customHeight="1" x14ac:dyDescent="0.25">
      <c r="B74" s="170"/>
      <c r="C74" s="170"/>
      <c r="D74" s="170"/>
      <c r="E74" s="170"/>
      <c r="F74" s="170"/>
      <c r="G74" s="170"/>
      <c r="H74" s="170"/>
      <c r="I74" s="170"/>
      <c r="J74" s="170"/>
      <c r="K74" s="170"/>
      <c r="L74" s="170"/>
      <c r="M74" s="170"/>
      <c r="N74" s="170"/>
      <c r="O74" s="84"/>
      <c r="P74" s="84"/>
      <c r="Q74" s="84"/>
      <c r="R74" s="84"/>
    </row>
    <row r="75" spans="2:18" ht="15" customHeight="1" x14ac:dyDescent="0.25">
      <c r="B75" s="170"/>
      <c r="C75" s="170"/>
      <c r="D75" s="170"/>
      <c r="E75" s="170"/>
      <c r="F75" s="170"/>
      <c r="G75" s="170"/>
      <c r="H75" s="170"/>
      <c r="I75" s="170"/>
      <c r="J75" s="170"/>
      <c r="K75" s="170"/>
      <c r="L75" s="170"/>
      <c r="M75" s="170"/>
      <c r="N75" s="170"/>
      <c r="O75" s="84"/>
      <c r="P75" s="84"/>
      <c r="Q75" s="84"/>
      <c r="R75" s="84"/>
    </row>
    <row r="76" spans="2:18" ht="15" customHeight="1" x14ac:dyDescent="0.25">
      <c r="B76" s="109"/>
      <c r="C76" s="109"/>
      <c r="D76" s="109"/>
      <c r="E76" s="109"/>
      <c r="F76" s="109"/>
      <c r="G76" s="109"/>
      <c r="H76" s="109"/>
      <c r="I76" s="109"/>
      <c r="J76" s="109"/>
      <c r="K76" s="109"/>
      <c r="L76" s="109"/>
      <c r="M76" s="84"/>
      <c r="N76" s="84"/>
      <c r="O76" s="84"/>
      <c r="P76" s="84"/>
      <c r="Q76" s="84"/>
      <c r="R76" s="84"/>
    </row>
    <row r="77" spans="2:18" ht="15" customHeight="1" x14ac:dyDescent="0.25">
      <c r="B77" s="109"/>
      <c r="C77" s="109"/>
      <c r="D77" s="109"/>
      <c r="E77" s="109"/>
      <c r="F77" s="109"/>
      <c r="G77" s="109"/>
      <c r="H77" s="109"/>
      <c r="I77" s="109"/>
      <c r="J77" s="109"/>
      <c r="K77" s="109"/>
      <c r="L77" s="109"/>
      <c r="M77" s="84"/>
      <c r="N77" s="84"/>
      <c r="O77" s="84"/>
      <c r="P77" s="84"/>
      <c r="Q77" s="84"/>
      <c r="R77" s="84"/>
    </row>
    <row r="78" spans="2:18" ht="15" customHeight="1" x14ac:dyDescent="0.25">
      <c r="B78" s="109"/>
      <c r="C78" s="109"/>
      <c r="D78" s="109"/>
      <c r="E78" s="109"/>
      <c r="F78" s="109"/>
      <c r="G78" s="109"/>
      <c r="H78" s="109"/>
      <c r="I78" s="109"/>
      <c r="J78" s="109"/>
      <c r="K78" s="109"/>
      <c r="L78" s="109"/>
    </row>
    <row r="79" spans="2:18" ht="15" customHeight="1" x14ac:dyDescent="0.25">
      <c r="B79" s="109"/>
      <c r="C79" s="109"/>
      <c r="D79" s="109"/>
      <c r="E79" s="109"/>
      <c r="F79" s="109"/>
      <c r="G79" s="109"/>
      <c r="H79" s="109"/>
      <c r="I79" s="109"/>
      <c r="J79" s="109"/>
      <c r="K79" s="109"/>
      <c r="L79" s="109"/>
    </row>
    <row r="80" spans="2:18" ht="15" customHeight="1" x14ac:dyDescent="0.25">
      <c r="B80" s="109"/>
      <c r="C80" s="109"/>
      <c r="D80" s="109"/>
      <c r="E80" s="109"/>
      <c r="F80" s="109"/>
      <c r="G80" s="109"/>
      <c r="H80" s="109"/>
      <c r="I80" s="109"/>
      <c r="J80" s="109"/>
      <c r="K80" s="109"/>
      <c r="L80" s="109"/>
    </row>
    <row r="81" spans="2:12" ht="15" customHeight="1" x14ac:dyDescent="0.25">
      <c r="B81" s="109"/>
      <c r="C81" s="109"/>
      <c r="D81" s="109"/>
      <c r="E81" s="109"/>
      <c r="F81" s="109"/>
      <c r="G81" s="109"/>
      <c r="H81" s="109"/>
      <c r="I81" s="109"/>
      <c r="J81" s="109"/>
      <c r="K81" s="109"/>
      <c r="L81" s="109"/>
    </row>
    <row r="82" spans="2:12" ht="15" customHeight="1" x14ac:dyDescent="0.25">
      <c r="B82" s="109"/>
      <c r="C82" s="109"/>
      <c r="D82" s="109"/>
      <c r="E82" s="109"/>
      <c r="F82" s="109"/>
      <c r="G82" s="109"/>
      <c r="H82" s="109"/>
      <c r="I82" s="109"/>
      <c r="J82" s="109"/>
      <c r="K82" s="109"/>
      <c r="L82" s="109"/>
    </row>
    <row r="83" spans="2:12" ht="15" customHeight="1" x14ac:dyDescent="0.25">
      <c r="B83" s="109"/>
      <c r="C83" s="109"/>
      <c r="D83" s="109"/>
      <c r="E83" s="109"/>
      <c r="F83" s="109"/>
      <c r="G83" s="109"/>
      <c r="H83" s="109"/>
      <c r="I83" s="109"/>
      <c r="J83" s="109"/>
      <c r="K83" s="109"/>
      <c r="L83" s="109"/>
    </row>
    <row r="84" spans="2:12" ht="15" customHeight="1" x14ac:dyDescent="0.25">
      <c r="B84" s="109"/>
      <c r="C84" s="109"/>
      <c r="D84" s="109"/>
      <c r="E84" s="109"/>
      <c r="F84" s="109"/>
      <c r="G84" s="109"/>
      <c r="H84" s="109"/>
      <c r="I84" s="109"/>
      <c r="J84" s="109"/>
      <c r="K84" s="109"/>
      <c r="L84" s="109"/>
    </row>
    <row r="85" spans="2:12" ht="15" customHeight="1" x14ac:dyDescent="0.25">
      <c r="B85" s="109"/>
      <c r="C85" s="109"/>
      <c r="D85" s="109"/>
      <c r="E85" s="109"/>
      <c r="F85" s="109"/>
      <c r="G85" s="109"/>
      <c r="H85" s="109"/>
      <c r="I85" s="109"/>
      <c r="J85" s="109"/>
      <c r="K85" s="109"/>
      <c r="L85" s="109"/>
    </row>
    <row r="86" spans="2:12" ht="15" customHeight="1" x14ac:dyDescent="0.25">
      <c r="B86" s="109"/>
      <c r="C86" s="109"/>
      <c r="D86" s="109"/>
      <c r="E86" s="109"/>
      <c r="F86" s="109"/>
      <c r="G86" s="109"/>
      <c r="H86" s="109"/>
      <c r="I86" s="109"/>
      <c r="J86" s="109"/>
      <c r="K86" s="109"/>
      <c r="L86" s="109"/>
    </row>
    <row r="87" spans="2:12" ht="15" customHeight="1" x14ac:dyDescent="0.25">
      <c r="B87" s="109"/>
      <c r="C87" s="109"/>
      <c r="D87" s="109"/>
      <c r="E87" s="109"/>
      <c r="F87" s="109"/>
      <c r="G87" s="109"/>
      <c r="H87" s="109"/>
      <c r="I87" s="109"/>
      <c r="J87" s="109"/>
      <c r="K87" s="109"/>
      <c r="L87" s="109"/>
    </row>
    <row r="88" spans="2:12" ht="15" customHeight="1" x14ac:dyDescent="0.25">
      <c r="B88" s="109"/>
      <c r="C88" s="109"/>
      <c r="D88" s="109"/>
      <c r="E88" s="109"/>
      <c r="F88" s="109"/>
      <c r="G88" s="109"/>
      <c r="H88" s="109"/>
      <c r="I88" s="109"/>
      <c r="J88" s="109"/>
      <c r="K88" s="109"/>
      <c r="L88" s="109"/>
    </row>
    <row r="89" spans="2:12" ht="15" customHeight="1" x14ac:dyDescent="0.25">
      <c r="B89" s="109"/>
      <c r="C89" s="109"/>
      <c r="D89" s="109"/>
      <c r="E89" s="109"/>
      <c r="F89" s="109"/>
      <c r="G89" s="109"/>
      <c r="H89" s="109"/>
      <c r="I89" s="109"/>
      <c r="J89" s="109"/>
      <c r="K89" s="109"/>
      <c r="L89" s="109"/>
    </row>
    <row r="90" spans="2:12" ht="15" customHeight="1" x14ac:dyDescent="0.25">
      <c r="B90" s="109"/>
      <c r="C90" s="109"/>
      <c r="D90" s="109"/>
      <c r="E90" s="109"/>
      <c r="F90" s="109"/>
      <c r="G90" s="109"/>
      <c r="H90" s="109"/>
      <c r="I90" s="109"/>
      <c r="J90" s="109"/>
      <c r="K90" s="109"/>
      <c r="L90" s="109"/>
    </row>
    <row r="91" spans="2:12" ht="15" customHeight="1" x14ac:dyDescent="0.25">
      <c r="B91" s="109"/>
      <c r="C91" s="109"/>
      <c r="D91" s="109"/>
      <c r="E91" s="109"/>
      <c r="F91" s="109"/>
      <c r="G91" s="109"/>
      <c r="H91" s="109"/>
      <c r="I91" s="109"/>
      <c r="J91" s="109"/>
      <c r="K91" s="109"/>
      <c r="L91" s="109"/>
    </row>
  </sheetData>
  <mergeCells count="9">
    <mergeCell ref="B59:N63"/>
    <mergeCell ref="B65:N69"/>
    <mergeCell ref="B71:N75"/>
    <mergeCell ref="B1:W1"/>
    <mergeCell ref="B51:L51"/>
    <mergeCell ref="B53:N57"/>
    <mergeCell ref="C2:E2"/>
    <mergeCell ref="O3:R3"/>
    <mergeCell ref="T3:W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7D8F8-632B-4A78-9751-2E882493E3D3}">
  <sheetPr codeName="Sheet6"/>
  <dimension ref="A1:T460"/>
  <sheetViews>
    <sheetView zoomScale="85" zoomScaleNormal="85" workbookViewId="0">
      <selection activeCell="L106" sqref="L106"/>
    </sheetView>
  </sheetViews>
  <sheetFormatPr defaultRowHeight="15" x14ac:dyDescent="0.25"/>
  <cols>
    <col min="1" max="1" width="1.85546875" customWidth="1"/>
    <col min="2" max="3" width="20" bestFit="1" customWidth="1"/>
    <col min="4" max="4" width="11.42578125" bestFit="1" customWidth="1"/>
    <col min="5" max="7" width="17.140625" customWidth="1"/>
    <col min="8" max="8" width="17.42578125" bestFit="1" customWidth="1"/>
    <col min="9" max="9" width="10.85546875" bestFit="1" customWidth="1"/>
    <col min="10" max="10" width="18.42578125" bestFit="1" customWidth="1"/>
    <col min="11" max="11" width="16.28515625" bestFit="1" customWidth="1"/>
    <col min="12" max="12" width="20.28515625" bestFit="1" customWidth="1"/>
    <col min="13" max="13" width="19" bestFit="1" customWidth="1"/>
    <col min="14" max="14" width="10.85546875" bestFit="1" customWidth="1"/>
    <col min="15" max="15" width="18.42578125" bestFit="1" customWidth="1"/>
    <col min="16" max="18" width="20.28515625" bestFit="1" customWidth="1"/>
    <col min="19" max="23" width="18" bestFit="1" customWidth="1"/>
    <col min="24" max="24" width="16.28515625" bestFit="1" customWidth="1"/>
    <col min="25" max="29" width="18" bestFit="1" customWidth="1"/>
    <col min="30" max="31" width="16.28515625" bestFit="1" customWidth="1"/>
    <col min="32" max="32" width="19" bestFit="1" customWidth="1"/>
    <col min="33" max="33" width="15.28515625" bestFit="1" customWidth="1"/>
    <col min="34" max="34" width="18" bestFit="1" customWidth="1"/>
    <col min="35" max="35" width="6.140625" bestFit="1" customWidth="1"/>
    <col min="36" max="36" width="19" bestFit="1" customWidth="1"/>
    <col min="37" max="47" width="18" bestFit="1" customWidth="1"/>
    <col min="48" max="48" width="16.28515625" bestFit="1" customWidth="1"/>
    <col min="49" max="49" width="19" bestFit="1" customWidth="1"/>
    <col min="50" max="50" width="18" bestFit="1" customWidth="1"/>
    <col min="51" max="53" width="16.28515625" bestFit="1" customWidth="1"/>
    <col min="54" max="56" width="18" bestFit="1" customWidth="1"/>
    <col min="57" max="59" width="16.28515625" bestFit="1" customWidth="1"/>
    <col min="60" max="62" width="18" bestFit="1" customWidth="1"/>
    <col min="63" max="64" width="19" bestFit="1" customWidth="1"/>
    <col min="65" max="65" width="18" bestFit="1" customWidth="1"/>
    <col min="66" max="66" width="19" bestFit="1" customWidth="1"/>
    <col min="67" max="70" width="18" bestFit="1" customWidth="1"/>
    <col min="71" max="71" width="6.140625" bestFit="1" customWidth="1"/>
    <col min="72" max="73" width="18" bestFit="1" customWidth="1"/>
    <col min="74" max="74" width="19" bestFit="1" customWidth="1"/>
    <col min="75" max="75" width="18" bestFit="1" customWidth="1"/>
    <col min="76" max="76" width="16.28515625" bestFit="1" customWidth="1"/>
    <col min="77" max="80" width="18" bestFit="1" customWidth="1"/>
    <col min="81" max="81" width="16.28515625" bestFit="1" customWidth="1"/>
    <col min="82" max="82" width="18" bestFit="1" customWidth="1"/>
    <col min="83" max="83" width="6.42578125" bestFit="1" customWidth="1"/>
    <col min="84" max="85" width="19" bestFit="1" customWidth="1"/>
    <col min="86" max="86" width="18" bestFit="1" customWidth="1"/>
    <col min="87" max="87" width="16.28515625" bestFit="1" customWidth="1"/>
    <col min="88" max="88" width="18" bestFit="1" customWidth="1"/>
    <col min="89" max="89" width="19" bestFit="1" customWidth="1"/>
    <col min="90" max="90" width="18" bestFit="1" customWidth="1"/>
    <col min="91" max="91" width="16.28515625" bestFit="1" customWidth="1"/>
    <col min="92" max="93" width="18" bestFit="1" customWidth="1"/>
    <col min="94" max="94" width="16.28515625" bestFit="1" customWidth="1"/>
    <col min="95" max="101" width="18" bestFit="1" customWidth="1"/>
    <col min="102" max="102" width="19" bestFit="1" customWidth="1"/>
    <col min="103" max="103" width="16.28515625" bestFit="1" customWidth="1"/>
    <col min="104" max="105" width="18" bestFit="1" customWidth="1"/>
    <col min="106" max="106" width="16.28515625" bestFit="1" customWidth="1"/>
    <col min="107" max="108" width="18" bestFit="1" customWidth="1"/>
    <col min="109" max="109" width="19" bestFit="1" customWidth="1"/>
    <col min="110" max="110" width="16.28515625" bestFit="1" customWidth="1"/>
    <col min="111" max="111" width="19" bestFit="1" customWidth="1"/>
    <col min="112" max="115" width="18" bestFit="1" customWidth="1"/>
    <col min="116" max="116" width="19" bestFit="1" customWidth="1"/>
    <col min="117" max="119" width="18" bestFit="1" customWidth="1"/>
    <col min="120" max="120" width="16.28515625" bestFit="1" customWidth="1"/>
    <col min="121" max="124" width="18" bestFit="1" customWidth="1"/>
    <col min="125" max="125" width="16.28515625" bestFit="1" customWidth="1"/>
    <col min="126" max="132" width="18" bestFit="1" customWidth="1"/>
    <col min="133" max="133" width="16.28515625" bestFit="1" customWidth="1"/>
    <col min="134" max="135" width="18" bestFit="1" customWidth="1"/>
    <col min="136" max="136" width="16.28515625" bestFit="1" customWidth="1"/>
    <col min="137" max="138" width="18" bestFit="1" customWidth="1"/>
    <col min="139" max="140" width="16.28515625" bestFit="1" customWidth="1"/>
    <col min="141" max="142" width="18" bestFit="1" customWidth="1"/>
    <col min="143" max="143" width="16.28515625" bestFit="1" customWidth="1"/>
    <col min="144" max="150" width="18" bestFit="1" customWidth="1"/>
    <col min="151" max="151" width="16.28515625" bestFit="1" customWidth="1"/>
    <col min="152" max="152" width="19" bestFit="1" customWidth="1"/>
    <col min="153" max="154" width="18" bestFit="1" customWidth="1"/>
    <col min="155" max="156" width="16.28515625" bestFit="1" customWidth="1"/>
    <col min="157" max="157" width="19" bestFit="1" customWidth="1"/>
    <col min="158" max="158" width="18" bestFit="1" customWidth="1"/>
    <col min="159" max="161" width="16.28515625" bestFit="1" customWidth="1"/>
    <col min="162" max="162" width="18" bestFit="1" customWidth="1"/>
    <col min="163" max="168" width="16.28515625" bestFit="1" customWidth="1"/>
    <col min="169" max="170" width="18" bestFit="1" customWidth="1"/>
    <col min="171" max="171" width="16.28515625" bestFit="1" customWidth="1"/>
    <col min="172" max="174" width="18" bestFit="1" customWidth="1"/>
    <col min="175" max="175" width="19" bestFit="1" customWidth="1"/>
    <col min="176" max="177" width="18" bestFit="1" customWidth="1"/>
    <col min="178" max="178" width="6.140625" bestFit="1" customWidth="1"/>
    <col min="179" max="179" width="16.28515625" bestFit="1" customWidth="1"/>
    <col min="180" max="181" width="18" bestFit="1" customWidth="1"/>
    <col min="182" max="182" width="16.28515625" bestFit="1" customWidth="1"/>
    <col min="183" max="186" width="18" bestFit="1" customWidth="1"/>
    <col min="187" max="187" width="19" bestFit="1" customWidth="1"/>
    <col min="188" max="188" width="16.28515625" bestFit="1" customWidth="1"/>
    <col min="189" max="189" width="18" bestFit="1" customWidth="1"/>
    <col min="190" max="190" width="19" bestFit="1" customWidth="1"/>
    <col min="191" max="193" width="18" bestFit="1" customWidth="1"/>
    <col min="194" max="194" width="16.28515625" bestFit="1" customWidth="1"/>
    <col min="195" max="195" width="18" bestFit="1" customWidth="1"/>
    <col min="196" max="196" width="16.28515625" bestFit="1" customWidth="1"/>
    <col min="197" max="197" width="19" bestFit="1" customWidth="1"/>
    <col min="198" max="198" width="18" bestFit="1" customWidth="1"/>
    <col min="199" max="201" width="16.28515625" bestFit="1" customWidth="1"/>
    <col min="202" max="205" width="18" bestFit="1" customWidth="1"/>
    <col min="206" max="206" width="19" bestFit="1" customWidth="1"/>
    <col min="207" max="209" width="16.28515625" bestFit="1" customWidth="1"/>
    <col min="210" max="210" width="19" bestFit="1" customWidth="1"/>
    <col min="211" max="214" width="18" bestFit="1" customWidth="1"/>
    <col min="215" max="215" width="16.28515625" bestFit="1" customWidth="1"/>
    <col min="216" max="220" width="18" bestFit="1" customWidth="1"/>
    <col min="221" max="221" width="19" bestFit="1" customWidth="1"/>
    <col min="222" max="223" width="18" bestFit="1" customWidth="1"/>
    <col min="224" max="226" width="16.28515625" bestFit="1" customWidth="1"/>
    <col min="227" max="228" width="18" bestFit="1" customWidth="1"/>
    <col min="229" max="229" width="16.28515625" bestFit="1" customWidth="1"/>
    <col min="230" max="230" width="19" bestFit="1" customWidth="1"/>
    <col min="231" max="231" width="18" bestFit="1" customWidth="1"/>
    <col min="232" max="232" width="19" bestFit="1" customWidth="1"/>
    <col min="233" max="233" width="18" bestFit="1" customWidth="1"/>
    <col min="234" max="234" width="16.28515625" bestFit="1" customWidth="1"/>
    <col min="235" max="235" width="18" bestFit="1" customWidth="1"/>
    <col min="236" max="237" width="16.28515625" bestFit="1" customWidth="1"/>
    <col min="238" max="239" width="18" bestFit="1" customWidth="1"/>
    <col min="240" max="240" width="6.140625" bestFit="1" customWidth="1"/>
    <col min="241" max="241" width="16.28515625" bestFit="1" customWidth="1"/>
    <col min="242" max="242" width="19" bestFit="1" customWidth="1"/>
    <col min="243" max="243" width="17" bestFit="1" customWidth="1"/>
    <col min="244" max="244" width="16.28515625" bestFit="1" customWidth="1"/>
    <col min="245" max="245" width="19" bestFit="1" customWidth="1"/>
    <col min="246" max="249" width="18" bestFit="1" customWidth="1"/>
    <col min="250" max="250" width="16.28515625" bestFit="1" customWidth="1"/>
    <col min="251" max="252" width="18" bestFit="1" customWidth="1"/>
    <col min="253" max="254" width="16.28515625" bestFit="1" customWidth="1"/>
    <col min="255" max="257" width="18" bestFit="1" customWidth="1"/>
    <col min="258" max="258" width="16.28515625" bestFit="1" customWidth="1"/>
    <col min="259" max="259" width="18" bestFit="1" customWidth="1"/>
    <col min="260" max="260" width="16.28515625" bestFit="1" customWidth="1"/>
    <col min="261" max="261" width="18" bestFit="1" customWidth="1"/>
    <col min="262" max="262" width="19" bestFit="1" customWidth="1"/>
    <col min="263" max="265" width="18" bestFit="1" customWidth="1"/>
    <col min="266" max="266" width="16.28515625" bestFit="1" customWidth="1"/>
    <col min="267" max="267" width="19" bestFit="1" customWidth="1"/>
    <col min="268" max="268" width="18" bestFit="1" customWidth="1"/>
    <col min="269" max="269" width="6.140625" bestFit="1" customWidth="1"/>
    <col min="270" max="270" width="18" bestFit="1" customWidth="1"/>
    <col min="271" max="271" width="16.28515625" bestFit="1" customWidth="1"/>
    <col min="272" max="272" width="18" bestFit="1" customWidth="1"/>
    <col min="273" max="273" width="19" bestFit="1" customWidth="1"/>
    <col min="274" max="274" width="18" bestFit="1" customWidth="1"/>
    <col min="275" max="275" width="19" bestFit="1" customWidth="1"/>
    <col min="276" max="276" width="18" bestFit="1" customWidth="1"/>
    <col min="277" max="277" width="16.28515625" bestFit="1" customWidth="1"/>
    <col min="278" max="290" width="18" bestFit="1" customWidth="1"/>
    <col min="291" max="291" width="16.28515625" bestFit="1" customWidth="1"/>
    <col min="292" max="293" width="18" bestFit="1" customWidth="1"/>
    <col min="294" max="296" width="16.28515625" bestFit="1" customWidth="1"/>
    <col min="297" max="298" width="18" bestFit="1" customWidth="1"/>
    <col min="299" max="299" width="16.28515625" bestFit="1" customWidth="1"/>
    <col min="300" max="303" width="18" bestFit="1" customWidth="1"/>
    <col min="304" max="304" width="6.42578125" bestFit="1" customWidth="1"/>
    <col min="305" max="305" width="18" bestFit="1" customWidth="1"/>
    <col min="306" max="307" width="19" bestFit="1" customWidth="1"/>
    <col min="308" max="309" width="18" bestFit="1" customWidth="1"/>
    <col min="310" max="310" width="15.28515625" bestFit="1" customWidth="1"/>
    <col min="311" max="311" width="18" bestFit="1" customWidth="1"/>
    <col min="312" max="313" width="16.28515625" bestFit="1" customWidth="1"/>
    <col min="314" max="314" width="18" bestFit="1" customWidth="1"/>
    <col min="315" max="315" width="19" bestFit="1" customWidth="1"/>
    <col min="316" max="316" width="18" bestFit="1" customWidth="1"/>
    <col min="317" max="317" width="16.28515625" bestFit="1" customWidth="1"/>
    <col min="318" max="319" width="18" bestFit="1" customWidth="1"/>
    <col min="320" max="321" width="19" bestFit="1" customWidth="1"/>
    <col min="322" max="322" width="18" bestFit="1" customWidth="1"/>
    <col min="323" max="323" width="16.28515625" bestFit="1" customWidth="1"/>
    <col min="324" max="325" width="18" bestFit="1" customWidth="1"/>
    <col min="326" max="327" width="16.28515625" bestFit="1" customWidth="1"/>
    <col min="328" max="335" width="18" bestFit="1" customWidth="1"/>
    <col min="336" max="336" width="16.28515625" bestFit="1" customWidth="1"/>
    <col min="337" max="338" width="18" bestFit="1" customWidth="1"/>
    <col min="339" max="339" width="16.28515625" bestFit="1" customWidth="1"/>
    <col min="340" max="344" width="18" bestFit="1" customWidth="1"/>
    <col min="345" max="345" width="16.28515625" bestFit="1" customWidth="1"/>
    <col min="346" max="346" width="18" bestFit="1" customWidth="1"/>
    <col min="347" max="347" width="16.28515625" bestFit="1" customWidth="1"/>
    <col min="348" max="350" width="18" bestFit="1" customWidth="1"/>
    <col min="351" max="351" width="16.28515625" bestFit="1" customWidth="1"/>
    <col min="352" max="354" width="18" bestFit="1" customWidth="1"/>
    <col min="355" max="355" width="16.28515625" bestFit="1" customWidth="1"/>
    <col min="356" max="356" width="18" bestFit="1" customWidth="1"/>
    <col min="357" max="357" width="16.28515625" bestFit="1" customWidth="1"/>
    <col min="358" max="362" width="18" bestFit="1" customWidth="1"/>
    <col min="363" max="363" width="19" bestFit="1" customWidth="1"/>
    <col min="364" max="364" width="18" bestFit="1" customWidth="1"/>
    <col min="365" max="366" width="16.28515625" bestFit="1" customWidth="1"/>
    <col min="367" max="368" width="18" bestFit="1" customWidth="1"/>
    <col min="369" max="369" width="19" bestFit="1" customWidth="1"/>
    <col min="370" max="371" width="18" bestFit="1" customWidth="1"/>
    <col min="372" max="372" width="16.28515625" bestFit="1" customWidth="1"/>
    <col min="373" max="373" width="18" bestFit="1" customWidth="1"/>
    <col min="374" max="374" width="16.28515625" bestFit="1" customWidth="1"/>
    <col min="375" max="378" width="18" bestFit="1" customWidth="1"/>
    <col min="379" max="379" width="16.28515625" bestFit="1" customWidth="1"/>
    <col min="380" max="383" width="18" bestFit="1" customWidth="1"/>
    <col min="384" max="384" width="19" bestFit="1" customWidth="1"/>
    <col min="385" max="386" width="16.28515625" bestFit="1" customWidth="1"/>
    <col min="387" max="387" width="19" bestFit="1" customWidth="1"/>
    <col min="388" max="389" width="18" bestFit="1" customWidth="1"/>
    <col min="390" max="390" width="19" bestFit="1" customWidth="1"/>
    <col min="391" max="392" width="16.28515625" bestFit="1" customWidth="1"/>
    <col min="393" max="394" width="18" bestFit="1" customWidth="1"/>
    <col min="395" max="395" width="16.28515625" bestFit="1" customWidth="1"/>
    <col min="396" max="398" width="18" bestFit="1" customWidth="1"/>
    <col min="399" max="402" width="16.28515625" bestFit="1" customWidth="1"/>
    <col min="403" max="403" width="18" bestFit="1" customWidth="1"/>
    <col min="404" max="404" width="16.28515625" bestFit="1" customWidth="1"/>
    <col min="405" max="405" width="19" bestFit="1" customWidth="1"/>
    <col min="406" max="406" width="16.28515625" bestFit="1" customWidth="1"/>
    <col min="407" max="407" width="18" bestFit="1" customWidth="1"/>
    <col min="408" max="408" width="16.28515625" bestFit="1" customWidth="1"/>
    <col min="409" max="409" width="19" bestFit="1" customWidth="1"/>
    <col min="410" max="413" width="18" bestFit="1" customWidth="1"/>
    <col min="414" max="414" width="19" bestFit="1" customWidth="1"/>
    <col min="415" max="416" width="18" bestFit="1" customWidth="1"/>
    <col min="417" max="417" width="16.28515625" bestFit="1" customWidth="1"/>
    <col min="418" max="418" width="18" bestFit="1" customWidth="1"/>
    <col min="419" max="420" width="16.28515625" bestFit="1" customWidth="1"/>
    <col min="421" max="422" width="18" bestFit="1" customWidth="1"/>
    <col min="423" max="423" width="16.28515625" bestFit="1" customWidth="1"/>
    <col min="424" max="424" width="19" bestFit="1" customWidth="1"/>
    <col min="425" max="433" width="18" bestFit="1" customWidth="1"/>
    <col min="434" max="946" width="15.28515625" bestFit="1" customWidth="1"/>
    <col min="947" max="1625" width="16.28515625" bestFit="1" customWidth="1"/>
    <col min="1626" max="1694" width="17.42578125" bestFit="1" customWidth="1"/>
    <col min="1695" max="1695" width="12.7109375" bestFit="1" customWidth="1"/>
  </cols>
  <sheetData>
    <row r="1" spans="1:16" ht="24" x14ac:dyDescent="0.25">
      <c r="A1" s="90"/>
      <c r="B1" s="176" t="s">
        <v>673</v>
      </c>
      <c r="C1" s="176"/>
      <c r="D1" s="176"/>
      <c r="E1" s="176"/>
      <c r="F1" s="176"/>
      <c r="G1" s="176"/>
      <c r="H1" s="176"/>
      <c r="I1" s="176"/>
      <c r="J1" s="176"/>
      <c r="K1" s="176"/>
      <c r="L1" s="176"/>
      <c r="M1" s="176"/>
      <c r="N1" s="176"/>
      <c r="O1" s="176"/>
      <c r="P1" s="176"/>
    </row>
    <row r="2" spans="1:16" x14ac:dyDescent="0.25">
      <c r="J2" s="175" t="s">
        <v>651</v>
      </c>
      <c r="K2" s="175"/>
      <c r="L2" s="175"/>
      <c r="M2" s="175"/>
    </row>
    <row r="3" spans="1:16" x14ac:dyDescent="0.25">
      <c r="B3" s="117" t="s">
        <v>663</v>
      </c>
      <c r="C3" s="98" t="s">
        <v>662</v>
      </c>
      <c r="D3" s="98" t="s">
        <v>672</v>
      </c>
      <c r="E3" s="98" t="s">
        <v>671</v>
      </c>
      <c r="F3" s="98" t="s">
        <v>77</v>
      </c>
      <c r="G3" s="99" t="s">
        <v>30</v>
      </c>
      <c r="J3" s="101" t="s">
        <v>615</v>
      </c>
      <c r="K3" s="98" t="s">
        <v>19</v>
      </c>
      <c r="L3" s="101" t="s">
        <v>77</v>
      </c>
      <c r="M3" s="99" t="s">
        <v>676</v>
      </c>
    </row>
    <row r="4" spans="1:16" x14ac:dyDescent="0.25">
      <c r="B4" s="113">
        <v>0</v>
      </c>
      <c r="C4" s="100">
        <v>5000000000</v>
      </c>
      <c r="D4" t="str">
        <f>TEXT(FLOOR(B4,5000000000),"0,,,")&amp;"-"&amp; TEXT(FLOOR(C4,5000000000),"0,,,")&amp;"B"</f>
        <v>0-5B</v>
      </c>
      <c r="E4">
        <f>COUNTIFS(HCOPEXP, "&gt;=" &amp; B4, HCOPEXP, "&lt;=" &amp; C4)</f>
        <v>30</v>
      </c>
      <c r="F4">
        <f t="shared" ref="F4:F23" si="0">COUNTIFS(EOPEXP, "&gt;=" &amp; B4, EOPEXP, "&lt;=" &amp; C4)</f>
        <v>20</v>
      </c>
      <c r="G4" s="42">
        <f t="shared" ref="G4:G23" si="1">COUNTIFS(CSOPEXP, "&gt;=" &amp; B4, CSOPEXP, "&lt;=" &amp; C4)</f>
        <v>24</v>
      </c>
      <c r="J4" s="28" t="s">
        <v>610</v>
      </c>
      <c r="K4" s="78">
        <f>MIN(HCOPEXP)</f>
        <v>0</v>
      </c>
      <c r="L4" s="103">
        <f>MIN(EOPEXP)</f>
        <v>228000000</v>
      </c>
      <c r="M4" s="102">
        <f>MIN(CSOPEXP)</f>
        <v>0</v>
      </c>
    </row>
    <row r="5" spans="1:16" x14ac:dyDescent="0.25">
      <c r="B5" s="113">
        <f>B4+5000000000</f>
        <v>5000000000</v>
      </c>
      <c r="C5" s="100">
        <f>B5+5000000000</f>
        <v>10000000000</v>
      </c>
      <c r="D5" t="str">
        <f t="shared" ref="D5:D23" si="2">TEXT(FLOOR(B5,5000000000),"0,,,")&amp;"-"&amp; TEXT(FLOOR(C5,5000000000),"0,,,")&amp;"B"</f>
        <v>5-10B</v>
      </c>
      <c r="E5">
        <f>COUNTIFS(HCOPEXP, "&gt;=" &amp; B5, HCOPEXP, "&lt;=" &amp;#REF!)</f>
        <v>0</v>
      </c>
      <c r="F5">
        <f t="shared" si="0"/>
        <v>6</v>
      </c>
      <c r="G5" s="42">
        <f t="shared" si="1"/>
        <v>4</v>
      </c>
      <c r="J5" s="28" t="s">
        <v>614</v>
      </c>
      <c r="K5" s="78">
        <f>_xlfn.PERCENTILE.EXC(HCOPEXP, 0.25)</f>
        <v>1233800000</v>
      </c>
      <c r="L5" s="103">
        <f>_xlfn.PERCENTILE.EXC(EOPEXP, 0.25)</f>
        <v>1199000000</v>
      </c>
      <c r="M5" s="102">
        <f>_xlfn.PERCENTILE.EXC(CSOPEXP, 0.25)</f>
        <v>1355600000</v>
      </c>
    </row>
    <row r="6" spans="1:16" x14ac:dyDescent="0.25">
      <c r="B6" s="113">
        <f t="shared" ref="B6:B23" si="3">B5+5000000000</f>
        <v>10000000000</v>
      </c>
      <c r="C6" s="100">
        <f t="shared" ref="C6:C23" si="4">B6+5000000000</f>
        <v>15000000000</v>
      </c>
      <c r="D6" t="str">
        <f t="shared" si="2"/>
        <v>10-15B</v>
      </c>
      <c r="E6">
        <f>COUNTIFS(HCOPEXP, "&gt;=" &amp; B6, HCOPEXP, "&lt;=" &amp; C5)</f>
        <v>0</v>
      </c>
      <c r="F6">
        <f t="shared" si="0"/>
        <v>1</v>
      </c>
      <c r="G6" s="42">
        <f t="shared" si="1"/>
        <v>1</v>
      </c>
      <c r="J6" s="28" t="s">
        <v>607</v>
      </c>
      <c r="K6" s="78">
        <f>MEDIAN(HCOPEXP)</f>
        <v>3229992000</v>
      </c>
      <c r="L6" s="103">
        <f>MEDIAN(EOPEXP)</f>
        <v>2687000000</v>
      </c>
      <c r="M6" s="102">
        <f>MEDIAN(CSOPEXP)</f>
        <v>2209400000</v>
      </c>
    </row>
    <row r="7" spans="1:16" x14ac:dyDescent="0.25">
      <c r="B7" s="113">
        <f t="shared" si="3"/>
        <v>15000000000</v>
      </c>
      <c r="C7" s="100">
        <f t="shared" si="4"/>
        <v>20000000000</v>
      </c>
      <c r="D7" t="str">
        <f t="shared" si="2"/>
        <v>15-20B</v>
      </c>
      <c r="E7">
        <f t="shared" ref="E7:E23" si="5">COUNTIFS(HCOPEXP, "&gt;=" &amp; B7, HCOPEXP, "&lt;=" &amp; C7)</f>
        <v>1</v>
      </c>
      <c r="F7">
        <f t="shared" si="0"/>
        <v>1</v>
      </c>
      <c r="G7" s="42">
        <f t="shared" si="1"/>
        <v>1</v>
      </c>
      <c r="J7" s="28" t="s">
        <v>608</v>
      </c>
      <c r="K7" s="78">
        <f>_xlfn.PERCENTILE.EXC(HCOPEXP, 0.75)</f>
        <v>7668000000</v>
      </c>
      <c r="L7" s="103">
        <f>_xlfn.PERCENTILE.EXC(EOPEXP, 0.75)</f>
        <v>6487964000</v>
      </c>
      <c r="M7" s="102">
        <f>_xlfn.PERCENTILE.INC(CSOPEXP, 0.75)</f>
        <v>6479000000</v>
      </c>
    </row>
    <row r="8" spans="1:16" x14ac:dyDescent="0.25">
      <c r="B8" s="113">
        <f t="shared" si="3"/>
        <v>20000000000</v>
      </c>
      <c r="C8" s="100">
        <f t="shared" si="4"/>
        <v>25000000000</v>
      </c>
      <c r="D8" t="str">
        <f t="shared" si="2"/>
        <v>20-25B</v>
      </c>
      <c r="E8">
        <f t="shared" si="5"/>
        <v>0</v>
      </c>
      <c r="F8">
        <f t="shared" si="0"/>
        <v>0</v>
      </c>
      <c r="G8" s="42">
        <f t="shared" si="1"/>
        <v>2</v>
      </c>
      <c r="J8" s="28" t="s">
        <v>609</v>
      </c>
      <c r="K8" s="78">
        <f>MAX(HCOPEXP)</f>
        <v>54872000000</v>
      </c>
      <c r="L8" s="103">
        <f>MAX(EOPEXP)</f>
        <v>79492000000</v>
      </c>
      <c r="M8" s="102">
        <f>MAX(CSOPEXP)</f>
        <v>97041000000</v>
      </c>
    </row>
    <row r="9" spans="1:16" x14ac:dyDescent="0.25">
      <c r="B9" s="113">
        <f t="shared" si="3"/>
        <v>25000000000</v>
      </c>
      <c r="C9" s="100">
        <f t="shared" si="4"/>
        <v>30000000000</v>
      </c>
      <c r="D9" t="str">
        <f t="shared" si="2"/>
        <v>25-30B</v>
      </c>
      <c r="E9">
        <f t="shared" si="5"/>
        <v>2</v>
      </c>
      <c r="F9">
        <f t="shared" si="0"/>
        <v>0</v>
      </c>
      <c r="G9" s="42">
        <f t="shared" si="1"/>
        <v>0</v>
      </c>
      <c r="J9" s="18"/>
      <c r="K9" s="60"/>
      <c r="L9" s="6"/>
      <c r="M9" s="88"/>
    </row>
    <row r="10" spans="1:16" x14ac:dyDescent="0.25">
      <c r="B10" s="113">
        <f t="shared" si="3"/>
        <v>30000000000</v>
      </c>
      <c r="C10" s="100">
        <f t="shared" si="4"/>
        <v>35000000000</v>
      </c>
      <c r="D10" t="str">
        <f t="shared" si="2"/>
        <v>30-35B</v>
      </c>
      <c r="E10">
        <f t="shared" si="5"/>
        <v>0</v>
      </c>
      <c r="F10">
        <f t="shared" si="0"/>
        <v>1</v>
      </c>
      <c r="G10" s="42">
        <f t="shared" si="1"/>
        <v>0</v>
      </c>
      <c r="J10" s="28" t="s">
        <v>616</v>
      </c>
      <c r="K10">
        <f>_xlfn.STDEV.P(HCOPEXP)</f>
        <v>9278573765.8017731</v>
      </c>
      <c r="L10" s="5">
        <f>_xlfn.STDEV.P(EOPEXP)</f>
        <v>15381387192.706955</v>
      </c>
      <c r="M10" s="42">
        <f>_xlfn.STDEV.P(CSOPEXP)</f>
        <v>16911444754.650797</v>
      </c>
    </row>
    <row r="11" spans="1:16" x14ac:dyDescent="0.25">
      <c r="B11" s="113">
        <f t="shared" si="3"/>
        <v>35000000000</v>
      </c>
      <c r="C11" s="100">
        <f t="shared" si="4"/>
        <v>40000000000</v>
      </c>
      <c r="D11" t="str">
        <f t="shared" si="2"/>
        <v>35-40B</v>
      </c>
      <c r="E11">
        <f t="shared" si="5"/>
        <v>0</v>
      </c>
      <c r="F11">
        <f t="shared" si="0"/>
        <v>1</v>
      </c>
      <c r="G11" s="42">
        <f t="shared" si="1"/>
        <v>0</v>
      </c>
      <c r="J11" s="28" t="s">
        <v>656</v>
      </c>
      <c r="K11" s="78">
        <f>AVERAGE(HCOPEXP)</f>
        <v>6411356680.8510637</v>
      </c>
      <c r="L11" s="103">
        <f>AVERAGE(EOPEXP)</f>
        <v>8239515645.1612902</v>
      </c>
      <c r="M11" s="102">
        <f>AVERAGE(CSOPEXP)</f>
        <v>7405715969.69697</v>
      </c>
    </row>
    <row r="12" spans="1:16" x14ac:dyDescent="0.25">
      <c r="B12" s="113">
        <f t="shared" si="3"/>
        <v>40000000000</v>
      </c>
      <c r="C12" s="100">
        <f t="shared" si="4"/>
        <v>45000000000</v>
      </c>
      <c r="D12" t="str">
        <f t="shared" si="2"/>
        <v>40-45B</v>
      </c>
      <c r="E12">
        <f t="shared" si="5"/>
        <v>0</v>
      </c>
      <c r="F12">
        <f t="shared" si="0"/>
        <v>0</v>
      </c>
      <c r="G12" s="42">
        <f t="shared" si="1"/>
        <v>0</v>
      </c>
      <c r="J12" s="28" t="s">
        <v>659</v>
      </c>
      <c r="K12">
        <f>SKEW(HCOPEXP)</f>
        <v>3.5543175466211085</v>
      </c>
      <c r="L12" s="36">
        <f>SKEW(EOPEXP)</f>
        <v>3.6589604881686033</v>
      </c>
      <c r="M12" s="35">
        <f>SKEW(CSOPEXP)</f>
        <v>4.7575124248798213</v>
      </c>
    </row>
    <row r="13" spans="1:16" x14ac:dyDescent="0.25">
      <c r="B13" s="113">
        <f t="shared" si="3"/>
        <v>45000000000</v>
      </c>
      <c r="C13" s="100">
        <f t="shared" si="4"/>
        <v>50000000000</v>
      </c>
      <c r="D13" t="str">
        <f t="shared" si="2"/>
        <v>45-50B</v>
      </c>
      <c r="E13">
        <f t="shared" si="5"/>
        <v>0</v>
      </c>
      <c r="F13">
        <f t="shared" si="0"/>
        <v>0</v>
      </c>
      <c r="G13" s="42">
        <f t="shared" si="1"/>
        <v>0</v>
      </c>
      <c r="J13" s="29" t="s">
        <v>665</v>
      </c>
      <c r="K13" s="23">
        <f>KURT(HCOPEXP)</f>
        <v>15.630164104466591</v>
      </c>
      <c r="L13" s="37">
        <f>KURT(EOPEXP)</f>
        <v>14.92382972958006</v>
      </c>
      <c r="M13" s="38">
        <f>KURT(CSOPEXP)</f>
        <v>24.747561216443515</v>
      </c>
    </row>
    <row r="14" spans="1:16" x14ac:dyDescent="0.25">
      <c r="B14" s="113">
        <f t="shared" si="3"/>
        <v>50000000000</v>
      </c>
      <c r="C14" s="100">
        <f t="shared" si="4"/>
        <v>55000000000</v>
      </c>
      <c r="D14" t="str">
        <f t="shared" si="2"/>
        <v>50-55B</v>
      </c>
      <c r="E14">
        <f t="shared" si="5"/>
        <v>1</v>
      </c>
      <c r="F14">
        <f t="shared" si="0"/>
        <v>0</v>
      </c>
      <c r="G14" s="42">
        <f t="shared" si="1"/>
        <v>0</v>
      </c>
    </row>
    <row r="15" spans="1:16" x14ac:dyDescent="0.25">
      <c r="B15" s="113">
        <f t="shared" si="3"/>
        <v>55000000000</v>
      </c>
      <c r="C15" s="100">
        <f t="shared" si="4"/>
        <v>60000000000</v>
      </c>
      <c r="D15" t="str">
        <f t="shared" si="2"/>
        <v>55-60B</v>
      </c>
      <c r="E15">
        <f t="shared" si="5"/>
        <v>0</v>
      </c>
      <c r="F15">
        <f t="shared" si="0"/>
        <v>0</v>
      </c>
      <c r="G15" s="42">
        <f t="shared" si="1"/>
        <v>0</v>
      </c>
    </row>
    <row r="16" spans="1:16" x14ac:dyDescent="0.25">
      <c r="B16" s="113">
        <f t="shared" si="3"/>
        <v>60000000000</v>
      </c>
      <c r="C16" s="100">
        <f t="shared" si="4"/>
        <v>65000000000</v>
      </c>
      <c r="D16" t="str">
        <f t="shared" si="2"/>
        <v>60-65B</v>
      </c>
      <c r="E16">
        <f t="shared" si="5"/>
        <v>0</v>
      </c>
      <c r="F16">
        <f t="shared" si="0"/>
        <v>0</v>
      </c>
      <c r="G16" s="42">
        <f t="shared" si="1"/>
        <v>0</v>
      </c>
    </row>
    <row r="17" spans="2:7" x14ac:dyDescent="0.25">
      <c r="B17" s="113">
        <f t="shared" si="3"/>
        <v>65000000000</v>
      </c>
      <c r="C17" s="100">
        <f t="shared" si="4"/>
        <v>70000000000</v>
      </c>
      <c r="D17" t="str">
        <f t="shared" si="2"/>
        <v>65-70B</v>
      </c>
      <c r="E17">
        <f t="shared" si="5"/>
        <v>0</v>
      </c>
      <c r="F17">
        <f t="shared" si="0"/>
        <v>0</v>
      </c>
      <c r="G17" s="42">
        <f t="shared" si="1"/>
        <v>0</v>
      </c>
    </row>
    <row r="18" spans="2:7" x14ac:dyDescent="0.25">
      <c r="B18" s="113">
        <f t="shared" si="3"/>
        <v>70000000000</v>
      </c>
      <c r="C18" s="100">
        <f t="shared" si="4"/>
        <v>75000000000</v>
      </c>
      <c r="D18" t="str">
        <f t="shared" si="2"/>
        <v>70-75B</v>
      </c>
      <c r="E18">
        <f t="shared" si="5"/>
        <v>0</v>
      </c>
      <c r="F18">
        <f t="shared" si="0"/>
        <v>0</v>
      </c>
      <c r="G18" s="42">
        <f t="shared" si="1"/>
        <v>0</v>
      </c>
    </row>
    <row r="19" spans="2:7" x14ac:dyDescent="0.25">
      <c r="B19" s="113">
        <f t="shared" si="3"/>
        <v>75000000000</v>
      </c>
      <c r="C19" s="100">
        <f t="shared" si="4"/>
        <v>80000000000</v>
      </c>
      <c r="D19" t="str">
        <f t="shared" si="2"/>
        <v>75-80B</v>
      </c>
      <c r="E19">
        <f t="shared" si="5"/>
        <v>0</v>
      </c>
      <c r="F19">
        <f t="shared" si="0"/>
        <v>1</v>
      </c>
      <c r="G19" s="42">
        <f t="shared" si="1"/>
        <v>0</v>
      </c>
    </row>
    <row r="20" spans="2:7" x14ac:dyDescent="0.25">
      <c r="B20" s="113">
        <f t="shared" si="3"/>
        <v>80000000000</v>
      </c>
      <c r="C20" s="100">
        <f t="shared" si="4"/>
        <v>85000000000</v>
      </c>
      <c r="D20" t="str">
        <f t="shared" si="2"/>
        <v>80-85B</v>
      </c>
      <c r="E20">
        <f t="shared" si="5"/>
        <v>0</v>
      </c>
      <c r="F20">
        <f t="shared" si="0"/>
        <v>0</v>
      </c>
      <c r="G20" s="42">
        <f t="shared" si="1"/>
        <v>0</v>
      </c>
    </row>
    <row r="21" spans="2:7" x14ac:dyDescent="0.25">
      <c r="B21" s="113">
        <f t="shared" si="3"/>
        <v>85000000000</v>
      </c>
      <c r="C21" s="100">
        <f t="shared" si="4"/>
        <v>90000000000</v>
      </c>
      <c r="D21" t="str">
        <f t="shared" si="2"/>
        <v>85-90B</v>
      </c>
      <c r="E21">
        <f t="shared" si="5"/>
        <v>0</v>
      </c>
      <c r="F21">
        <f t="shared" si="0"/>
        <v>0</v>
      </c>
      <c r="G21" s="42">
        <f t="shared" si="1"/>
        <v>0</v>
      </c>
    </row>
    <row r="22" spans="2:7" x14ac:dyDescent="0.25">
      <c r="B22" s="113">
        <f t="shared" si="3"/>
        <v>90000000000</v>
      </c>
      <c r="C22" s="100">
        <f t="shared" si="4"/>
        <v>95000000000</v>
      </c>
      <c r="D22" t="str">
        <f t="shared" si="2"/>
        <v>90-95B</v>
      </c>
      <c r="E22">
        <f t="shared" si="5"/>
        <v>0</v>
      </c>
      <c r="F22">
        <f t="shared" si="0"/>
        <v>0</v>
      </c>
      <c r="G22" s="42">
        <f t="shared" si="1"/>
        <v>0</v>
      </c>
    </row>
    <row r="23" spans="2:7" x14ac:dyDescent="0.25">
      <c r="B23" s="114">
        <f t="shared" si="3"/>
        <v>95000000000</v>
      </c>
      <c r="C23" s="115">
        <f t="shared" si="4"/>
        <v>100000000000</v>
      </c>
      <c r="D23" s="23" t="str">
        <f t="shared" si="2"/>
        <v>95-100B</v>
      </c>
      <c r="E23" s="23">
        <f t="shared" si="5"/>
        <v>0</v>
      </c>
      <c r="F23" s="23">
        <f t="shared" si="0"/>
        <v>0</v>
      </c>
      <c r="G23" s="50">
        <f t="shared" si="1"/>
        <v>1</v>
      </c>
    </row>
    <row r="46" spans="5:6" x14ac:dyDescent="0.25">
      <c r="E46" s="34"/>
      <c r="F46" s="34"/>
    </row>
    <row r="51" spans="8:17" x14ac:dyDescent="0.25">
      <c r="H51" s="61"/>
    </row>
    <row r="52" spans="8:17" x14ac:dyDescent="0.25">
      <c r="H52" s="61"/>
    </row>
    <row r="53" spans="8:17" x14ac:dyDescent="0.25">
      <c r="H53" s="61"/>
    </row>
    <row r="54" spans="8:17" x14ac:dyDescent="0.25">
      <c r="H54" s="61"/>
      <c r="L54" s="118"/>
      <c r="M54" s="118"/>
      <c r="N54" s="118"/>
      <c r="O54" s="118"/>
      <c r="P54" s="118"/>
      <c r="Q54" s="118"/>
    </row>
    <row r="55" spans="8:17" ht="15" customHeight="1" x14ac:dyDescent="0.25">
      <c r="H55" s="61"/>
    </row>
    <row r="56" spans="8:17" ht="15" customHeight="1" x14ac:dyDescent="0.25">
      <c r="H56" s="61"/>
    </row>
    <row r="57" spans="8:17" x14ac:dyDescent="0.25">
      <c r="H57" s="61"/>
    </row>
    <row r="58" spans="8:17" x14ac:dyDescent="0.25">
      <c r="H58" s="61"/>
    </row>
    <row r="59" spans="8:17" ht="15" customHeight="1" x14ac:dyDescent="0.25">
      <c r="H59" s="61"/>
    </row>
    <row r="60" spans="8:17" x14ac:dyDescent="0.25">
      <c r="H60" s="61"/>
    </row>
    <row r="61" spans="8:17" x14ac:dyDescent="0.25">
      <c r="H61" s="61"/>
    </row>
    <row r="62" spans="8:17" ht="15" customHeight="1" x14ac:dyDescent="0.25">
      <c r="H62" s="61"/>
    </row>
    <row r="63" spans="8:17" x14ac:dyDescent="0.25">
      <c r="H63" s="61"/>
    </row>
    <row r="64" spans="8:17" ht="15" customHeight="1" x14ac:dyDescent="0.25">
      <c r="H64" s="61"/>
    </row>
    <row r="65" spans="4:12" x14ac:dyDescent="0.25">
      <c r="H65" s="61"/>
    </row>
    <row r="66" spans="4:12" x14ac:dyDescent="0.25">
      <c r="H66" s="61"/>
    </row>
    <row r="67" spans="4:12" x14ac:dyDescent="0.25">
      <c r="H67" s="61"/>
    </row>
    <row r="68" spans="4:12" x14ac:dyDescent="0.25">
      <c r="H68" s="61"/>
    </row>
    <row r="69" spans="4:12" x14ac:dyDescent="0.25">
      <c r="H69" s="61"/>
    </row>
    <row r="70" spans="4:12" ht="15" customHeight="1" x14ac:dyDescent="0.25">
      <c r="H70" s="61"/>
    </row>
    <row r="71" spans="4:12" x14ac:dyDescent="0.25">
      <c r="H71" s="61"/>
    </row>
    <row r="74" spans="4:12" ht="15" customHeight="1" x14ac:dyDescent="0.25"/>
    <row r="75" spans="4:12" ht="15" customHeight="1" x14ac:dyDescent="0.25"/>
    <row r="76" spans="4:12" ht="15" customHeight="1" x14ac:dyDescent="0.25">
      <c r="D76" s="1"/>
    </row>
    <row r="80" spans="4:12" ht="15" customHeight="1" x14ac:dyDescent="0.25">
      <c r="L80" s="119"/>
    </row>
    <row r="81" spans="12:20" ht="15" customHeight="1" x14ac:dyDescent="0.25">
      <c r="L81" s="177" t="s">
        <v>677</v>
      </c>
      <c r="M81" s="177"/>
      <c r="N81" s="177"/>
      <c r="O81" s="177"/>
      <c r="P81" s="177"/>
      <c r="Q81" s="177"/>
      <c r="R81" s="177"/>
    </row>
    <row r="82" spans="12:20" x14ac:dyDescent="0.25">
      <c r="L82" s="177"/>
      <c r="M82" s="177"/>
      <c r="N82" s="177"/>
      <c r="O82" s="177"/>
      <c r="P82" s="177"/>
      <c r="Q82" s="177"/>
      <c r="R82" s="177"/>
    </row>
    <row r="83" spans="12:20" x14ac:dyDescent="0.25">
      <c r="L83" s="177"/>
      <c r="M83" s="177"/>
      <c r="N83" s="177"/>
      <c r="O83" s="177"/>
      <c r="P83" s="177"/>
      <c r="Q83" s="177"/>
      <c r="R83" s="177"/>
    </row>
    <row r="84" spans="12:20" x14ac:dyDescent="0.25">
      <c r="L84" s="177"/>
      <c r="M84" s="177"/>
      <c r="N84" s="177"/>
      <c r="O84" s="177"/>
      <c r="P84" s="177"/>
      <c r="Q84" s="177"/>
      <c r="R84" s="177"/>
    </row>
    <row r="85" spans="12:20" x14ac:dyDescent="0.25">
      <c r="L85" s="177"/>
      <c r="M85" s="177"/>
      <c r="N85" s="177"/>
      <c r="O85" s="177"/>
      <c r="P85" s="177"/>
      <c r="Q85" s="177"/>
      <c r="R85" s="177"/>
    </row>
    <row r="86" spans="12:20" x14ac:dyDescent="0.25">
      <c r="L86" s="177"/>
      <c r="M86" s="177"/>
      <c r="N86" s="177"/>
      <c r="O86" s="177"/>
      <c r="P86" s="177"/>
      <c r="Q86" s="177"/>
      <c r="R86" s="177"/>
    </row>
    <row r="87" spans="12:20" ht="15" customHeight="1" x14ac:dyDescent="0.25">
      <c r="L87" s="177"/>
      <c r="M87" s="177"/>
      <c r="N87" s="177"/>
      <c r="O87" s="177"/>
      <c r="P87" s="177"/>
      <c r="Q87" s="177"/>
      <c r="R87" s="177"/>
    </row>
    <row r="88" spans="12:20" ht="15" customHeight="1" x14ac:dyDescent="0.25">
      <c r="L88" s="177"/>
      <c r="M88" s="177"/>
      <c r="N88" s="177"/>
      <c r="O88" s="177"/>
      <c r="P88" s="177"/>
      <c r="Q88" s="177"/>
      <c r="R88" s="177"/>
      <c r="S88" s="84"/>
      <c r="T88" s="84"/>
    </row>
    <row r="89" spans="12:20" x14ac:dyDescent="0.25">
      <c r="L89" s="177"/>
      <c r="M89" s="177"/>
      <c r="N89" s="177"/>
      <c r="O89" s="177"/>
      <c r="P89" s="177"/>
      <c r="Q89" s="177"/>
      <c r="R89" s="177"/>
      <c r="S89" s="84"/>
      <c r="T89" s="84"/>
    </row>
    <row r="90" spans="12:20" x14ac:dyDescent="0.25">
      <c r="L90" s="177"/>
      <c r="M90" s="177"/>
      <c r="N90" s="177"/>
      <c r="O90" s="177"/>
      <c r="P90" s="177"/>
      <c r="Q90" s="177"/>
      <c r="R90" s="177"/>
      <c r="S90" s="84"/>
      <c r="T90" s="84"/>
    </row>
    <row r="91" spans="12:20" x14ac:dyDescent="0.25">
      <c r="L91" s="177"/>
      <c r="M91" s="177"/>
      <c r="N91" s="177"/>
      <c r="O91" s="177"/>
      <c r="P91" s="177"/>
      <c r="Q91" s="177"/>
      <c r="R91" s="177"/>
      <c r="S91" s="84"/>
      <c r="T91" s="84"/>
    </row>
    <row r="92" spans="12:20" x14ac:dyDescent="0.25">
      <c r="L92" s="177"/>
      <c r="M92" s="177"/>
      <c r="N92" s="177"/>
      <c r="O92" s="177"/>
      <c r="P92" s="177"/>
      <c r="Q92" s="177"/>
      <c r="R92" s="177"/>
      <c r="S92" s="84"/>
      <c r="T92" s="84"/>
    </row>
    <row r="93" spans="12:20" x14ac:dyDescent="0.25">
      <c r="L93" s="177"/>
      <c r="M93" s="177"/>
      <c r="N93" s="177"/>
      <c r="O93" s="177"/>
      <c r="P93" s="177"/>
      <c r="Q93" s="177"/>
      <c r="R93" s="177"/>
      <c r="S93" s="84"/>
      <c r="T93" s="84"/>
    </row>
    <row r="94" spans="12:20" x14ac:dyDescent="0.25">
      <c r="L94" s="177"/>
      <c r="M94" s="177"/>
      <c r="N94" s="177"/>
      <c r="O94" s="177"/>
      <c r="P94" s="177"/>
      <c r="Q94" s="177"/>
      <c r="R94" s="177"/>
      <c r="S94" s="84"/>
      <c r="T94" s="84"/>
    </row>
    <row r="95" spans="12:20" x14ac:dyDescent="0.25">
      <c r="L95" s="177"/>
      <c r="M95" s="177"/>
      <c r="N95" s="177"/>
      <c r="O95" s="177"/>
      <c r="P95" s="177"/>
      <c r="Q95" s="177"/>
      <c r="R95" s="177"/>
      <c r="S95" s="84"/>
      <c r="T95" s="84"/>
    </row>
    <row r="96" spans="12:20" x14ac:dyDescent="0.25">
      <c r="L96" s="177"/>
      <c r="M96" s="177"/>
      <c r="N96" s="177"/>
      <c r="O96" s="177"/>
      <c r="P96" s="177"/>
      <c r="Q96" s="177"/>
      <c r="R96" s="177"/>
      <c r="S96" s="84"/>
      <c r="T96" s="84"/>
    </row>
    <row r="97" spans="12:20" x14ac:dyDescent="0.25">
      <c r="L97" s="177"/>
      <c r="M97" s="177"/>
      <c r="N97" s="177"/>
      <c r="O97" s="177"/>
      <c r="P97" s="177"/>
      <c r="Q97" s="177"/>
      <c r="R97" s="177"/>
      <c r="S97" s="84"/>
      <c r="T97" s="84"/>
    </row>
    <row r="98" spans="12:20" x14ac:dyDescent="0.25">
      <c r="L98" s="177"/>
      <c r="M98" s="177"/>
      <c r="N98" s="177"/>
      <c r="O98" s="177"/>
      <c r="P98" s="177"/>
      <c r="Q98" s="177"/>
      <c r="R98" s="177"/>
      <c r="S98" s="84"/>
      <c r="T98" s="84"/>
    </row>
    <row r="99" spans="12:20" x14ac:dyDescent="0.25">
      <c r="L99" s="177"/>
      <c r="M99" s="177"/>
      <c r="N99" s="177"/>
      <c r="O99" s="177"/>
      <c r="P99" s="177"/>
      <c r="Q99" s="177"/>
      <c r="R99" s="177"/>
      <c r="S99" s="84"/>
      <c r="T99" s="84"/>
    </row>
    <row r="100" spans="12:20" ht="15" customHeight="1" x14ac:dyDescent="0.25">
      <c r="L100" s="177"/>
      <c r="M100" s="177"/>
      <c r="N100" s="177"/>
      <c r="O100" s="177"/>
      <c r="P100" s="177"/>
      <c r="Q100" s="177"/>
      <c r="R100" s="177"/>
      <c r="S100" s="84"/>
      <c r="T100" s="84"/>
    </row>
    <row r="101" spans="12:20" x14ac:dyDescent="0.25">
      <c r="L101" s="177"/>
      <c r="M101" s="177"/>
      <c r="N101" s="177"/>
      <c r="O101" s="177"/>
      <c r="P101" s="177"/>
      <c r="Q101" s="177"/>
      <c r="R101" s="177"/>
      <c r="S101" s="84"/>
      <c r="T101" s="84"/>
    </row>
    <row r="102" spans="12:20" x14ac:dyDescent="0.25">
      <c r="L102" s="177"/>
      <c r="M102" s="177"/>
      <c r="N102" s="177"/>
      <c r="O102" s="177"/>
      <c r="P102" s="177"/>
      <c r="Q102" s="177"/>
      <c r="R102" s="177"/>
      <c r="S102" s="84"/>
      <c r="T102" s="84"/>
    </row>
    <row r="103" spans="12:20" x14ac:dyDescent="0.25">
      <c r="L103" s="177"/>
      <c r="M103" s="177"/>
      <c r="N103" s="177"/>
      <c r="O103" s="177"/>
      <c r="P103" s="177"/>
      <c r="Q103" s="177"/>
      <c r="R103" s="177"/>
      <c r="S103" s="84"/>
      <c r="T103" s="84"/>
    </row>
    <row r="104" spans="12:20" x14ac:dyDescent="0.25">
      <c r="L104" s="177"/>
      <c r="M104" s="177"/>
      <c r="N104" s="177"/>
      <c r="O104" s="177"/>
      <c r="P104" s="177"/>
      <c r="Q104" s="177"/>
      <c r="R104" s="177"/>
      <c r="S104" s="84"/>
      <c r="T104" s="84"/>
    </row>
    <row r="105" spans="12:20" x14ac:dyDescent="0.25">
      <c r="L105" s="177"/>
      <c r="M105" s="177"/>
      <c r="N105" s="177"/>
      <c r="O105" s="177"/>
      <c r="P105" s="177"/>
      <c r="Q105" s="177"/>
      <c r="R105" s="177"/>
      <c r="S105" s="84"/>
      <c r="T105" s="84"/>
    </row>
    <row r="106" spans="12:20" x14ac:dyDescent="0.25">
      <c r="S106" s="84"/>
      <c r="T106" s="84"/>
    </row>
    <row r="107" spans="12:20" x14ac:dyDescent="0.25">
      <c r="S107" s="84"/>
      <c r="T107" s="84"/>
    </row>
    <row r="108" spans="12:20" x14ac:dyDescent="0.25">
      <c r="S108" s="84"/>
      <c r="T108" s="84"/>
    </row>
    <row r="109" spans="12:20" x14ac:dyDescent="0.25">
      <c r="S109" s="84"/>
      <c r="T109" s="84"/>
    </row>
    <row r="110" spans="12:20" x14ac:dyDescent="0.25">
      <c r="S110" s="84"/>
      <c r="T110" s="84"/>
    </row>
    <row r="111" spans="12:20" x14ac:dyDescent="0.25">
      <c r="S111" s="84"/>
      <c r="T111" s="84"/>
    </row>
    <row r="112" spans="12:20" x14ac:dyDescent="0.25">
      <c r="S112" s="84"/>
      <c r="T112" s="84"/>
    </row>
    <row r="113" spans="2:20" x14ac:dyDescent="0.25">
      <c r="S113" s="84"/>
      <c r="T113" s="84"/>
    </row>
    <row r="114" spans="2:20" x14ac:dyDescent="0.25">
      <c r="S114" s="84"/>
      <c r="T114" s="84"/>
    </row>
    <row r="115" spans="2:20" x14ac:dyDescent="0.25">
      <c r="S115" s="84"/>
      <c r="T115" s="84"/>
    </row>
    <row r="116" spans="2:20" x14ac:dyDescent="0.25">
      <c r="S116" s="84"/>
      <c r="T116" s="84"/>
    </row>
    <row r="117" spans="2:20" x14ac:dyDescent="0.25">
      <c r="S117" s="84"/>
      <c r="T117" s="84"/>
    </row>
    <row r="118" spans="2:20" x14ac:dyDescent="0.25">
      <c r="S118" s="84"/>
      <c r="T118" s="84"/>
    </row>
    <row r="119" spans="2:20" x14ac:dyDescent="0.25">
      <c r="S119" s="84"/>
      <c r="T119" s="84"/>
    </row>
    <row r="125" spans="2:20" x14ac:dyDescent="0.25">
      <c r="B125" s="84"/>
      <c r="C125" s="84"/>
      <c r="D125" s="84"/>
      <c r="E125" s="84"/>
      <c r="F125" s="84"/>
      <c r="G125" s="84"/>
    </row>
    <row r="126" spans="2:20" x14ac:dyDescent="0.25">
      <c r="E126" s="34"/>
      <c r="F126" s="34"/>
    </row>
    <row r="127" spans="2:20" x14ac:dyDescent="0.25">
      <c r="E127" s="34"/>
      <c r="F127" s="34"/>
    </row>
    <row r="128" spans="2:20" x14ac:dyDescent="0.25">
      <c r="E128" s="34"/>
      <c r="F128" s="34"/>
    </row>
    <row r="129" spans="5:6" x14ac:dyDescent="0.25">
      <c r="E129" s="34"/>
      <c r="F129" s="34"/>
    </row>
    <row r="130" spans="5:6" x14ac:dyDescent="0.25">
      <c r="E130" s="34"/>
      <c r="F130" s="34"/>
    </row>
    <row r="131" spans="5:6" x14ac:dyDescent="0.25">
      <c r="E131" s="34"/>
      <c r="F131" s="34"/>
    </row>
    <row r="132" spans="5:6" x14ac:dyDescent="0.25">
      <c r="E132" s="34"/>
      <c r="F132" s="34"/>
    </row>
    <row r="133" spans="5:6" x14ac:dyDescent="0.25">
      <c r="E133" s="34"/>
      <c r="F133" s="34"/>
    </row>
    <row r="134" spans="5:6" x14ac:dyDescent="0.25">
      <c r="E134" s="34"/>
      <c r="F134" s="34"/>
    </row>
    <row r="135" spans="5:6" x14ac:dyDescent="0.25">
      <c r="E135" s="34"/>
      <c r="F135" s="34"/>
    </row>
    <row r="136" spans="5:6" x14ac:dyDescent="0.25">
      <c r="E136" s="34"/>
      <c r="F136" s="34"/>
    </row>
    <row r="137" spans="5:6" x14ac:dyDescent="0.25">
      <c r="E137" s="34"/>
      <c r="F137" s="34"/>
    </row>
    <row r="138" spans="5:6" x14ac:dyDescent="0.25">
      <c r="E138" s="34"/>
      <c r="F138" s="34"/>
    </row>
    <row r="139" spans="5:6" x14ac:dyDescent="0.25">
      <c r="E139" s="34"/>
      <c r="F139" s="34"/>
    </row>
    <row r="140" spans="5:6" x14ac:dyDescent="0.25">
      <c r="E140" s="34"/>
      <c r="F140" s="34"/>
    </row>
    <row r="141" spans="5:6" x14ac:dyDescent="0.25">
      <c r="E141" s="34"/>
      <c r="F141" s="34"/>
    </row>
    <row r="142" spans="5:6" x14ac:dyDescent="0.25">
      <c r="E142" s="34"/>
      <c r="F142" s="34"/>
    </row>
    <row r="143" spans="5:6" x14ac:dyDescent="0.25">
      <c r="E143" s="34"/>
      <c r="F143" s="34"/>
    </row>
    <row r="144" spans="5:6" x14ac:dyDescent="0.25">
      <c r="E144" s="34"/>
      <c r="F144" s="34"/>
    </row>
    <row r="145" spans="5:6" x14ac:dyDescent="0.25">
      <c r="E145" s="34"/>
      <c r="F145" s="34"/>
    </row>
    <row r="146" spans="5:6" x14ac:dyDescent="0.25">
      <c r="E146" s="34"/>
      <c r="F146" s="34"/>
    </row>
    <row r="147" spans="5:6" x14ac:dyDescent="0.25">
      <c r="E147" s="34"/>
      <c r="F147" s="34"/>
    </row>
    <row r="148" spans="5:6" x14ac:dyDescent="0.25">
      <c r="E148" s="34"/>
      <c r="F148" s="34"/>
    </row>
    <row r="149" spans="5:6" x14ac:dyDescent="0.25">
      <c r="E149" s="34"/>
      <c r="F149" s="34"/>
    </row>
    <row r="150" spans="5:6" x14ac:dyDescent="0.25">
      <c r="E150" s="34"/>
      <c r="F150" s="34"/>
    </row>
    <row r="151" spans="5:6" x14ac:dyDescent="0.25">
      <c r="E151" s="34"/>
      <c r="F151" s="34"/>
    </row>
    <row r="152" spans="5:6" x14ac:dyDescent="0.25">
      <c r="E152" s="34"/>
      <c r="F152" s="34"/>
    </row>
    <row r="153" spans="5:6" x14ac:dyDescent="0.25">
      <c r="E153" s="34"/>
      <c r="F153" s="34"/>
    </row>
    <row r="154" spans="5:6" x14ac:dyDescent="0.25">
      <c r="E154" s="34"/>
      <c r="F154" s="34"/>
    </row>
    <row r="155" spans="5:6" x14ac:dyDescent="0.25">
      <c r="E155" s="34"/>
      <c r="F155" s="34"/>
    </row>
    <row r="156" spans="5:6" x14ac:dyDescent="0.25">
      <c r="E156" s="34"/>
      <c r="F156" s="34"/>
    </row>
    <row r="157" spans="5:6" x14ac:dyDescent="0.25">
      <c r="E157" s="34"/>
      <c r="F157" s="34"/>
    </row>
    <row r="158" spans="5:6" x14ac:dyDescent="0.25">
      <c r="E158" s="34"/>
      <c r="F158" s="34"/>
    </row>
    <row r="159" spans="5:6" x14ac:dyDescent="0.25">
      <c r="E159" s="34"/>
      <c r="F159" s="34"/>
    </row>
    <row r="160" spans="5:6" x14ac:dyDescent="0.25">
      <c r="E160" s="34"/>
      <c r="F160" s="34"/>
    </row>
    <row r="161" spans="5:6" x14ac:dyDescent="0.25">
      <c r="E161" s="34"/>
      <c r="F161" s="34"/>
    </row>
    <row r="162" spans="5:6" x14ac:dyDescent="0.25">
      <c r="E162" s="34"/>
      <c r="F162" s="34"/>
    </row>
    <row r="163" spans="5:6" x14ac:dyDescent="0.25">
      <c r="E163" s="34"/>
      <c r="F163" s="34"/>
    </row>
    <row r="164" spans="5:6" x14ac:dyDescent="0.25">
      <c r="E164" s="34"/>
      <c r="F164" s="34"/>
    </row>
    <row r="165" spans="5:6" x14ac:dyDescent="0.25">
      <c r="E165" s="34"/>
      <c r="F165" s="34"/>
    </row>
    <row r="166" spans="5:6" x14ac:dyDescent="0.25">
      <c r="E166" s="34"/>
      <c r="F166" s="34"/>
    </row>
    <row r="167" spans="5:6" x14ac:dyDescent="0.25">
      <c r="E167" s="34"/>
      <c r="F167" s="34"/>
    </row>
    <row r="168" spans="5:6" x14ac:dyDescent="0.25">
      <c r="E168" s="34"/>
      <c r="F168" s="34"/>
    </row>
    <row r="169" spans="5:6" x14ac:dyDescent="0.25">
      <c r="E169" s="34"/>
      <c r="F169" s="34"/>
    </row>
    <row r="170" spans="5:6" x14ac:dyDescent="0.25">
      <c r="E170" s="34"/>
      <c r="F170" s="34"/>
    </row>
    <row r="171" spans="5:6" x14ac:dyDescent="0.25">
      <c r="E171" s="34"/>
      <c r="F171" s="34"/>
    </row>
    <row r="172" spans="5:6" x14ac:dyDescent="0.25">
      <c r="E172" s="34"/>
      <c r="F172" s="34"/>
    </row>
    <row r="173" spans="5:6" x14ac:dyDescent="0.25">
      <c r="E173" s="34"/>
      <c r="F173" s="34"/>
    </row>
    <row r="174" spans="5:6" x14ac:dyDescent="0.25">
      <c r="E174" s="34"/>
      <c r="F174" s="34"/>
    </row>
    <row r="175" spans="5:6" x14ac:dyDescent="0.25">
      <c r="E175" s="34"/>
      <c r="F175" s="34"/>
    </row>
    <row r="176" spans="5:6" x14ac:dyDescent="0.25">
      <c r="E176" s="34"/>
      <c r="F176" s="34"/>
    </row>
    <row r="177" spans="5:6" x14ac:dyDescent="0.25">
      <c r="E177" s="34"/>
      <c r="F177" s="34"/>
    </row>
    <row r="178" spans="5:6" x14ac:dyDescent="0.25">
      <c r="E178" s="34"/>
      <c r="F178" s="34"/>
    </row>
    <row r="179" spans="5:6" x14ac:dyDescent="0.25">
      <c r="E179" s="34"/>
      <c r="F179" s="34"/>
    </row>
    <row r="180" spans="5:6" x14ac:dyDescent="0.25">
      <c r="E180" s="34"/>
      <c r="F180" s="34"/>
    </row>
    <row r="181" spans="5:6" x14ac:dyDescent="0.25">
      <c r="E181" s="34"/>
      <c r="F181" s="34"/>
    </row>
    <row r="182" spans="5:6" x14ac:dyDescent="0.25">
      <c r="E182" s="34"/>
      <c r="F182" s="34"/>
    </row>
    <row r="183" spans="5:6" x14ac:dyDescent="0.25">
      <c r="E183" s="34"/>
      <c r="F183" s="34"/>
    </row>
    <row r="184" spans="5:6" x14ac:dyDescent="0.25">
      <c r="E184" s="34"/>
      <c r="F184" s="34"/>
    </row>
    <row r="185" spans="5:6" x14ac:dyDescent="0.25">
      <c r="E185" s="34"/>
      <c r="F185" s="34"/>
    </row>
    <row r="186" spans="5:6" x14ac:dyDescent="0.25">
      <c r="E186" s="34"/>
      <c r="F186" s="34"/>
    </row>
    <row r="187" spans="5:6" x14ac:dyDescent="0.25">
      <c r="E187" s="34"/>
      <c r="F187" s="34"/>
    </row>
    <row r="188" spans="5:6" x14ac:dyDescent="0.25">
      <c r="E188" s="34"/>
      <c r="F188" s="34"/>
    </row>
    <row r="189" spans="5:6" x14ac:dyDescent="0.25">
      <c r="E189" s="34"/>
      <c r="F189" s="34"/>
    </row>
    <row r="190" spans="5:6" x14ac:dyDescent="0.25">
      <c r="E190" s="34"/>
      <c r="F190" s="34"/>
    </row>
    <row r="191" spans="5:6" x14ac:dyDescent="0.25">
      <c r="E191" s="34"/>
      <c r="F191" s="34"/>
    </row>
    <row r="192" spans="5:6" x14ac:dyDescent="0.25">
      <c r="E192" s="34"/>
      <c r="F192" s="34"/>
    </row>
    <row r="193" spans="5:6" x14ac:dyDescent="0.25">
      <c r="E193" s="34"/>
      <c r="F193" s="34"/>
    </row>
    <row r="194" spans="5:6" x14ac:dyDescent="0.25">
      <c r="E194" s="34"/>
      <c r="F194" s="34"/>
    </row>
    <row r="195" spans="5:6" x14ac:dyDescent="0.25">
      <c r="E195" s="34"/>
      <c r="F195" s="34"/>
    </row>
    <row r="196" spans="5:6" x14ac:dyDescent="0.25">
      <c r="E196" s="34"/>
      <c r="F196" s="34"/>
    </row>
    <row r="197" spans="5:6" x14ac:dyDescent="0.25">
      <c r="E197" s="34"/>
      <c r="F197" s="34"/>
    </row>
    <row r="198" spans="5:6" x14ac:dyDescent="0.25">
      <c r="E198" s="34"/>
      <c r="F198" s="34"/>
    </row>
    <row r="199" spans="5:6" x14ac:dyDescent="0.25">
      <c r="E199" s="34"/>
      <c r="F199" s="34"/>
    </row>
    <row r="200" spans="5:6" x14ac:dyDescent="0.25">
      <c r="E200" s="34"/>
      <c r="F200" s="34"/>
    </row>
    <row r="201" spans="5:6" x14ac:dyDescent="0.25">
      <c r="E201" s="34"/>
      <c r="F201" s="34"/>
    </row>
    <row r="202" spans="5:6" x14ac:dyDescent="0.25">
      <c r="E202" s="34"/>
      <c r="F202" s="34"/>
    </row>
    <row r="203" spans="5:6" x14ac:dyDescent="0.25">
      <c r="E203" s="34"/>
      <c r="F203" s="34"/>
    </row>
    <row r="204" spans="5:6" x14ac:dyDescent="0.25">
      <c r="E204" s="34"/>
      <c r="F204" s="34"/>
    </row>
    <row r="205" spans="5:6" x14ac:dyDescent="0.25">
      <c r="E205" s="34"/>
      <c r="F205" s="34"/>
    </row>
    <row r="206" spans="5:6" x14ac:dyDescent="0.25">
      <c r="E206" s="34"/>
      <c r="F206" s="34"/>
    </row>
    <row r="207" spans="5:6" x14ac:dyDescent="0.25">
      <c r="E207" s="34"/>
      <c r="F207" s="34"/>
    </row>
    <row r="208" spans="5:6" x14ac:dyDescent="0.25">
      <c r="E208" s="34"/>
      <c r="F208" s="34"/>
    </row>
    <row r="209" spans="5:6" x14ac:dyDescent="0.25">
      <c r="E209" s="34"/>
      <c r="F209" s="34"/>
    </row>
    <row r="210" spans="5:6" x14ac:dyDescent="0.25">
      <c r="E210" s="34"/>
      <c r="F210" s="34"/>
    </row>
    <row r="211" spans="5:6" x14ac:dyDescent="0.25">
      <c r="E211" s="34"/>
      <c r="F211" s="34"/>
    </row>
    <row r="212" spans="5:6" x14ac:dyDescent="0.25">
      <c r="E212" s="34"/>
      <c r="F212" s="34"/>
    </row>
    <row r="213" spans="5:6" x14ac:dyDescent="0.25">
      <c r="E213" s="34"/>
      <c r="F213" s="34"/>
    </row>
    <row r="214" spans="5:6" x14ac:dyDescent="0.25">
      <c r="E214" s="34"/>
      <c r="F214" s="34"/>
    </row>
    <row r="215" spans="5:6" x14ac:dyDescent="0.25">
      <c r="E215" s="34"/>
      <c r="F215" s="34"/>
    </row>
    <row r="216" spans="5:6" x14ac:dyDescent="0.25">
      <c r="E216" s="34"/>
      <c r="F216" s="34"/>
    </row>
    <row r="217" spans="5:6" x14ac:dyDescent="0.25">
      <c r="E217" s="34"/>
      <c r="F217" s="34"/>
    </row>
    <row r="218" spans="5:6" x14ac:dyDescent="0.25">
      <c r="E218" s="34"/>
      <c r="F218" s="34"/>
    </row>
    <row r="219" spans="5:6" x14ac:dyDescent="0.25">
      <c r="E219" s="34"/>
      <c r="F219" s="34"/>
    </row>
    <row r="220" spans="5:6" x14ac:dyDescent="0.25">
      <c r="E220" s="34"/>
      <c r="F220" s="34"/>
    </row>
    <row r="221" spans="5:6" x14ac:dyDescent="0.25">
      <c r="E221" s="34"/>
      <c r="F221" s="34"/>
    </row>
    <row r="222" spans="5:6" x14ac:dyDescent="0.25">
      <c r="E222" s="34"/>
      <c r="F222" s="34"/>
    </row>
    <row r="223" spans="5:6" x14ac:dyDescent="0.25">
      <c r="E223" s="34"/>
      <c r="F223" s="34"/>
    </row>
    <row r="224" spans="5:6" x14ac:dyDescent="0.25">
      <c r="E224" s="34"/>
      <c r="F224" s="34"/>
    </row>
    <row r="225" spans="5:6" x14ac:dyDescent="0.25">
      <c r="E225" s="34"/>
      <c r="F225" s="34"/>
    </row>
    <row r="226" spans="5:6" x14ac:dyDescent="0.25">
      <c r="E226" s="34"/>
      <c r="F226" s="34"/>
    </row>
    <row r="227" spans="5:6" x14ac:dyDescent="0.25">
      <c r="E227" s="34"/>
      <c r="F227" s="34"/>
    </row>
    <row r="228" spans="5:6" x14ac:dyDescent="0.25">
      <c r="E228" s="34"/>
      <c r="F228" s="34"/>
    </row>
    <row r="229" spans="5:6" x14ac:dyDescent="0.25">
      <c r="E229" s="34"/>
      <c r="F229" s="34"/>
    </row>
    <row r="230" spans="5:6" x14ac:dyDescent="0.25">
      <c r="E230" s="34"/>
      <c r="F230" s="34"/>
    </row>
    <row r="231" spans="5:6" x14ac:dyDescent="0.25">
      <c r="E231" s="34"/>
      <c r="F231" s="34"/>
    </row>
    <row r="232" spans="5:6" x14ac:dyDescent="0.25">
      <c r="E232" s="34"/>
      <c r="F232" s="34"/>
    </row>
    <row r="233" spans="5:6" x14ac:dyDescent="0.25">
      <c r="E233" s="34"/>
      <c r="F233" s="34"/>
    </row>
    <row r="234" spans="5:6" x14ac:dyDescent="0.25">
      <c r="E234" s="34"/>
      <c r="F234" s="34"/>
    </row>
    <row r="235" spans="5:6" x14ac:dyDescent="0.25">
      <c r="E235" s="34"/>
      <c r="F235" s="34"/>
    </row>
    <row r="236" spans="5:6" x14ac:dyDescent="0.25">
      <c r="E236" s="34"/>
      <c r="F236" s="34"/>
    </row>
    <row r="237" spans="5:6" x14ac:dyDescent="0.25">
      <c r="E237" s="34"/>
      <c r="F237" s="34"/>
    </row>
    <row r="238" spans="5:6" x14ac:dyDescent="0.25">
      <c r="E238" s="34"/>
      <c r="F238" s="34"/>
    </row>
    <row r="239" spans="5:6" x14ac:dyDescent="0.25">
      <c r="E239" s="34"/>
      <c r="F239" s="34"/>
    </row>
    <row r="240" spans="5:6" x14ac:dyDescent="0.25">
      <c r="E240" s="34"/>
      <c r="F240" s="34"/>
    </row>
    <row r="241" spans="5:6" x14ac:dyDescent="0.25">
      <c r="E241" s="34"/>
      <c r="F241" s="34"/>
    </row>
    <row r="242" spans="5:6" x14ac:dyDescent="0.25">
      <c r="E242" s="34"/>
      <c r="F242" s="34"/>
    </row>
    <row r="243" spans="5:6" x14ac:dyDescent="0.25">
      <c r="E243" s="34"/>
      <c r="F243" s="34"/>
    </row>
    <row r="244" spans="5:6" x14ac:dyDescent="0.25">
      <c r="E244" s="34"/>
      <c r="F244" s="34"/>
    </row>
    <row r="245" spans="5:6" x14ac:dyDescent="0.25">
      <c r="E245" s="34"/>
      <c r="F245" s="34"/>
    </row>
    <row r="246" spans="5:6" x14ac:dyDescent="0.25">
      <c r="E246" s="34"/>
      <c r="F246" s="34"/>
    </row>
    <row r="247" spans="5:6" x14ac:dyDescent="0.25">
      <c r="E247" s="34"/>
      <c r="F247" s="34"/>
    </row>
    <row r="248" spans="5:6" x14ac:dyDescent="0.25">
      <c r="E248" s="34"/>
      <c r="F248" s="34"/>
    </row>
    <row r="249" spans="5:6" x14ac:dyDescent="0.25">
      <c r="E249" s="34"/>
      <c r="F249" s="34"/>
    </row>
    <row r="250" spans="5:6" x14ac:dyDescent="0.25">
      <c r="E250" s="34"/>
      <c r="F250" s="34"/>
    </row>
    <row r="251" spans="5:6" x14ac:dyDescent="0.25">
      <c r="E251" s="34"/>
      <c r="F251" s="34"/>
    </row>
    <row r="252" spans="5:6" x14ac:dyDescent="0.25">
      <c r="E252" s="34"/>
      <c r="F252" s="34"/>
    </row>
    <row r="253" spans="5:6" x14ac:dyDescent="0.25">
      <c r="E253" s="34"/>
      <c r="F253" s="34"/>
    </row>
    <row r="254" spans="5:6" x14ac:dyDescent="0.25">
      <c r="E254" s="34"/>
      <c r="F254" s="34"/>
    </row>
    <row r="255" spans="5:6" x14ac:dyDescent="0.25">
      <c r="E255" s="34"/>
      <c r="F255" s="34"/>
    </row>
    <row r="256" spans="5:6" x14ac:dyDescent="0.25">
      <c r="E256" s="34"/>
      <c r="F256" s="34"/>
    </row>
    <row r="257" spans="5:6" x14ac:dyDescent="0.25">
      <c r="E257" s="34"/>
      <c r="F257" s="34"/>
    </row>
    <row r="258" spans="5:6" x14ac:dyDescent="0.25">
      <c r="E258" s="34"/>
      <c r="F258" s="34"/>
    </row>
    <row r="259" spans="5:6" x14ac:dyDescent="0.25">
      <c r="E259" s="34"/>
      <c r="F259" s="34"/>
    </row>
    <row r="260" spans="5:6" x14ac:dyDescent="0.25">
      <c r="E260" s="34"/>
      <c r="F260" s="34"/>
    </row>
    <row r="261" spans="5:6" x14ac:dyDescent="0.25">
      <c r="E261" s="34"/>
      <c r="F261" s="34"/>
    </row>
    <row r="262" spans="5:6" x14ac:dyDescent="0.25">
      <c r="E262" s="34"/>
      <c r="F262" s="34"/>
    </row>
    <row r="263" spans="5:6" x14ac:dyDescent="0.25">
      <c r="E263" s="34"/>
      <c r="F263" s="34"/>
    </row>
    <row r="264" spans="5:6" x14ac:dyDescent="0.25">
      <c r="E264" s="34"/>
      <c r="F264" s="34"/>
    </row>
    <row r="265" spans="5:6" x14ac:dyDescent="0.25">
      <c r="E265" s="34"/>
      <c r="F265" s="34"/>
    </row>
    <row r="266" spans="5:6" x14ac:dyDescent="0.25">
      <c r="E266" s="34"/>
      <c r="F266" s="34"/>
    </row>
    <row r="267" spans="5:6" x14ac:dyDescent="0.25">
      <c r="E267" s="34"/>
      <c r="F267" s="34"/>
    </row>
    <row r="268" spans="5:6" x14ac:dyDescent="0.25">
      <c r="E268" s="34"/>
      <c r="F268" s="34"/>
    </row>
    <row r="269" spans="5:6" x14ac:dyDescent="0.25">
      <c r="E269" s="34"/>
      <c r="F269" s="34"/>
    </row>
    <row r="270" spans="5:6" x14ac:dyDescent="0.25">
      <c r="E270" s="34"/>
      <c r="F270" s="34"/>
    </row>
    <row r="271" spans="5:6" x14ac:dyDescent="0.25">
      <c r="E271" s="34"/>
      <c r="F271" s="34"/>
    </row>
    <row r="272" spans="5:6" x14ac:dyDescent="0.25">
      <c r="E272" s="34"/>
      <c r="F272" s="34"/>
    </row>
    <row r="273" spans="5:6" x14ac:dyDescent="0.25">
      <c r="E273" s="34"/>
      <c r="F273" s="34"/>
    </row>
    <row r="274" spans="5:6" x14ac:dyDescent="0.25">
      <c r="E274" s="34"/>
      <c r="F274" s="34"/>
    </row>
    <row r="275" spans="5:6" x14ac:dyDescent="0.25">
      <c r="E275" s="34"/>
      <c r="F275" s="34"/>
    </row>
    <row r="276" spans="5:6" x14ac:dyDescent="0.25">
      <c r="E276" s="34"/>
      <c r="F276" s="34"/>
    </row>
    <row r="277" spans="5:6" x14ac:dyDescent="0.25">
      <c r="E277" s="34"/>
      <c r="F277" s="34"/>
    </row>
    <row r="278" spans="5:6" x14ac:dyDescent="0.25">
      <c r="E278" s="34"/>
      <c r="F278" s="34"/>
    </row>
    <row r="279" spans="5:6" x14ac:dyDescent="0.25">
      <c r="E279" s="34"/>
      <c r="F279" s="34"/>
    </row>
    <row r="280" spans="5:6" x14ac:dyDescent="0.25">
      <c r="E280" s="34"/>
      <c r="F280" s="34"/>
    </row>
    <row r="281" spans="5:6" x14ac:dyDescent="0.25">
      <c r="E281" s="34"/>
      <c r="F281" s="34"/>
    </row>
    <row r="282" spans="5:6" x14ac:dyDescent="0.25">
      <c r="E282" s="34"/>
      <c r="F282" s="34"/>
    </row>
    <row r="283" spans="5:6" x14ac:dyDescent="0.25">
      <c r="E283" s="34"/>
      <c r="F283" s="34"/>
    </row>
    <row r="284" spans="5:6" x14ac:dyDescent="0.25">
      <c r="E284" s="34"/>
      <c r="F284" s="34"/>
    </row>
    <row r="285" spans="5:6" x14ac:dyDescent="0.25">
      <c r="E285" s="34"/>
      <c r="F285" s="34"/>
    </row>
    <row r="286" spans="5:6" x14ac:dyDescent="0.25">
      <c r="E286" s="34"/>
      <c r="F286" s="34"/>
    </row>
    <row r="287" spans="5:6" x14ac:dyDescent="0.25">
      <c r="E287" s="34"/>
      <c r="F287" s="34"/>
    </row>
    <row r="288" spans="5:6" x14ac:dyDescent="0.25">
      <c r="E288" s="34"/>
      <c r="F288" s="34"/>
    </row>
    <row r="289" spans="5:6" x14ac:dyDescent="0.25">
      <c r="E289" s="34"/>
      <c r="F289" s="34"/>
    </row>
    <row r="290" spans="5:6" x14ac:dyDescent="0.25">
      <c r="E290" s="34"/>
      <c r="F290" s="34"/>
    </row>
    <row r="291" spans="5:6" x14ac:dyDescent="0.25">
      <c r="E291" s="34"/>
      <c r="F291" s="34"/>
    </row>
    <row r="292" spans="5:6" x14ac:dyDescent="0.25">
      <c r="E292" s="34"/>
      <c r="F292" s="34"/>
    </row>
    <row r="293" spans="5:6" x14ac:dyDescent="0.25">
      <c r="E293" s="34"/>
      <c r="F293" s="34"/>
    </row>
    <row r="294" spans="5:6" x14ac:dyDescent="0.25">
      <c r="E294" s="34"/>
      <c r="F294" s="34"/>
    </row>
    <row r="295" spans="5:6" x14ac:dyDescent="0.25">
      <c r="E295" s="34"/>
      <c r="F295" s="34"/>
    </row>
    <row r="296" spans="5:6" x14ac:dyDescent="0.25">
      <c r="E296" s="34"/>
      <c r="F296" s="34"/>
    </row>
    <row r="297" spans="5:6" x14ac:dyDescent="0.25">
      <c r="E297" s="34"/>
      <c r="F297" s="34"/>
    </row>
    <row r="298" spans="5:6" x14ac:dyDescent="0.25">
      <c r="E298" s="34"/>
      <c r="F298" s="34"/>
    </row>
    <row r="299" spans="5:6" x14ac:dyDescent="0.25">
      <c r="E299" s="34"/>
      <c r="F299" s="34"/>
    </row>
    <row r="300" spans="5:6" x14ac:dyDescent="0.25">
      <c r="E300" s="34"/>
      <c r="F300" s="34"/>
    </row>
    <row r="301" spans="5:6" x14ac:dyDescent="0.25">
      <c r="E301" s="34"/>
      <c r="F301" s="34"/>
    </row>
    <row r="302" spans="5:6" x14ac:dyDescent="0.25">
      <c r="E302" s="34"/>
      <c r="F302" s="34"/>
    </row>
    <row r="303" spans="5:6" x14ac:dyDescent="0.25">
      <c r="E303" s="34"/>
      <c r="F303" s="34"/>
    </row>
    <row r="304" spans="5:6" x14ac:dyDescent="0.25">
      <c r="E304" s="34"/>
      <c r="F304" s="34"/>
    </row>
    <row r="305" spans="5:6" x14ac:dyDescent="0.25">
      <c r="E305" s="34"/>
      <c r="F305" s="34"/>
    </row>
    <row r="306" spans="5:6" x14ac:dyDescent="0.25">
      <c r="E306" s="34"/>
      <c r="F306" s="34"/>
    </row>
    <row r="307" spans="5:6" x14ac:dyDescent="0.25">
      <c r="E307" s="34"/>
      <c r="F307" s="34"/>
    </row>
    <row r="308" spans="5:6" x14ac:dyDescent="0.25">
      <c r="E308" s="34"/>
      <c r="F308" s="34"/>
    </row>
    <row r="309" spans="5:6" x14ac:dyDescent="0.25">
      <c r="E309" s="34"/>
      <c r="F309" s="34"/>
    </row>
    <row r="310" spans="5:6" x14ac:dyDescent="0.25">
      <c r="E310" s="34"/>
      <c r="F310" s="34"/>
    </row>
    <row r="311" spans="5:6" x14ac:dyDescent="0.25">
      <c r="E311" s="34"/>
      <c r="F311" s="34"/>
    </row>
    <row r="312" spans="5:6" x14ac:dyDescent="0.25">
      <c r="E312" s="34"/>
      <c r="F312" s="34"/>
    </row>
    <row r="313" spans="5:6" x14ac:dyDescent="0.25">
      <c r="E313" s="34"/>
      <c r="F313" s="34"/>
    </row>
    <row r="314" spans="5:6" x14ac:dyDescent="0.25">
      <c r="E314" s="34"/>
      <c r="F314" s="34"/>
    </row>
    <row r="315" spans="5:6" x14ac:dyDescent="0.25">
      <c r="E315" s="34"/>
      <c r="F315" s="34"/>
    </row>
    <row r="316" spans="5:6" x14ac:dyDescent="0.25">
      <c r="E316" s="34"/>
      <c r="F316" s="34"/>
    </row>
    <row r="317" spans="5:6" x14ac:dyDescent="0.25">
      <c r="E317" s="34"/>
      <c r="F317" s="34"/>
    </row>
    <row r="318" spans="5:6" x14ac:dyDescent="0.25">
      <c r="E318" s="34"/>
      <c r="F318" s="34"/>
    </row>
    <row r="319" spans="5:6" x14ac:dyDescent="0.25">
      <c r="E319" s="34"/>
      <c r="F319" s="34"/>
    </row>
    <row r="320" spans="5:6" x14ac:dyDescent="0.25">
      <c r="E320" s="34"/>
      <c r="F320" s="34"/>
    </row>
    <row r="321" spans="5:6" x14ac:dyDescent="0.25">
      <c r="E321" s="34"/>
      <c r="F321" s="34"/>
    </row>
    <row r="322" spans="5:6" x14ac:dyDescent="0.25">
      <c r="E322" s="34"/>
      <c r="F322" s="34"/>
    </row>
    <row r="323" spans="5:6" x14ac:dyDescent="0.25">
      <c r="E323" s="34"/>
      <c r="F323" s="34"/>
    </row>
    <row r="324" spans="5:6" x14ac:dyDescent="0.25">
      <c r="E324" s="34"/>
      <c r="F324" s="34"/>
    </row>
    <row r="325" spans="5:6" x14ac:dyDescent="0.25">
      <c r="E325" s="34"/>
      <c r="F325" s="34"/>
    </row>
    <row r="326" spans="5:6" x14ac:dyDescent="0.25">
      <c r="E326" s="34"/>
      <c r="F326" s="34"/>
    </row>
    <row r="327" spans="5:6" x14ac:dyDescent="0.25">
      <c r="E327" s="34"/>
      <c r="F327" s="34"/>
    </row>
    <row r="328" spans="5:6" x14ac:dyDescent="0.25">
      <c r="E328" s="34"/>
      <c r="F328" s="34"/>
    </row>
    <row r="329" spans="5:6" x14ac:dyDescent="0.25">
      <c r="E329" s="34"/>
      <c r="F329" s="34"/>
    </row>
    <row r="330" spans="5:6" x14ac:dyDescent="0.25">
      <c r="E330" s="34"/>
      <c r="F330" s="34"/>
    </row>
    <row r="331" spans="5:6" x14ac:dyDescent="0.25">
      <c r="E331" s="34"/>
      <c r="F331" s="34"/>
    </row>
    <row r="332" spans="5:6" x14ac:dyDescent="0.25">
      <c r="E332" s="34"/>
      <c r="F332" s="34"/>
    </row>
    <row r="333" spans="5:6" x14ac:dyDescent="0.25">
      <c r="E333" s="34"/>
      <c r="F333" s="34"/>
    </row>
    <row r="334" spans="5:6" x14ac:dyDescent="0.25">
      <c r="E334" s="34"/>
      <c r="F334" s="34"/>
    </row>
    <row r="335" spans="5:6" x14ac:dyDescent="0.25">
      <c r="E335" s="34"/>
      <c r="F335" s="34"/>
    </row>
    <row r="336" spans="5:6" x14ac:dyDescent="0.25">
      <c r="E336" s="34"/>
      <c r="F336" s="34"/>
    </row>
    <row r="337" spans="5:6" x14ac:dyDescent="0.25">
      <c r="E337" s="34"/>
      <c r="F337" s="34"/>
    </row>
    <row r="338" spans="5:6" x14ac:dyDescent="0.25">
      <c r="E338" s="34"/>
      <c r="F338" s="34"/>
    </row>
    <row r="339" spans="5:6" x14ac:dyDescent="0.25">
      <c r="E339" s="34"/>
      <c r="F339" s="34"/>
    </row>
    <row r="340" spans="5:6" x14ac:dyDescent="0.25">
      <c r="E340" s="34"/>
      <c r="F340" s="34"/>
    </row>
    <row r="341" spans="5:6" x14ac:dyDescent="0.25">
      <c r="E341" s="34"/>
      <c r="F341" s="34"/>
    </row>
    <row r="342" spans="5:6" x14ac:dyDescent="0.25">
      <c r="E342" s="34"/>
      <c r="F342" s="34"/>
    </row>
    <row r="343" spans="5:6" x14ac:dyDescent="0.25">
      <c r="E343" s="34"/>
      <c r="F343" s="34"/>
    </row>
    <row r="344" spans="5:6" x14ac:dyDescent="0.25">
      <c r="E344" s="34"/>
      <c r="F344" s="34"/>
    </row>
    <row r="345" spans="5:6" x14ac:dyDescent="0.25">
      <c r="E345" s="34"/>
      <c r="F345" s="34"/>
    </row>
    <row r="346" spans="5:6" x14ac:dyDescent="0.25">
      <c r="E346" s="34"/>
      <c r="F346" s="34"/>
    </row>
    <row r="347" spans="5:6" x14ac:dyDescent="0.25">
      <c r="E347" s="34"/>
      <c r="F347" s="34"/>
    </row>
    <row r="348" spans="5:6" x14ac:dyDescent="0.25">
      <c r="E348" s="34"/>
      <c r="F348" s="34"/>
    </row>
    <row r="349" spans="5:6" x14ac:dyDescent="0.25">
      <c r="E349" s="34"/>
      <c r="F349" s="34"/>
    </row>
    <row r="350" spans="5:6" x14ac:dyDescent="0.25">
      <c r="E350" s="34"/>
      <c r="F350" s="34"/>
    </row>
    <row r="351" spans="5:6" x14ac:dyDescent="0.25">
      <c r="E351" s="34"/>
      <c r="F351" s="34"/>
    </row>
    <row r="352" spans="5:6" x14ac:dyDescent="0.25">
      <c r="E352" s="34"/>
      <c r="F352" s="34"/>
    </row>
    <row r="353" spans="5:6" x14ac:dyDescent="0.25">
      <c r="E353" s="34"/>
      <c r="F353" s="34"/>
    </row>
    <row r="354" spans="5:6" x14ac:dyDescent="0.25">
      <c r="E354" s="34"/>
      <c r="F354" s="34"/>
    </row>
    <row r="355" spans="5:6" x14ac:dyDescent="0.25">
      <c r="E355" s="34"/>
      <c r="F355" s="34"/>
    </row>
    <row r="356" spans="5:6" x14ac:dyDescent="0.25">
      <c r="E356" s="34"/>
      <c r="F356" s="34"/>
    </row>
    <row r="357" spans="5:6" x14ac:dyDescent="0.25">
      <c r="E357" s="34"/>
      <c r="F357" s="34"/>
    </row>
    <row r="358" spans="5:6" x14ac:dyDescent="0.25">
      <c r="E358" s="34"/>
      <c r="F358" s="34"/>
    </row>
    <row r="359" spans="5:6" x14ac:dyDescent="0.25">
      <c r="E359" s="34"/>
      <c r="F359" s="34"/>
    </row>
    <row r="360" spans="5:6" x14ac:dyDescent="0.25">
      <c r="E360" s="34"/>
      <c r="F360" s="34"/>
    </row>
    <row r="361" spans="5:6" x14ac:dyDescent="0.25">
      <c r="E361" s="34"/>
      <c r="F361" s="34"/>
    </row>
    <row r="362" spans="5:6" x14ac:dyDescent="0.25">
      <c r="E362" s="34"/>
      <c r="F362" s="34"/>
    </row>
    <row r="363" spans="5:6" x14ac:dyDescent="0.25">
      <c r="E363" s="34"/>
      <c r="F363" s="34"/>
    </row>
    <row r="364" spans="5:6" x14ac:dyDescent="0.25">
      <c r="E364" s="34"/>
      <c r="F364" s="34"/>
    </row>
    <row r="365" spans="5:6" x14ac:dyDescent="0.25">
      <c r="E365" s="34"/>
      <c r="F365" s="34"/>
    </row>
    <row r="366" spans="5:6" x14ac:dyDescent="0.25">
      <c r="E366" s="34"/>
      <c r="F366" s="34"/>
    </row>
    <row r="367" spans="5:6" x14ac:dyDescent="0.25">
      <c r="E367" s="34"/>
      <c r="F367" s="34"/>
    </row>
    <row r="368" spans="5:6" x14ac:dyDescent="0.25">
      <c r="E368" s="34"/>
      <c r="F368" s="34"/>
    </row>
    <row r="369" spans="5:6" x14ac:dyDescent="0.25">
      <c r="E369" s="34"/>
      <c r="F369" s="34"/>
    </row>
    <row r="370" spans="5:6" x14ac:dyDescent="0.25">
      <c r="E370" s="34"/>
      <c r="F370" s="34"/>
    </row>
    <row r="371" spans="5:6" x14ac:dyDescent="0.25">
      <c r="E371" s="34"/>
      <c r="F371" s="34"/>
    </row>
    <row r="372" spans="5:6" x14ac:dyDescent="0.25">
      <c r="E372" s="34"/>
      <c r="F372" s="34"/>
    </row>
    <row r="373" spans="5:6" x14ac:dyDescent="0.25">
      <c r="E373" s="34"/>
      <c r="F373" s="34"/>
    </row>
    <row r="374" spans="5:6" x14ac:dyDescent="0.25">
      <c r="E374" s="34"/>
      <c r="F374" s="34"/>
    </row>
    <row r="375" spans="5:6" x14ac:dyDescent="0.25">
      <c r="E375" s="34"/>
      <c r="F375" s="34"/>
    </row>
    <row r="376" spans="5:6" x14ac:dyDescent="0.25">
      <c r="E376" s="34"/>
      <c r="F376" s="34"/>
    </row>
    <row r="377" spans="5:6" x14ac:dyDescent="0.25">
      <c r="E377" s="34"/>
      <c r="F377" s="34"/>
    </row>
    <row r="378" spans="5:6" x14ac:dyDescent="0.25">
      <c r="E378" s="34"/>
      <c r="F378" s="34"/>
    </row>
    <row r="379" spans="5:6" x14ac:dyDescent="0.25">
      <c r="E379" s="34"/>
      <c r="F379" s="34"/>
    </row>
    <row r="380" spans="5:6" x14ac:dyDescent="0.25">
      <c r="E380" s="34"/>
      <c r="F380" s="34"/>
    </row>
    <row r="381" spans="5:6" x14ac:dyDescent="0.25">
      <c r="E381" s="34"/>
      <c r="F381" s="34"/>
    </row>
    <row r="382" spans="5:6" x14ac:dyDescent="0.25">
      <c r="E382" s="34"/>
      <c r="F382" s="34"/>
    </row>
    <row r="383" spans="5:6" x14ac:dyDescent="0.25">
      <c r="E383" s="34"/>
      <c r="F383" s="34"/>
    </row>
    <row r="384" spans="5:6" x14ac:dyDescent="0.25">
      <c r="E384" s="34"/>
      <c r="F384" s="34"/>
    </row>
    <row r="385" spans="5:6" x14ac:dyDescent="0.25">
      <c r="E385" s="34"/>
      <c r="F385" s="34"/>
    </row>
    <row r="386" spans="5:6" x14ac:dyDescent="0.25">
      <c r="E386" s="34"/>
      <c r="F386" s="34"/>
    </row>
    <row r="387" spans="5:6" x14ac:dyDescent="0.25">
      <c r="E387" s="34"/>
      <c r="F387" s="34"/>
    </row>
    <row r="388" spans="5:6" x14ac:dyDescent="0.25">
      <c r="E388" s="34"/>
      <c r="F388" s="34"/>
    </row>
    <row r="389" spans="5:6" x14ac:dyDescent="0.25">
      <c r="E389" s="34"/>
      <c r="F389" s="34"/>
    </row>
    <row r="390" spans="5:6" x14ac:dyDescent="0.25">
      <c r="E390" s="34"/>
      <c r="F390" s="34"/>
    </row>
    <row r="391" spans="5:6" x14ac:dyDescent="0.25">
      <c r="E391" s="34"/>
      <c r="F391" s="34"/>
    </row>
    <row r="392" spans="5:6" x14ac:dyDescent="0.25">
      <c r="E392" s="34"/>
      <c r="F392" s="34"/>
    </row>
    <row r="393" spans="5:6" x14ac:dyDescent="0.25">
      <c r="E393" s="34"/>
      <c r="F393" s="34"/>
    </row>
    <row r="394" spans="5:6" x14ac:dyDescent="0.25">
      <c r="E394" s="34"/>
      <c r="F394" s="34"/>
    </row>
    <row r="395" spans="5:6" x14ac:dyDescent="0.25">
      <c r="E395" s="34"/>
      <c r="F395" s="34"/>
    </row>
    <row r="396" spans="5:6" x14ac:dyDescent="0.25">
      <c r="E396" s="34"/>
      <c r="F396" s="34"/>
    </row>
    <row r="397" spans="5:6" x14ac:dyDescent="0.25">
      <c r="E397" s="34"/>
      <c r="F397" s="34"/>
    </row>
    <row r="398" spans="5:6" x14ac:dyDescent="0.25">
      <c r="E398" s="34"/>
      <c r="F398" s="34"/>
    </row>
    <row r="399" spans="5:6" x14ac:dyDescent="0.25">
      <c r="E399" s="34"/>
      <c r="F399" s="34"/>
    </row>
    <row r="400" spans="5:6" x14ac:dyDescent="0.25">
      <c r="E400" s="34"/>
      <c r="F400" s="34"/>
    </row>
    <row r="401" spans="5:6" x14ac:dyDescent="0.25">
      <c r="E401" s="34"/>
      <c r="F401" s="34"/>
    </row>
    <row r="402" spans="5:6" x14ac:dyDescent="0.25">
      <c r="E402" s="34"/>
      <c r="F402" s="34"/>
    </row>
    <row r="403" spans="5:6" x14ac:dyDescent="0.25">
      <c r="E403" s="34"/>
      <c r="F403" s="34"/>
    </row>
    <row r="404" spans="5:6" x14ac:dyDescent="0.25">
      <c r="E404" s="34"/>
      <c r="F404" s="34"/>
    </row>
    <row r="405" spans="5:6" x14ac:dyDescent="0.25">
      <c r="E405" s="34"/>
      <c r="F405" s="34"/>
    </row>
    <row r="406" spans="5:6" x14ac:dyDescent="0.25">
      <c r="E406" s="34"/>
      <c r="F406" s="34"/>
    </row>
    <row r="407" spans="5:6" x14ac:dyDescent="0.25">
      <c r="E407" s="34"/>
      <c r="F407" s="34"/>
    </row>
    <row r="408" spans="5:6" x14ac:dyDescent="0.25">
      <c r="E408" s="34"/>
      <c r="F408" s="34"/>
    </row>
    <row r="409" spans="5:6" x14ac:dyDescent="0.25">
      <c r="E409" s="34"/>
      <c r="F409" s="34"/>
    </row>
    <row r="410" spans="5:6" x14ac:dyDescent="0.25">
      <c r="E410" s="34"/>
      <c r="F410" s="34"/>
    </row>
    <row r="411" spans="5:6" x14ac:dyDescent="0.25">
      <c r="E411" s="34"/>
      <c r="F411" s="34"/>
    </row>
    <row r="412" spans="5:6" x14ac:dyDescent="0.25">
      <c r="E412" s="34"/>
      <c r="F412" s="34"/>
    </row>
    <row r="413" spans="5:6" x14ac:dyDescent="0.25">
      <c r="E413" s="34"/>
      <c r="F413" s="34"/>
    </row>
    <row r="414" spans="5:6" x14ac:dyDescent="0.25">
      <c r="E414" s="34"/>
      <c r="F414" s="34"/>
    </row>
    <row r="415" spans="5:6" x14ac:dyDescent="0.25">
      <c r="E415" s="34"/>
      <c r="F415" s="34"/>
    </row>
    <row r="416" spans="5:6" x14ac:dyDescent="0.25">
      <c r="E416" s="34"/>
      <c r="F416" s="34"/>
    </row>
    <row r="417" spans="5:6" x14ac:dyDescent="0.25">
      <c r="E417" s="34"/>
      <c r="F417" s="34"/>
    </row>
    <row r="418" spans="5:6" x14ac:dyDescent="0.25">
      <c r="E418" s="34"/>
      <c r="F418" s="34"/>
    </row>
    <row r="419" spans="5:6" x14ac:dyDescent="0.25">
      <c r="E419" s="34"/>
      <c r="F419" s="34"/>
    </row>
    <row r="420" spans="5:6" x14ac:dyDescent="0.25">
      <c r="E420" s="34"/>
      <c r="F420" s="34"/>
    </row>
    <row r="421" spans="5:6" x14ac:dyDescent="0.25">
      <c r="E421" s="34"/>
      <c r="F421" s="34"/>
    </row>
    <row r="422" spans="5:6" x14ac:dyDescent="0.25">
      <c r="E422" s="34"/>
      <c r="F422" s="34"/>
    </row>
    <row r="423" spans="5:6" x14ac:dyDescent="0.25">
      <c r="E423" s="34"/>
      <c r="F423" s="34"/>
    </row>
    <row r="424" spans="5:6" x14ac:dyDescent="0.25">
      <c r="E424" s="34"/>
      <c r="F424" s="34"/>
    </row>
    <row r="425" spans="5:6" x14ac:dyDescent="0.25">
      <c r="E425" s="34"/>
      <c r="F425" s="34"/>
    </row>
    <row r="426" spans="5:6" x14ac:dyDescent="0.25">
      <c r="E426" s="34"/>
      <c r="F426" s="34"/>
    </row>
    <row r="427" spans="5:6" x14ac:dyDescent="0.25">
      <c r="E427" s="34"/>
      <c r="F427" s="34"/>
    </row>
    <row r="428" spans="5:6" x14ac:dyDescent="0.25">
      <c r="E428" s="34"/>
      <c r="F428" s="34"/>
    </row>
    <row r="429" spans="5:6" x14ac:dyDescent="0.25">
      <c r="E429" s="34"/>
      <c r="F429" s="34"/>
    </row>
    <row r="430" spans="5:6" x14ac:dyDescent="0.25">
      <c r="E430" s="34"/>
      <c r="F430" s="34"/>
    </row>
    <row r="431" spans="5:6" x14ac:dyDescent="0.25">
      <c r="E431" s="34"/>
      <c r="F431" s="34"/>
    </row>
    <row r="432" spans="5:6" x14ac:dyDescent="0.25">
      <c r="E432" s="34"/>
      <c r="F432" s="34"/>
    </row>
    <row r="433" spans="5:6" x14ac:dyDescent="0.25">
      <c r="E433" s="34"/>
      <c r="F433" s="34"/>
    </row>
    <row r="434" spans="5:6" x14ac:dyDescent="0.25">
      <c r="E434" s="34"/>
      <c r="F434" s="34"/>
    </row>
    <row r="435" spans="5:6" x14ac:dyDescent="0.25">
      <c r="E435" s="34"/>
      <c r="F435" s="34"/>
    </row>
    <row r="436" spans="5:6" x14ac:dyDescent="0.25">
      <c r="E436" s="34"/>
      <c r="F436" s="34"/>
    </row>
    <row r="437" spans="5:6" x14ac:dyDescent="0.25">
      <c r="E437" s="34"/>
      <c r="F437" s="34"/>
    </row>
    <row r="438" spans="5:6" x14ac:dyDescent="0.25">
      <c r="E438" s="34"/>
      <c r="F438" s="34"/>
    </row>
    <row r="439" spans="5:6" x14ac:dyDescent="0.25">
      <c r="E439" s="34"/>
      <c r="F439" s="34"/>
    </row>
    <row r="440" spans="5:6" x14ac:dyDescent="0.25">
      <c r="E440" s="34"/>
      <c r="F440" s="34"/>
    </row>
    <row r="441" spans="5:6" x14ac:dyDescent="0.25">
      <c r="E441" s="34"/>
      <c r="F441" s="34"/>
    </row>
    <row r="442" spans="5:6" x14ac:dyDescent="0.25">
      <c r="E442" s="34"/>
      <c r="F442" s="34"/>
    </row>
    <row r="443" spans="5:6" x14ac:dyDescent="0.25">
      <c r="E443" s="34"/>
      <c r="F443" s="34"/>
    </row>
    <row r="444" spans="5:6" x14ac:dyDescent="0.25">
      <c r="E444" s="34"/>
      <c r="F444" s="34"/>
    </row>
    <row r="445" spans="5:6" x14ac:dyDescent="0.25">
      <c r="E445" s="34"/>
      <c r="F445" s="34"/>
    </row>
    <row r="446" spans="5:6" x14ac:dyDescent="0.25">
      <c r="E446" s="34"/>
      <c r="F446" s="34"/>
    </row>
    <row r="447" spans="5:6" x14ac:dyDescent="0.25">
      <c r="E447" s="34"/>
      <c r="F447" s="34"/>
    </row>
    <row r="448" spans="5:6" x14ac:dyDescent="0.25">
      <c r="E448" s="34"/>
      <c r="F448" s="34"/>
    </row>
    <row r="449" spans="5:6" x14ac:dyDescent="0.25">
      <c r="E449" s="34"/>
      <c r="F449" s="34"/>
    </row>
    <row r="450" spans="5:6" x14ac:dyDescent="0.25">
      <c r="E450" s="34"/>
      <c r="F450" s="34"/>
    </row>
    <row r="451" spans="5:6" x14ac:dyDescent="0.25">
      <c r="E451" s="34"/>
      <c r="F451" s="34"/>
    </row>
    <row r="452" spans="5:6" x14ac:dyDescent="0.25">
      <c r="E452" s="34"/>
      <c r="F452" s="34"/>
    </row>
    <row r="453" spans="5:6" x14ac:dyDescent="0.25">
      <c r="E453" s="34"/>
      <c r="F453" s="34"/>
    </row>
    <row r="454" spans="5:6" x14ac:dyDescent="0.25">
      <c r="E454" s="34"/>
      <c r="F454" s="34"/>
    </row>
    <row r="455" spans="5:6" x14ac:dyDescent="0.25">
      <c r="E455" s="34"/>
      <c r="F455" s="34"/>
    </row>
    <row r="456" spans="5:6" x14ac:dyDescent="0.25">
      <c r="E456" s="34"/>
      <c r="F456" s="34"/>
    </row>
    <row r="457" spans="5:6" x14ac:dyDescent="0.25">
      <c r="E457" s="34"/>
      <c r="F457" s="34"/>
    </row>
    <row r="458" spans="5:6" x14ac:dyDescent="0.25">
      <c r="E458" s="34"/>
      <c r="F458" s="34"/>
    </row>
    <row r="459" spans="5:6" x14ac:dyDescent="0.25">
      <c r="E459" s="34"/>
      <c r="F459" s="34"/>
    </row>
    <row r="460" spans="5:6" x14ac:dyDescent="0.25">
      <c r="E460" s="34"/>
      <c r="F460" s="34"/>
    </row>
  </sheetData>
  <mergeCells count="3">
    <mergeCell ref="J2:M2"/>
    <mergeCell ref="B1:P1"/>
    <mergeCell ref="L81:R10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3F52B-96BF-4C3B-AB1A-EC5F62137C43}">
  <dimension ref="A1:H18"/>
  <sheetViews>
    <sheetView workbookViewId="0">
      <selection activeCell="B4" sqref="B4:B11"/>
    </sheetView>
  </sheetViews>
  <sheetFormatPr defaultRowHeight="15" x14ac:dyDescent="0.25"/>
  <cols>
    <col min="1" max="1" width="13.7109375" bestFit="1" customWidth="1"/>
    <col min="2" max="2" width="23.28515625" bestFit="1" customWidth="1"/>
    <col min="3" max="3" width="20" bestFit="1" customWidth="1"/>
    <col min="4" max="6" width="19" bestFit="1" customWidth="1"/>
  </cols>
  <sheetData>
    <row r="1" spans="1:8" x14ac:dyDescent="0.25">
      <c r="A1" s="10" t="s">
        <v>0</v>
      </c>
      <c r="B1" s="10" t="s">
        <v>12</v>
      </c>
      <c r="C1" s="20" t="s">
        <v>675</v>
      </c>
    </row>
    <row r="3" spans="1:8" x14ac:dyDescent="0.25">
      <c r="B3" s="6"/>
      <c r="C3" s="18" t="s">
        <v>6</v>
      </c>
      <c r="D3" s="18" t="s">
        <v>9</v>
      </c>
      <c r="E3" s="18" t="s">
        <v>10</v>
      </c>
      <c r="F3" s="18" t="s">
        <v>11</v>
      </c>
    </row>
    <row r="4" spans="1:8" x14ac:dyDescent="0.25">
      <c r="B4" s="58" t="s">
        <v>571</v>
      </c>
      <c r="C4" s="57" cm="1">
        <f t="array" ref="C4">IFERROR(INDEX(total_rev, MATCH(1,(ticker_symbol = $B$1) * (year = C$3),0)),"Unavailable")</f>
        <v>6205003000</v>
      </c>
      <c r="D4" s="57" cm="1">
        <f t="array" ref="D4">IFERROR(INDEX(total_rev, MATCH(1,(ticker_symbol = $B$1) * (year = D$3),0)),"Unavailable")</f>
        <v>6493814000</v>
      </c>
      <c r="E4" s="57" cm="1">
        <f t="array" ref="E4">IFERROR(INDEX(total_rev, MATCH(1,(ticker_symbol = $B$1) * (year = E$3),0)),"Unavailable")</f>
        <v>9843861000</v>
      </c>
      <c r="F4" s="57" cm="1">
        <f t="array" ref="F4">IFERROR(INDEX(total_rev, MATCH(1,(ticker_symbol = $B$1) * (year = F$3),0)),"Unavailable")</f>
        <v>9737018000</v>
      </c>
    </row>
    <row r="5" spans="1:8" x14ac:dyDescent="0.25">
      <c r="B5" s="5" t="s">
        <v>574</v>
      </c>
      <c r="C5" s="40" cm="1">
        <f t="array" ref="C5">IFERROR(INDEX(COGS, MATCH(1,(ticker_symbol = $B$1) * (year = C$3),0)),0)</f>
        <v>3106967000</v>
      </c>
      <c r="D5" s="40" cm="1">
        <f t="array" ref="D5">IFERROR(INDEX(COGS, MATCH(1,(ticker_symbol = $B$1) * (year = D$3),0)),0)</f>
        <v>3241668000</v>
      </c>
      <c r="E5" s="40" cm="1">
        <f t="array" ref="E5">IFERROR(INDEX(COGS, MATCH(1,(ticker_symbol = $B$1) * (year = E$3),0)),0)</f>
        <v>5390248000</v>
      </c>
      <c r="F5" s="40" cm="1">
        <f t="array" ref="F5">IFERROR(INDEX(COGS, MATCH(1,(ticker_symbol = $B$1) * (year = F$3),0)),0)</f>
        <v>5314246000</v>
      </c>
    </row>
    <row r="6" spans="1:8" x14ac:dyDescent="0.25">
      <c r="B6" s="58" t="s">
        <v>570</v>
      </c>
      <c r="C6" s="59">
        <f>C4-C5</f>
        <v>3098036000</v>
      </c>
      <c r="D6" s="57">
        <f>D4-D5</f>
        <v>3252146000</v>
      </c>
      <c r="E6" s="57">
        <f>E4-E5</f>
        <v>4453613000</v>
      </c>
      <c r="F6" s="56">
        <f>F4-F5</f>
        <v>4422772000</v>
      </c>
    </row>
    <row r="7" spans="1:8" x14ac:dyDescent="0.25">
      <c r="B7" s="5" t="s">
        <v>575</v>
      </c>
      <c r="C7" s="19" cm="1">
        <f t="array" ref="C7">IFERROR(INDEX(SGAs, MATCH(1,(ticker_symbol = $B$1) * (year = C$3),0)),0)</f>
        <v>2440721000</v>
      </c>
      <c r="D7" s="19" cm="1">
        <f t="array" ref="D7">IFERROR(INDEX(SGAs, MATCH(1,(ticker_symbol = $B$1) * (year = D$3),0)),0)</f>
        <v>2591828000</v>
      </c>
      <c r="E7" s="19" cm="1">
        <f t="array" ref="E7">IFERROR(INDEX(SGAs, MATCH(1,(ticker_symbol = $B$1) * (year = E$3),0)),0)</f>
        <v>3601903000</v>
      </c>
      <c r="F7" s="19" cm="1">
        <f t="array" ref="F7">IFERROR(INDEX(SGAs, MATCH(1,(ticker_symbol = $B$1) * (year = F$3),0)),0)</f>
        <v>3596992000</v>
      </c>
    </row>
    <row r="8" spans="1:8" x14ac:dyDescent="0.25">
      <c r="B8" s="5" t="s">
        <v>576</v>
      </c>
      <c r="C8" s="19" cm="1">
        <f t="array" ref="C8">IFERROR(INDEX(RND, MATCH(1,(ticker_symbol = $B$1) * (year = C$3),0)),0)</f>
        <v>0</v>
      </c>
      <c r="D8" s="19" cm="1">
        <f t="array" ref="D8">IFERROR(INDEX(RND, MATCH(1,(ticker_symbol = $B$1) * (year = D$3),0)),0)</f>
        <v>0</v>
      </c>
      <c r="E8" s="19" cm="1">
        <f t="array" ref="E8">IFERROR(INDEX(RND, MATCH(1,(ticker_symbol = $B$1) * (year = E$3),0)),0)</f>
        <v>0</v>
      </c>
      <c r="F8" s="19" cm="1">
        <f t="array" ref="F8">IFERROR(INDEX(RND, MATCH(1,(ticker_symbol = $B$1) * (year = F$3),0)),0)</f>
        <v>0</v>
      </c>
    </row>
    <row r="9" spans="1:8" x14ac:dyDescent="0.25">
      <c r="B9" s="5" t="s">
        <v>577</v>
      </c>
      <c r="C9" s="19" cm="1">
        <f t="array" ref="C9">IFERROR(INDEX(op_exp, MATCH(1,(ticker_symbol = $B$1) * (year = C$3),0)),0)</f>
        <v>0</v>
      </c>
      <c r="D9" s="19" cm="1">
        <f t="array" ref="D9">IFERROR(INDEX(op_exp, MATCH(1,(ticker_symbol = $B$1) * (year = D$3),0)),0)</f>
        <v>0</v>
      </c>
      <c r="E9" s="19" cm="1">
        <f t="array" ref="E9">IFERROR(INDEX(op_exp, MATCH(1,(ticker_symbol = $B$1) * (year = E$3),0)),0)</f>
        <v>0</v>
      </c>
      <c r="F9" s="19" cm="1">
        <f t="array" ref="F9">IFERROR(INDEX(op_exp, MATCH(1,(ticker_symbol = $B$1) * (year = F$3),0)),0)</f>
        <v>0</v>
      </c>
    </row>
    <row r="10" spans="1:8" ht="15.75" thickBot="1" x14ac:dyDescent="0.3">
      <c r="B10" s="54" t="s">
        <v>581</v>
      </c>
      <c r="C10" s="55">
        <f>C7+C8+C9</f>
        <v>2440721000</v>
      </c>
      <c r="D10" s="55">
        <f t="shared" ref="D10:F10" si="0">D7+D8+D9</f>
        <v>2591828000</v>
      </c>
      <c r="E10" s="55">
        <f t="shared" si="0"/>
        <v>3601903000</v>
      </c>
      <c r="F10" s="55">
        <f t="shared" si="0"/>
        <v>3596992000</v>
      </c>
    </row>
    <row r="11" spans="1:8" ht="15.75" thickTop="1" x14ac:dyDescent="0.25">
      <c r="B11" s="52" t="s">
        <v>604</v>
      </c>
      <c r="C11" s="53">
        <f>C6-C10</f>
        <v>657315000</v>
      </c>
      <c r="D11" s="53">
        <f t="shared" ref="D11:F11" si="1">D6-D10</f>
        <v>660318000</v>
      </c>
      <c r="E11" s="53">
        <f t="shared" si="1"/>
        <v>851710000</v>
      </c>
      <c r="F11" s="53">
        <f t="shared" si="1"/>
        <v>825780000</v>
      </c>
    </row>
    <row r="13" spans="1:8" x14ac:dyDescent="0.25">
      <c r="A13" s="10" t="s">
        <v>652</v>
      </c>
      <c r="B13" s="10" t="s">
        <v>9</v>
      </c>
      <c r="C13" s="20" t="s">
        <v>654</v>
      </c>
      <c r="E13" s="178" t="s">
        <v>655</v>
      </c>
      <c r="F13" s="178"/>
      <c r="G13" s="178"/>
      <c r="H13" s="178"/>
    </row>
    <row r="14" spans="1:8" x14ac:dyDescent="0.25">
      <c r="B14" s="18" t="s">
        <v>571</v>
      </c>
      <c r="C14" s="74">
        <f>INDEX(C4:F4, MATCH(B13, C3:F3, 0))</f>
        <v>6493814000</v>
      </c>
    </row>
    <row r="15" spans="1:8" x14ac:dyDescent="0.25">
      <c r="B15" s="18" t="s">
        <v>574</v>
      </c>
      <c r="C15" s="74">
        <f>INDEX(C5:F5, MATCH(B13, C3:F3, 0))</f>
        <v>3241668000</v>
      </c>
    </row>
    <row r="16" spans="1:8" x14ac:dyDescent="0.25">
      <c r="B16" s="18" t="s">
        <v>570</v>
      </c>
      <c r="C16" s="74">
        <f>INDEX(C6:F6, MATCH(B13, C3:F3, 0))</f>
        <v>3252146000</v>
      </c>
    </row>
    <row r="17" spans="2:3" x14ac:dyDescent="0.25">
      <c r="B17" s="18" t="s">
        <v>581</v>
      </c>
      <c r="C17" s="74">
        <f>INDEX(C10:F10, MATCH(B13, C3:F3, 0))</f>
        <v>2591828000</v>
      </c>
    </row>
    <row r="18" spans="2:3" x14ac:dyDescent="0.25">
      <c r="B18" s="75" t="s">
        <v>604</v>
      </c>
      <c r="C18" s="76">
        <f>INDEX(C11:F11, MATCH(B13, C3:F3, 0))</f>
        <v>660318000</v>
      </c>
    </row>
  </sheetData>
  <mergeCells count="1">
    <mergeCell ref="E13:H13"/>
  </mergeCells>
  <dataValidations count="2">
    <dataValidation type="list" allowBlank="1" showInputMessage="1" showErrorMessage="1" sqref="B1" xr:uid="{CCDEA5CD-DF53-453C-BC1D-82037EBA5025}">
      <formula1>TICKETSYMBOL</formula1>
    </dataValidation>
    <dataValidation type="list" allowBlank="1" showInputMessage="1" showErrorMessage="1" sqref="B13" xr:uid="{AB28A2C1-2853-4275-946B-6E51EF02FA4A}">
      <formula1>yr</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50736-E992-48B4-9088-B48220C5BE3E}">
  <sheetPr codeName="Sheet8"/>
  <dimension ref="A1:L38"/>
  <sheetViews>
    <sheetView workbookViewId="0">
      <selection activeCell="C3" sqref="C3"/>
    </sheetView>
  </sheetViews>
  <sheetFormatPr defaultRowHeight="15" x14ac:dyDescent="0.25"/>
  <cols>
    <col min="1" max="1" width="1.5703125" customWidth="1"/>
    <col min="2" max="2" width="13.7109375" bestFit="1" customWidth="1"/>
    <col min="3" max="3" width="23.28515625" bestFit="1" customWidth="1"/>
    <col min="4" max="4" width="20" bestFit="1" customWidth="1"/>
    <col min="5" max="5" width="19" bestFit="1" customWidth="1"/>
    <col min="6" max="6" width="20" bestFit="1" customWidth="1"/>
    <col min="7" max="9" width="19" bestFit="1" customWidth="1"/>
    <col min="12" max="12" width="10.5703125" customWidth="1"/>
  </cols>
  <sheetData>
    <row r="1" spans="1:9" ht="18" x14ac:dyDescent="0.25">
      <c r="A1" s="90"/>
      <c r="B1" s="183" t="s">
        <v>653</v>
      </c>
      <c r="C1" s="183"/>
      <c r="D1" s="183"/>
      <c r="E1" s="183"/>
      <c r="F1" s="183"/>
      <c r="G1" s="183"/>
      <c r="H1" s="183"/>
      <c r="I1" s="183"/>
    </row>
    <row r="3" spans="1:9" x14ac:dyDescent="0.25">
      <c r="B3" s="163" t="s">
        <v>0</v>
      </c>
      <c r="C3" s="162" t="s">
        <v>15</v>
      </c>
      <c r="D3" s="167" t="s">
        <v>654</v>
      </c>
    </row>
    <row r="4" spans="1:9" x14ac:dyDescent="0.25">
      <c r="B4" s="163" t="s">
        <v>599</v>
      </c>
      <c r="C4" s="162" t="s">
        <v>603</v>
      </c>
      <c r="D4" s="167" t="s">
        <v>654</v>
      </c>
    </row>
    <row r="6" spans="1:9" x14ac:dyDescent="0.25">
      <c r="C6" s="179" t="s">
        <v>681</v>
      </c>
      <c r="D6" s="179"/>
      <c r="E6" s="179"/>
      <c r="F6" s="179"/>
      <c r="G6" s="179"/>
      <c r="H6" s="179"/>
      <c r="I6" s="179"/>
    </row>
    <row r="7" spans="1:9" x14ac:dyDescent="0.25">
      <c r="C7" s="93"/>
      <c r="D7" s="152" t="s">
        <v>6</v>
      </c>
      <c r="E7" s="152" t="s">
        <v>9</v>
      </c>
      <c r="F7" s="152" t="s">
        <v>10</v>
      </c>
      <c r="G7" s="152" t="s">
        <v>11</v>
      </c>
      <c r="H7" s="152" t="s">
        <v>597</v>
      </c>
      <c r="I7" s="152" t="s">
        <v>598</v>
      </c>
    </row>
    <row r="8" spans="1:9" x14ac:dyDescent="0.25">
      <c r="C8" s="96" t="s">
        <v>571</v>
      </c>
      <c r="D8" s="150" cm="1">
        <f t="array" ref="D8">IFERROR(INDEX(total_rev, MATCH(1,(ticker_symbol = $C$3) * (year = D$7),0)),"Unavailable")</f>
        <v>170910000000</v>
      </c>
      <c r="E8" s="150" cm="1">
        <f t="array" ref="E8">IFERROR(INDEX(total_rev, MATCH(1,(ticker_symbol = $C$3) * (year = E$7),0)),"Unavailable")</f>
        <v>182795000000</v>
      </c>
      <c r="F8" s="150" cm="1">
        <f t="array" ref="F8">IFERROR(INDEX(total_rev, MATCH(1,(ticker_symbol = $C$3) * (year = F$7),0)),"Unavailable")</f>
        <v>233715000000</v>
      </c>
      <c r="G8" s="149" cm="1">
        <f t="array" ref="G8">IFERROR(INDEX(total_rev, MATCH(1,(ticker_symbol = $C$3) * (year = G$7),0)),"Unavailable")</f>
        <v>215639000000</v>
      </c>
      <c r="H8" s="151">
        <f ca="1">G8+(G8*H21)</f>
        <v>203610532023.59665</v>
      </c>
      <c r="I8" s="151">
        <f ca="1">H8+(H8*I21)</f>
        <v>190218459407.75903</v>
      </c>
    </row>
    <row r="9" spans="1:9" x14ac:dyDescent="0.25">
      <c r="C9" s="5" t="s">
        <v>574</v>
      </c>
      <c r="D9" s="40" cm="1">
        <f t="array" ref="D9">IFERROR(INDEX(COGS, MATCH(1,(ticker_symbol = $C$3) * (year = D$7),0)),0)</f>
        <v>106606000000</v>
      </c>
      <c r="E9" s="40" cm="1">
        <f t="array" ref="E9">IFERROR(INDEX(COGS, MATCH(1,(ticker_symbol = $C$3) * (year = E$7),0)),0)</f>
        <v>112258000000</v>
      </c>
      <c r="F9" s="40" cm="1">
        <f t="array" ref="F9">IFERROR(INDEX(COGS, MATCH(1,(ticker_symbol = $C$3) * (year = F$7),0)),0)</f>
        <v>140089000000</v>
      </c>
      <c r="G9" s="41" cm="1">
        <f t="array" ref="G9">IFERROR(INDEX(COGS, MATCH(1,(ticker_symbol = $C$3) * (year = G$7),0)),0)</f>
        <v>131376000000</v>
      </c>
      <c r="H9" s="40"/>
      <c r="I9" s="40"/>
    </row>
    <row r="10" spans="1:9" x14ac:dyDescent="0.25">
      <c r="C10" s="96" t="s">
        <v>570</v>
      </c>
      <c r="D10" s="150">
        <f>D8-D9</f>
        <v>64304000000</v>
      </c>
      <c r="E10" s="150">
        <f>E8-E9</f>
        <v>70537000000</v>
      </c>
      <c r="F10" s="150">
        <f>F8-F9</f>
        <v>93626000000</v>
      </c>
      <c r="G10" s="149">
        <f>G8-G9</f>
        <v>84263000000</v>
      </c>
      <c r="H10" s="150">
        <f ca="1">H8*H22</f>
        <v>77288353100.93129</v>
      </c>
      <c r="I10" s="150">
        <f ca="1">I8*I22</f>
        <v>72991628794.190933</v>
      </c>
    </row>
    <row r="11" spans="1:9" x14ac:dyDescent="0.25">
      <c r="C11" s="5" t="s">
        <v>575</v>
      </c>
      <c r="D11" s="40" cm="1">
        <f t="array" ref="D11">IFERROR(INDEX(SGAs, MATCH(1,(ticker_symbol = $C$3) * (year = D$7),0)),0)</f>
        <v>10830000000</v>
      </c>
      <c r="E11" s="40" cm="1">
        <f t="array" ref="E11">IFERROR(INDEX(SGAs, MATCH(1,(ticker_symbol = $C$3) * (year = E$7),0)),0)</f>
        <v>11993000000</v>
      </c>
      <c r="F11" s="40" cm="1">
        <f t="array" ref="F11">IFERROR(INDEX(SGAs, MATCH(1,(ticker_symbol = $C$3) * (year = F$7),0)),0)</f>
        <v>14329000000</v>
      </c>
      <c r="G11" s="41" cm="1">
        <f t="array" ref="G11">IFERROR(INDEX(SGAs, MATCH(1,(ticker_symbol = $C$3) * (year = G$7),0)),0)</f>
        <v>14194000000</v>
      </c>
      <c r="H11" s="40"/>
      <c r="I11" s="40"/>
    </row>
    <row r="12" spans="1:9" x14ac:dyDescent="0.25">
      <c r="C12" s="5" t="s">
        <v>576</v>
      </c>
      <c r="D12" s="40" cm="1">
        <f t="array" ref="D12">IFERROR(INDEX(RND, MATCH(1,(ticker_symbol = $C$3) * (year = D$7),0)),0)</f>
        <v>4475000000</v>
      </c>
      <c r="E12" s="40" cm="1">
        <f t="array" ref="E12">IFERROR(INDEX(RND, MATCH(1,(ticker_symbol = $C$3) * (year = E$7),0)),0)</f>
        <v>6041000000</v>
      </c>
      <c r="F12" s="40" cm="1">
        <f t="array" ref="F12">IFERROR(INDEX(RND, MATCH(1,(ticker_symbol = $C$3) * (year = F$7),0)),0)</f>
        <v>8067000000</v>
      </c>
      <c r="G12" s="41" cm="1">
        <f t="array" ref="G12">IFERROR(INDEX(RND, MATCH(1,(ticker_symbol = $C$3) * (year = G$7),0)),0)</f>
        <v>10045000000</v>
      </c>
      <c r="H12" s="40"/>
      <c r="I12" s="40"/>
    </row>
    <row r="13" spans="1:9" x14ac:dyDescent="0.25">
      <c r="C13" s="5" t="s">
        <v>577</v>
      </c>
      <c r="D13" s="40" cm="1">
        <f t="array" ref="D13">IFERROR(INDEX(op_exp, MATCH(1,(ticker_symbol = $C$3) * (year = D$7),0)),0)</f>
        <v>0</v>
      </c>
      <c r="E13" s="40" cm="1">
        <f t="array" ref="E13">IFERROR(INDEX(op_exp, MATCH(1,(ticker_symbol = $C$3) * (year = E$7),0)),0)</f>
        <v>0</v>
      </c>
      <c r="F13" s="40" cm="1">
        <f t="array" ref="F13">IFERROR(INDEX(op_exp, MATCH(1,(ticker_symbol = $C$3) * (year = F$7),0)),0)</f>
        <v>0</v>
      </c>
      <c r="G13" s="41" cm="1">
        <f t="array" ref="G13">IFERROR(INDEX(op_exp, MATCH(1,(ticker_symbol = $C$3) * (year = G$7),0)),0)</f>
        <v>0</v>
      </c>
      <c r="H13" s="40"/>
      <c r="I13" s="40"/>
    </row>
    <row r="14" spans="1:9" ht="15.75" thickBot="1" x14ac:dyDescent="0.3">
      <c r="C14" s="94" t="s">
        <v>581</v>
      </c>
      <c r="D14" s="148">
        <f>D11+D12+D13</f>
        <v>15305000000</v>
      </c>
      <c r="E14" s="148">
        <f>E11+E12+E13</f>
        <v>18034000000</v>
      </c>
      <c r="F14" s="148">
        <f>F11+F12+F13</f>
        <v>22396000000</v>
      </c>
      <c r="G14" s="149">
        <f>G11+G12+G13</f>
        <v>24239000000</v>
      </c>
      <c r="H14" s="150">
        <f ca="1">H8*H23</f>
        <v>18478825259.391071</v>
      </c>
      <c r="I14" s="150">
        <f ca="1">I8*I23</f>
        <v>17781808718.368076</v>
      </c>
    </row>
    <row r="15" spans="1:9" ht="15.75" thickTop="1" x14ac:dyDescent="0.25">
      <c r="C15" s="164" t="s">
        <v>604</v>
      </c>
      <c r="D15" s="165">
        <f t="shared" ref="D15:I15" si="0">D10-D14</f>
        <v>48999000000</v>
      </c>
      <c r="E15" s="165">
        <f t="shared" si="0"/>
        <v>52503000000</v>
      </c>
      <c r="F15" s="165">
        <f t="shared" si="0"/>
        <v>71230000000</v>
      </c>
      <c r="G15" s="166">
        <f t="shared" si="0"/>
        <v>60024000000</v>
      </c>
      <c r="H15" s="166">
        <f t="shared" ca="1" si="0"/>
        <v>58809527841.540222</v>
      </c>
      <c r="I15" s="166">
        <f t="shared" ca="1" si="0"/>
        <v>55209820075.822861</v>
      </c>
    </row>
    <row r="18" spans="3:12" x14ac:dyDescent="0.25">
      <c r="C18" s="179" t="s">
        <v>593</v>
      </c>
      <c r="D18" s="179"/>
      <c r="E18" s="179"/>
      <c r="F18" s="179"/>
      <c r="G18" s="179"/>
      <c r="H18" s="179"/>
      <c r="I18" s="179"/>
    </row>
    <row r="19" spans="3:12" x14ac:dyDescent="0.25">
      <c r="C19" s="101" t="str">
        <f>C4</f>
        <v>Weak Case</v>
      </c>
      <c r="D19" s="180" t="s">
        <v>594</v>
      </c>
      <c r="E19" s="181"/>
      <c r="F19" s="181"/>
      <c r="G19" s="182"/>
      <c r="H19" s="180" t="s">
        <v>595</v>
      </c>
      <c r="I19" s="182"/>
    </row>
    <row r="20" spans="3:12" x14ac:dyDescent="0.25">
      <c r="C20" s="28"/>
      <c r="D20" s="161" t="s">
        <v>6</v>
      </c>
      <c r="E20" s="161" t="s">
        <v>9</v>
      </c>
      <c r="F20" s="161" t="s">
        <v>10</v>
      </c>
      <c r="G20" s="161" t="s">
        <v>11</v>
      </c>
      <c r="H20" s="161" t="s">
        <v>597</v>
      </c>
      <c r="I20" s="161" t="s">
        <v>598</v>
      </c>
    </row>
    <row r="21" spans="3:12" x14ac:dyDescent="0.25">
      <c r="C21" s="28" t="s">
        <v>596</v>
      </c>
      <c r="D21" s="30"/>
      <c r="E21" s="31">
        <f>(E8-D8)/D8</f>
        <v>6.9539523725937621E-2</v>
      </c>
      <c r="F21" s="31">
        <f>(F8-E8)/E8</f>
        <v>0.2785634180365984</v>
      </c>
      <c r="G21" s="31">
        <f>(G8-F8)/F8</f>
        <v>-7.734206191301371E-2</v>
      </c>
      <c r="H21" s="144">
        <f ca="1">OFFSET(H27,MATCH($C$4,$C$28:$C$30,0),0)</f>
        <v>-5.5780577615381924E-2</v>
      </c>
      <c r="I21" s="144">
        <f ca="1">OFFSET(I27,MATCH($C$4,$C$28:$C$30,0),0)</f>
        <v>-6.5772985722986024E-2</v>
      </c>
    </row>
    <row r="22" spans="3:12" x14ac:dyDescent="0.25">
      <c r="C22" s="28" t="s">
        <v>587</v>
      </c>
      <c r="D22" s="36">
        <f>D10/D8</f>
        <v>0.37624480720847231</v>
      </c>
      <c r="E22" s="36">
        <f>E10/E8</f>
        <v>0.38588035777783858</v>
      </c>
      <c r="F22" s="36">
        <f>F10/F8</f>
        <v>0.40059902017414373</v>
      </c>
      <c r="G22" s="36">
        <f>G10/G8</f>
        <v>0.39075955648097049</v>
      </c>
      <c r="H22" s="36">
        <f ca="1">OFFSET(H31,MATCH($C$4,$C$32:$C$34,0),0)</f>
        <v>0.37958917121229396</v>
      </c>
      <c r="I22" s="36">
        <f ca="1">OFFSET(I31,MATCH($C$4,$C$32:$C$34,0),0)</f>
        <v>0.38372526526315454</v>
      </c>
    </row>
    <row r="23" spans="3:12" x14ac:dyDescent="0.25">
      <c r="C23" s="29" t="s">
        <v>588</v>
      </c>
      <c r="D23" s="37">
        <f>D14/D8</f>
        <v>8.9550055584810717E-2</v>
      </c>
      <c r="E23" s="37">
        <f>E14/E8</f>
        <v>9.8656965453103207E-2</v>
      </c>
      <c r="F23" s="37">
        <f>F14/F8</f>
        <v>9.5826113000877136E-2</v>
      </c>
      <c r="G23" s="37">
        <f>G14/G8</f>
        <v>0.11240545541390935</v>
      </c>
      <c r="H23" s="37">
        <f ca="1">OFFSET(H35,MATCH($C$4,$C$36:$C$38,0),0)</f>
        <v>9.075574370214573E-2</v>
      </c>
      <c r="I23" s="37">
        <f ca="1">OFFSET(I35,MATCH($C$4,$C$36:$C$38,0),0)</f>
        <v>9.3480983779026194E-2</v>
      </c>
    </row>
    <row r="26" spans="3:12" ht="15" customHeight="1" x14ac:dyDescent="0.25">
      <c r="C26" s="179" t="s">
        <v>682</v>
      </c>
      <c r="D26" s="179"/>
      <c r="E26" s="179"/>
      <c r="F26" s="179"/>
      <c r="G26" s="179"/>
      <c r="H26" s="179"/>
      <c r="I26" s="179"/>
      <c r="J26" s="77"/>
      <c r="K26" s="77"/>
      <c r="L26" s="77"/>
    </row>
    <row r="27" spans="3:12" x14ac:dyDescent="0.25">
      <c r="C27" s="153" t="s">
        <v>601</v>
      </c>
      <c r="D27" s="154"/>
      <c r="E27" s="116"/>
      <c r="F27" s="116"/>
      <c r="G27" s="116"/>
      <c r="H27" s="155" t="s">
        <v>597</v>
      </c>
      <c r="I27" s="136" t="s">
        <v>598</v>
      </c>
      <c r="J27" s="77"/>
      <c r="K27" s="77"/>
      <c r="L27" s="77"/>
    </row>
    <row r="28" spans="3:12" x14ac:dyDescent="0.25">
      <c r="C28" s="21" t="s">
        <v>602</v>
      </c>
      <c r="F28" s="32"/>
      <c r="H28" s="147">
        <f>H29+_xlfn.STDEV.P(E21:G21)</f>
        <v>0.23628783084839683</v>
      </c>
      <c r="I28" s="26">
        <f ca="1">I29+_xlfn.STDEV.P(F21:H21)</f>
        <v>0.26008964088304748</v>
      </c>
    </row>
    <row r="29" spans="3:12" x14ac:dyDescent="0.25">
      <c r="C29" s="21" t="s">
        <v>600</v>
      </c>
      <c r="G29" s="24"/>
      <c r="H29" s="147">
        <f>AVERAGE(E21:G21)</f>
        <v>9.0253626616507446E-2</v>
      </c>
      <c r="I29" s="25">
        <f>AVERAGE(F21:G21,H29)</f>
        <v>9.7158327580030721E-2</v>
      </c>
      <c r="K29" s="145"/>
      <c r="L29" s="146"/>
    </row>
    <row r="30" spans="3:12" x14ac:dyDescent="0.25">
      <c r="C30" s="21" t="s">
        <v>603</v>
      </c>
      <c r="F30" s="32"/>
      <c r="H30" s="147">
        <f>H29-_xlfn.STDEV.P(E21:G21)</f>
        <v>-5.5780577615381924E-2</v>
      </c>
      <c r="I30" s="26">
        <f ca="1">I29-_xlfn.STDEV.P(F21:H21)</f>
        <v>-6.5772985722986024E-2</v>
      </c>
      <c r="L30" s="145"/>
    </row>
    <row r="31" spans="3:12" x14ac:dyDescent="0.25">
      <c r="C31" s="156" t="s">
        <v>587</v>
      </c>
      <c r="D31" s="92"/>
      <c r="E31" s="92"/>
      <c r="F31" s="92"/>
      <c r="G31" s="92"/>
      <c r="H31" s="157"/>
      <c r="I31" s="158"/>
    </row>
    <row r="32" spans="3:12" x14ac:dyDescent="0.25">
      <c r="C32" s="21" t="s">
        <v>602</v>
      </c>
      <c r="F32" s="32"/>
      <c r="H32" s="36">
        <f>H33+_xlfn.STDEV.P(D22:G22)</f>
        <v>0.39715269960841859</v>
      </c>
      <c r="I32" s="35">
        <f ca="1">I33+_xlfn.STDEV.P(E22:H22)</f>
        <v>0.39907966965850006</v>
      </c>
    </row>
    <row r="33" spans="3:9" x14ac:dyDescent="0.25">
      <c r="C33" s="21" t="s">
        <v>600</v>
      </c>
      <c r="G33" s="27"/>
      <c r="H33" s="36">
        <f>AVERAGE(D22:G22)</f>
        <v>0.38837093541035628</v>
      </c>
      <c r="I33" s="35">
        <f>AVERAGE(E22:G22,H33)</f>
        <v>0.3914024674608273</v>
      </c>
    </row>
    <row r="34" spans="3:9" x14ac:dyDescent="0.25">
      <c r="C34" s="21" t="s">
        <v>603</v>
      </c>
      <c r="F34" s="32"/>
      <c r="H34" s="36">
        <f>H33-_xlfn.STDEV.P(D22:G22)</f>
        <v>0.37958917121229396</v>
      </c>
      <c r="I34" s="35">
        <f ca="1">I33-_xlfn.STDEV.P(E22:H22)</f>
        <v>0.38372526526315454</v>
      </c>
    </row>
    <row r="35" spans="3:9" x14ac:dyDescent="0.25">
      <c r="C35" s="156" t="s">
        <v>588</v>
      </c>
      <c r="D35" s="92"/>
      <c r="E35" s="92"/>
      <c r="F35" s="92"/>
      <c r="G35" s="92"/>
      <c r="H35" s="159"/>
      <c r="I35" s="160"/>
    </row>
    <row r="36" spans="3:9" x14ac:dyDescent="0.25">
      <c r="C36" s="21" t="s">
        <v>602</v>
      </c>
      <c r="F36" s="32"/>
      <c r="H36" s="36">
        <f>H$37+_xlfn.STDEV.P(D23:G23)</f>
        <v>0.10746355102420446</v>
      </c>
      <c r="I36" s="35">
        <f ca="1">I$37+_xlfn.STDEV.P(E23:H23)</f>
        <v>0.1095181068365062</v>
      </c>
    </row>
    <row r="37" spans="3:9" x14ac:dyDescent="0.25">
      <c r="C37" s="21" t="s">
        <v>600</v>
      </c>
      <c r="G37" s="27"/>
      <c r="H37" s="36">
        <f>AVERAGE(D23:G23)</f>
        <v>9.9109647363175096E-2</v>
      </c>
      <c r="I37" s="35">
        <f>AVERAGE(E23:G23,H37)</f>
        <v>0.1014995453077662</v>
      </c>
    </row>
    <row r="38" spans="3:9" x14ac:dyDescent="0.25">
      <c r="C38" s="22" t="s">
        <v>603</v>
      </c>
      <c r="D38" s="23"/>
      <c r="E38" s="23"/>
      <c r="F38" s="33"/>
      <c r="G38" s="23"/>
      <c r="H38" s="37">
        <f>H$37-_xlfn.STDEV.P(D23:G23)</f>
        <v>9.075574370214573E-2</v>
      </c>
      <c r="I38" s="38">
        <f ca="1">I$37-_xlfn.STDEV.P(E23:H23)</f>
        <v>9.3480983779026194E-2</v>
      </c>
    </row>
  </sheetData>
  <mergeCells count="6">
    <mergeCell ref="C26:I26"/>
    <mergeCell ref="D19:G19"/>
    <mergeCell ref="H19:I19"/>
    <mergeCell ref="B1:I1"/>
    <mergeCell ref="C6:I6"/>
    <mergeCell ref="C18:I18"/>
  </mergeCells>
  <dataValidations count="2">
    <dataValidation type="list" allowBlank="1" showInputMessage="1" showErrorMessage="1" sqref="C3" xr:uid="{619C2663-4EA5-48F6-955B-537885F3268A}">
      <formula1>TICKETSYMBOL</formula1>
    </dataValidation>
    <dataValidation type="list" allowBlank="1" showInputMessage="1" showErrorMessage="1" sqref="C4" xr:uid="{F1DC694D-8555-455A-90B0-2B82E9C031D5}">
      <formula1>Case</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8B7CF-4DA5-4E8D-9D37-2973366C3C56}">
  <sheetPr codeName="Sheet2"/>
  <dimension ref="A2:H31"/>
  <sheetViews>
    <sheetView workbookViewId="0">
      <selection activeCell="C5" sqref="C5"/>
    </sheetView>
  </sheetViews>
  <sheetFormatPr defaultRowHeight="15" x14ac:dyDescent="0.25"/>
  <cols>
    <col min="1" max="1" width="2" customWidth="1"/>
    <col min="2" max="2" width="27.7109375" bestFit="1" customWidth="1"/>
    <col min="3" max="3" width="33.42578125" bestFit="1" customWidth="1"/>
    <col min="4" max="4" width="8" customWidth="1"/>
    <col min="5" max="5" width="29.140625" bestFit="1" customWidth="1"/>
    <col min="6" max="6" width="32.7109375" bestFit="1" customWidth="1"/>
    <col min="7" max="7" width="34.28515625" bestFit="1" customWidth="1"/>
    <col min="8" max="9" width="29.140625" bestFit="1" customWidth="1"/>
    <col min="10" max="10" width="20.42578125" bestFit="1" customWidth="1"/>
    <col min="11" max="11" width="17.42578125" bestFit="1" customWidth="1"/>
    <col min="12" max="12" width="28.5703125" bestFit="1" customWidth="1"/>
    <col min="13" max="13" width="19" bestFit="1" customWidth="1"/>
    <col min="14" max="14" width="20" bestFit="1" customWidth="1"/>
  </cols>
  <sheetData>
    <row r="2" spans="1:8" ht="21" x14ac:dyDescent="0.35">
      <c r="A2" s="49"/>
      <c r="B2" s="190" t="s">
        <v>617</v>
      </c>
      <c r="C2" s="190"/>
      <c r="D2" s="190"/>
      <c r="E2" s="190"/>
      <c r="F2" s="190"/>
      <c r="G2" s="190"/>
      <c r="H2" s="191"/>
    </row>
    <row r="3" spans="1:8" ht="21" x14ac:dyDescent="0.35">
      <c r="B3" s="47"/>
      <c r="C3" s="47"/>
      <c r="D3" s="47"/>
      <c r="E3" s="47"/>
      <c r="F3" s="47"/>
      <c r="G3" s="47"/>
      <c r="H3" s="48"/>
    </row>
    <row r="4" spans="1:8" x14ac:dyDescent="0.25">
      <c r="B4" s="2" t="s">
        <v>572</v>
      </c>
      <c r="C4" t="s">
        <v>605</v>
      </c>
      <c r="E4" s="45"/>
      <c r="F4" s="46"/>
      <c r="G4" s="46"/>
      <c r="H4" s="42"/>
    </row>
    <row r="5" spans="1:8" x14ac:dyDescent="0.25">
      <c r="B5" s="3" t="s">
        <v>13</v>
      </c>
      <c r="C5" s="43">
        <v>3711258990.228013</v>
      </c>
      <c r="E5" s="21"/>
      <c r="H5" s="42"/>
    </row>
    <row r="6" spans="1:8" x14ac:dyDescent="0.25">
      <c r="B6" s="3" t="s">
        <v>30</v>
      </c>
      <c r="C6" s="43">
        <v>7178778007.575758</v>
      </c>
      <c r="E6" s="21"/>
      <c r="H6" s="42"/>
    </row>
    <row r="7" spans="1:8" x14ac:dyDescent="0.25">
      <c r="B7" s="3" t="s">
        <v>77</v>
      </c>
      <c r="C7" s="43">
        <v>7803642637.0967741</v>
      </c>
      <c r="E7" s="21"/>
      <c r="H7" s="42"/>
    </row>
    <row r="8" spans="1:8" x14ac:dyDescent="0.25">
      <c r="B8" s="3" t="s">
        <v>41</v>
      </c>
      <c r="C8" s="43">
        <v>10023490957.317074</v>
      </c>
      <c r="E8" s="21"/>
      <c r="H8" s="42"/>
    </row>
    <row r="9" spans="1:8" x14ac:dyDescent="0.25">
      <c r="B9" s="3" t="s">
        <v>19</v>
      </c>
      <c r="C9" s="43">
        <v>5574778947.3684206</v>
      </c>
      <c r="E9" s="21"/>
      <c r="H9" s="42"/>
    </row>
    <row r="10" spans="1:8" x14ac:dyDescent="0.25">
      <c r="B10" s="3" t="s">
        <v>7</v>
      </c>
      <c r="C10" s="43">
        <v>4148938903.2258062</v>
      </c>
      <c r="E10" s="21"/>
      <c r="H10" s="42"/>
    </row>
    <row r="11" spans="1:8" x14ac:dyDescent="0.25">
      <c r="B11" s="3" t="s">
        <v>16</v>
      </c>
      <c r="C11" s="43">
        <v>4148828169.5652175</v>
      </c>
      <c r="E11" s="21"/>
      <c r="H11" s="42"/>
    </row>
    <row r="12" spans="1:8" x14ac:dyDescent="0.25">
      <c r="B12" s="3" t="s">
        <v>53</v>
      </c>
      <c r="C12" s="43">
        <v>1949064178.9473684</v>
      </c>
      <c r="E12" s="21"/>
      <c r="H12" s="42"/>
    </row>
    <row r="13" spans="1:8" x14ac:dyDescent="0.25">
      <c r="B13" s="3" t="s">
        <v>46</v>
      </c>
      <c r="C13" s="43">
        <v>742103105.76923072</v>
      </c>
      <c r="E13" s="21"/>
      <c r="H13" s="42"/>
    </row>
    <row r="14" spans="1:8" x14ac:dyDescent="0.25">
      <c r="B14" s="3" t="s">
        <v>176</v>
      </c>
      <c r="C14" s="43">
        <v>24038147400</v>
      </c>
      <c r="E14" s="21"/>
      <c r="H14" s="42"/>
    </row>
    <row r="15" spans="1:8" x14ac:dyDescent="0.25">
      <c r="B15" s="3" t="s">
        <v>36</v>
      </c>
      <c r="C15" s="43">
        <v>2242400312.5</v>
      </c>
      <c r="E15" s="21"/>
      <c r="H15" s="42"/>
    </row>
    <row r="16" spans="1:8" x14ac:dyDescent="0.25">
      <c r="B16" s="3" t="s">
        <v>573</v>
      </c>
      <c r="C16" s="43">
        <v>5087256102.9239769</v>
      </c>
      <c r="E16" s="21"/>
      <c r="H16" s="42"/>
    </row>
    <row r="17" spans="5:8" x14ac:dyDescent="0.25">
      <c r="E17" s="21"/>
      <c r="H17" s="42"/>
    </row>
    <row r="18" spans="5:8" x14ac:dyDescent="0.25">
      <c r="E18" s="21"/>
      <c r="H18" s="42"/>
    </row>
    <row r="19" spans="5:8" x14ac:dyDescent="0.25">
      <c r="E19" s="21"/>
      <c r="H19" s="42"/>
    </row>
    <row r="20" spans="5:8" x14ac:dyDescent="0.25">
      <c r="E20" s="21"/>
      <c r="H20" s="42"/>
    </row>
    <row r="21" spans="5:8" x14ac:dyDescent="0.25">
      <c r="E21" s="21"/>
      <c r="H21" s="42"/>
    </row>
    <row r="22" spans="5:8" x14ac:dyDescent="0.25">
      <c r="E22" s="21"/>
      <c r="H22" s="42"/>
    </row>
    <row r="23" spans="5:8" x14ac:dyDescent="0.25">
      <c r="E23" s="21"/>
      <c r="H23" s="42"/>
    </row>
    <row r="24" spans="5:8" x14ac:dyDescent="0.25">
      <c r="E24" s="21"/>
      <c r="H24" s="42"/>
    </row>
    <row r="25" spans="5:8" x14ac:dyDescent="0.25">
      <c r="E25" s="21"/>
      <c r="H25" s="42"/>
    </row>
    <row r="26" spans="5:8" x14ac:dyDescent="0.25">
      <c r="E26" s="21"/>
      <c r="H26" s="42"/>
    </row>
    <row r="27" spans="5:8" x14ac:dyDescent="0.25">
      <c r="E27" s="21"/>
      <c r="H27" s="42"/>
    </row>
    <row r="28" spans="5:8" x14ac:dyDescent="0.25">
      <c r="E28" s="21"/>
      <c r="H28" s="42"/>
    </row>
    <row r="29" spans="5:8" x14ac:dyDescent="0.25">
      <c r="E29" s="21"/>
      <c r="H29" s="42"/>
    </row>
    <row r="30" spans="5:8" x14ac:dyDescent="0.25">
      <c r="E30" s="184" t="s">
        <v>606</v>
      </c>
      <c r="F30" s="185"/>
      <c r="G30" s="185"/>
      <c r="H30" s="186"/>
    </row>
    <row r="31" spans="5:8" x14ac:dyDescent="0.25">
      <c r="E31" s="187"/>
      <c r="F31" s="188"/>
      <c r="G31" s="188"/>
      <c r="H31" s="189"/>
    </row>
  </sheetData>
  <mergeCells count="2">
    <mergeCell ref="E30:H31"/>
    <mergeCell ref="B2:H2"/>
  </mergeCells>
  <conditionalFormatting pivot="1" sqref="C5:C15">
    <cfRule type="cellIs" dxfId="23" priority="1" operator="between">
      <formula>5000000000</formula>
      <formula>10000000000</formula>
    </cfRule>
  </conditionalFormatting>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556CC-B3A8-4386-B516-BC9236F8802A}">
  <dimension ref="A1:AB198"/>
  <sheetViews>
    <sheetView topLeftCell="A6" zoomScale="70" zoomScaleNormal="70" workbookViewId="0">
      <selection activeCell="S59" sqref="S59"/>
    </sheetView>
  </sheetViews>
  <sheetFormatPr defaultRowHeight="15" x14ac:dyDescent="0.25"/>
  <cols>
    <col min="1" max="1" width="3" customWidth="1"/>
    <col min="2" max="2" width="40.85546875" bestFit="1" customWidth="1"/>
    <col min="3" max="9" width="26.42578125" bestFit="1" customWidth="1"/>
    <col min="10" max="10" width="12.85546875" bestFit="1" customWidth="1"/>
    <col min="11" max="11" width="15.42578125" bestFit="1" customWidth="1"/>
  </cols>
  <sheetData>
    <row r="1" spans="1:12" ht="34.5" x14ac:dyDescent="0.55000000000000004">
      <c r="A1" s="90"/>
      <c r="B1" s="193" t="s">
        <v>649</v>
      </c>
      <c r="C1" s="193"/>
      <c r="D1" s="193"/>
      <c r="E1" s="193"/>
      <c r="F1" s="193"/>
      <c r="G1" s="193"/>
      <c r="H1" s="193"/>
      <c r="I1" s="193"/>
      <c r="J1" s="193"/>
      <c r="K1" s="65"/>
      <c r="L1" s="65"/>
    </row>
    <row r="2" spans="1:12" ht="34.5" x14ac:dyDescent="0.55000000000000004">
      <c r="B2" s="194" t="s">
        <v>628</v>
      </c>
      <c r="C2" s="194"/>
      <c r="D2" s="194"/>
      <c r="E2" s="194"/>
      <c r="F2" s="194"/>
      <c r="G2" s="194"/>
      <c r="H2" s="194"/>
      <c r="I2" s="194"/>
      <c r="J2" s="194"/>
      <c r="K2" s="62"/>
      <c r="L2" s="62"/>
    </row>
    <row r="4" spans="1:12" ht="34.5" x14ac:dyDescent="0.55000000000000004">
      <c r="B4" s="194" t="s">
        <v>629</v>
      </c>
      <c r="C4" s="194"/>
      <c r="D4" s="194"/>
      <c r="E4" s="194"/>
      <c r="F4" s="194"/>
      <c r="G4" s="194"/>
      <c r="H4" s="194"/>
      <c r="I4" s="194"/>
      <c r="J4" s="194"/>
      <c r="K4" s="62"/>
      <c r="L4" s="62"/>
    </row>
    <row r="6" spans="1:12" ht="34.5" x14ac:dyDescent="0.55000000000000004">
      <c r="B6" s="194" t="s">
        <v>630</v>
      </c>
      <c r="C6" s="194"/>
      <c r="D6" s="194"/>
      <c r="E6" s="194"/>
      <c r="F6" s="194"/>
      <c r="G6" s="194"/>
      <c r="H6" s="194"/>
      <c r="I6" s="194"/>
      <c r="J6" s="194"/>
      <c r="K6" s="62"/>
      <c r="L6" s="62"/>
    </row>
    <row r="8" spans="1:12" x14ac:dyDescent="0.25">
      <c r="B8" s="91" t="s">
        <v>3</v>
      </c>
      <c r="C8" s="91" t="s">
        <v>16</v>
      </c>
    </row>
    <row r="10" spans="1:12" x14ac:dyDescent="0.25">
      <c r="B10" s="92" t="s">
        <v>626</v>
      </c>
      <c r="C10" s="92" t="s">
        <v>618</v>
      </c>
      <c r="D10" s="92"/>
      <c r="E10" s="92"/>
      <c r="F10" s="92"/>
      <c r="G10" s="92"/>
      <c r="H10" s="92"/>
      <c r="I10" s="92"/>
      <c r="J10" s="92"/>
    </row>
    <row r="11" spans="1:12" x14ac:dyDescent="0.25">
      <c r="B11" s="92" t="s">
        <v>4</v>
      </c>
      <c r="C11" s="92" t="s">
        <v>619</v>
      </c>
      <c r="D11" s="92" t="s">
        <v>620</v>
      </c>
      <c r="E11" s="92" t="s">
        <v>621</v>
      </c>
      <c r="F11" s="92" t="s">
        <v>622</v>
      </c>
      <c r="G11" s="92" t="s">
        <v>623</v>
      </c>
      <c r="H11" s="92" t="s">
        <v>624</v>
      </c>
      <c r="I11" s="92" t="s">
        <v>625</v>
      </c>
      <c r="J11" s="92" t="s">
        <v>573</v>
      </c>
    </row>
    <row r="12" spans="1:12" x14ac:dyDescent="0.25">
      <c r="B12" s="20" t="s">
        <v>26</v>
      </c>
      <c r="C12">
        <v>16</v>
      </c>
      <c r="J12" s="20">
        <v>16</v>
      </c>
    </row>
    <row r="13" spans="1:12" x14ac:dyDescent="0.25">
      <c r="B13" s="20" t="s">
        <v>17</v>
      </c>
      <c r="E13">
        <v>3</v>
      </c>
      <c r="F13">
        <v>2</v>
      </c>
      <c r="I13">
        <v>3</v>
      </c>
      <c r="J13" s="20">
        <v>8</v>
      </c>
    </row>
    <row r="14" spans="1:12" x14ac:dyDescent="0.25">
      <c r="B14" s="20" t="s">
        <v>483</v>
      </c>
      <c r="C14">
        <v>8</v>
      </c>
      <c r="J14" s="20">
        <v>8</v>
      </c>
    </row>
    <row r="15" spans="1:12" x14ac:dyDescent="0.25">
      <c r="B15" s="20" t="s">
        <v>33</v>
      </c>
      <c r="C15">
        <v>8</v>
      </c>
      <c r="J15" s="20">
        <v>8</v>
      </c>
    </row>
    <row r="16" spans="1:12" x14ac:dyDescent="0.25">
      <c r="B16" s="20" t="s">
        <v>83</v>
      </c>
      <c r="C16">
        <v>8</v>
      </c>
      <c r="J16" s="20">
        <v>8</v>
      </c>
    </row>
    <row r="17" spans="2:12" x14ac:dyDescent="0.25">
      <c r="B17" s="20" t="s">
        <v>253</v>
      </c>
      <c r="C17">
        <v>4</v>
      </c>
      <c r="J17" s="20">
        <v>4</v>
      </c>
    </row>
    <row r="18" spans="2:12" x14ac:dyDescent="0.25">
      <c r="B18" s="20" t="s">
        <v>500</v>
      </c>
      <c r="C18">
        <v>4</v>
      </c>
      <c r="J18" s="20">
        <v>4</v>
      </c>
    </row>
    <row r="19" spans="2:12" x14ac:dyDescent="0.25">
      <c r="B19" s="20" t="s">
        <v>87</v>
      </c>
      <c r="C19">
        <v>8</v>
      </c>
      <c r="J19" s="20">
        <v>8</v>
      </c>
    </row>
    <row r="20" spans="2:12" x14ac:dyDescent="0.25">
      <c r="B20" s="20" t="s">
        <v>51</v>
      </c>
      <c r="C20">
        <v>61</v>
      </c>
      <c r="D20">
        <v>1</v>
      </c>
      <c r="I20">
        <v>2</v>
      </c>
      <c r="J20" s="20">
        <v>64</v>
      </c>
    </row>
    <row r="21" spans="2:12" x14ac:dyDescent="0.25">
      <c r="B21" s="20" t="s">
        <v>170</v>
      </c>
      <c r="C21">
        <v>8</v>
      </c>
      <c r="F21">
        <v>1</v>
      </c>
      <c r="G21">
        <v>3</v>
      </c>
      <c r="I21">
        <v>2</v>
      </c>
      <c r="J21" s="20">
        <v>14</v>
      </c>
    </row>
    <row r="22" spans="2:12" x14ac:dyDescent="0.25">
      <c r="B22" s="20" t="s">
        <v>168</v>
      </c>
      <c r="C22">
        <v>8</v>
      </c>
      <c r="E22">
        <v>4</v>
      </c>
      <c r="J22" s="20">
        <v>12</v>
      </c>
    </row>
    <row r="23" spans="2:12" x14ac:dyDescent="0.25">
      <c r="B23" s="20" t="s">
        <v>62</v>
      </c>
      <c r="C23">
        <v>12</v>
      </c>
      <c r="J23" s="20">
        <v>12</v>
      </c>
    </row>
    <row r="24" spans="2:12" x14ac:dyDescent="0.25">
      <c r="B24" s="20" t="s">
        <v>28</v>
      </c>
      <c r="C24">
        <v>40</v>
      </c>
      <c r="E24">
        <v>2</v>
      </c>
      <c r="F24">
        <v>2</v>
      </c>
      <c r="I24">
        <v>5</v>
      </c>
      <c r="J24" s="20">
        <v>49</v>
      </c>
    </row>
    <row r="25" spans="2:12" x14ac:dyDescent="0.25">
      <c r="B25" s="20" t="s">
        <v>394</v>
      </c>
      <c r="C25">
        <v>4</v>
      </c>
      <c r="H25">
        <v>4</v>
      </c>
      <c r="J25" s="20">
        <v>8</v>
      </c>
    </row>
    <row r="26" spans="2:12" x14ac:dyDescent="0.25">
      <c r="B26" s="20" t="s">
        <v>298</v>
      </c>
      <c r="D26">
        <v>3</v>
      </c>
      <c r="J26" s="20">
        <v>3</v>
      </c>
    </row>
    <row r="27" spans="2:12" x14ac:dyDescent="0.25">
      <c r="B27" s="20" t="s">
        <v>303</v>
      </c>
      <c r="C27">
        <v>4</v>
      </c>
      <c r="J27" s="20">
        <v>4</v>
      </c>
    </row>
    <row r="28" spans="2:12" x14ac:dyDescent="0.25">
      <c r="B28" s="92" t="s">
        <v>573</v>
      </c>
      <c r="C28" s="92">
        <v>193</v>
      </c>
      <c r="D28" s="92">
        <v>4</v>
      </c>
      <c r="E28" s="92">
        <v>9</v>
      </c>
      <c r="F28" s="92">
        <v>5</v>
      </c>
      <c r="G28" s="92">
        <v>3</v>
      </c>
      <c r="H28" s="92">
        <v>4</v>
      </c>
      <c r="I28" s="92">
        <v>12</v>
      </c>
      <c r="J28" s="91">
        <v>230</v>
      </c>
    </row>
    <row r="29" spans="2:12" x14ac:dyDescent="0.25">
      <c r="J29" s="20"/>
    </row>
    <row r="30" spans="2:12" ht="34.5" x14ac:dyDescent="0.55000000000000004">
      <c r="B30" s="192" t="s">
        <v>627</v>
      </c>
      <c r="C30" s="192"/>
      <c r="D30" s="192"/>
      <c r="E30" s="192"/>
      <c r="F30" s="192"/>
      <c r="G30" s="192"/>
      <c r="H30" s="192"/>
      <c r="I30" s="192"/>
      <c r="J30" s="192"/>
      <c r="K30" s="62"/>
      <c r="L30" s="62"/>
    </row>
    <row r="81" spans="2:13" x14ac:dyDescent="0.25">
      <c r="B81" s="20" t="s">
        <v>645</v>
      </c>
    </row>
    <row r="82" spans="2:13" ht="26.25" x14ac:dyDescent="0.4">
      <c r="B82" s="195" t="s">
        <v>631</v>
      </c>
      <c r="C82" s="195"/>
      <c r="D82" s="195"/>
      <c r="E82" s="195"/>
      <c r="F82" s="195"/>
      <c r="G82" s="195"/>
      <c r="H82" s="195"/>
      <c r="I82" s="195"/>
      <c r="J82" s="195"/>
      <c r="K82" s="195"/>
      <c r="L82" s="195"/>
      <c r="M82" s="195"/>
    </row>
    <row r="83" spans="2:13" ht="26.25" x14ac:dyDescent="0.4">
      <c r="B83" s="71" t="s">
        <v>644</v>
      </c>
    </row>
    <row r="84" spans="2:13" ht="18" customHeight="1" x14ac:dyDescent="0.4">
      <c r="B84" s="71"/>
    </row>
    <row r="85" spans="2:13" ht="26.25" x14ac:dyDescent="0.4">
      <c r="B85" s="192" t="s">
        <v>633</v>
      </c>
      <c r="C85" s="192"/>
      <c r="D85" s="192"/>
      <c r="E85" s="192"/>
      <c r="F85" s="192"/>
      <c r="G85" s="192"/>
      <c r="H85" s="192"/>
      <c r="I85" s="192"/>
      <c r="J85" s="192"/>
      <c r="K85" s="192"/>
      <c r="L85" s="192"/>
      <c r="M85" s="192"/>
    </row>
    <row r="86" spans="2:13" x14ac:dyDescent="0.25">
      <c r="B86" s="93"/>
      <c r="C86" s="98" t="s">
        <v>610</v>
      </c>
      <c r="D86" s="98" t="s">
        <v>614</v>
      </c>
      <c r="E86" s="98" t="s">
        <v>607</v>
      </c>
      <c r="F86" s="98" t="s">
        <v>608</v>
      </c>
      <c r="G86" s="98" t="s">
        <v>609</v>
      </c>
      <c r="H86" s="98" t="s">
        <v>656</v>
      </c>
      <c r="I86" s="116" t="s">
        <v>636</v>
      </c>
      <c r="J86" s="116" t="s">
        <v>659</v>
      </c>
      <c r="K86" s="136" t="s">
        <v>665</v>
      </c>
    </row>
    <row r="87" spans="2:13" ht="15.75" thickBot="1" x14ac:dyDescent="0.3">
      <c r="B87" s="94" t="s">
        <v>632</v>
      </c>
      <c r="C87" s="80">
        <f>MIN(IT!$L$2:$L$231)</f>
        <v>247597000</v>
      </c>
      <c r="D87" s="78">
        <f>_xlfn.PERCENTILE.INC(IT!$L$2:$L$231, 0.25)</f>
        <v>916509250</v>
      </c>
      <c r="E87" s="78">
        <f>MEDIAN(IT!$L$2:$L$231)</f>
        <v>2032461000</v>
      </c>
      <c r="F87" s="78">
        <f>_xlfn.PERCENTILE.INC(IT!$L$2:$L$231, 0.75)</f>
        <v>3150335000</v>
      </c>
      <c r="G87" s="78">
        <f>MAX(IT!$L$2:$L$231)</f>
        <v>32370000000</v>
      </c>
      <c r="H87">
        <f>AVERAGE(IT!$L$2:$L$231)</f>
        <v>4148828169.5652175</v>
      </c>
      <c r="I87" s="137">
        <f>_xlfn.STDEV.P(Table6[Total Operating Expence])</f>
        <v>6568468904.6523914</v>
      </c>
      <c r="J87" s="142">
        <f>SKEW(Table6[Total Operating Expence])</f>
        <v>2.7677522593132866</v>
      </c>
      <c r="K87" s="140">
        <f>SKEW(Table6[Total Operating Expence])</f>
        <v>2.7677522593132866</v>
      </c>
    </row>
    <row r="88" spans="2:13" ht="16.5" thickTop="1" thickBot="1" x14ac:dyDescent="0.3">
      <c r="B88" s="95" t="s">
        <v>634</v>
      </c>
      <c r="C88" s="81"/>
      <c r="D88" s="135"/>
      <c r="E88" s="135"/>
      <c r="F88" s="135"/>
      <c r="G88" s="135"/>
      <c r="H88" s="135"/>
      <c r="I88" s="138"/>
      <c r="J88" s="143"/>
      <c r="K88" s="141"/>
    </row>
    <row r="89" spans="2:13" ht="15.75" thickTop="1" x14ac:dyDescent="0.25">
      <c r="B89" s="96" t="s">
        <v>26</v>
      </c>
      <c r="C89" s="78" cm="1">
        <f t="array" ref="C89">MIN(_xlfn._xlws.FILTER((IT!$L$2:$L$231),IT!$J$2:$J$231='IT Pivot Table'!$B89))</f>
        <v>911000000</v>
      </c>
      <c r="D89" s="78" cm="1">
        <f t="array" ref="D89">_xlfn.PERCENTILE.INC(_xlfn._xlws.FILTER(IT!$L$2:$L$231,IT!$J$2:$J$231='IT Pivot Table'!$B89), 0.25)</f>
        <v>1524750000</v>
      </c>
      <c r="E89" s="78" cm="1">
        <f t="array" ref="E89">MEDIAN(_xlfn._xlws.FILTER(IT!$L$2:$L$231,IT!$J$2:$J$231='IT Pivot Table'!$B89))</f>
        <v>2262050000</v>
      </c>
      <c r="F89" s="78" cm="1">
        <f t="array" ref="F89">_xlfn.PERCENTILE.INC(_xlfn._xlws.FILTER(IT!$L$2:$L$231,IT!$J$2:$J$231='IT Pivot Table'!$B89), 0.75)</f>
        <v>3037701500</v>
      </c>
      <c r="G89" s="78" cm="1">
        <f t="array" ref="G89">MAX(_xlfn._xlws.FILTER((IT!$L$2:$L$231),IT!$J$2:$J$231='IT Pivot Table'!$B89))</f>
        <v>4548000000</v>
      </c>
      <c r="H89" s="78" cm="1">
        <f t="array" ref="H89">AVERAGE(_xlfn._xlws.FILTER((IT!$L$2:$L$231),IT!$J$2:$J$231='IT Pivot Table'!$B89))</f>
        <v>2317384250</v>
      </c>
      <c r="I89" s="82" cm="1">
        <f t="array" ref="I89">_xlfn.STDEV.P(_xlfn._xlws.FILTER(IT!$L$2:$L$231,IT!$J$2:$J$231='IT Pivot Table'!$B89))</f>
        <v>1041247446.9558427</v>
      </c>
      <c r="J89" s="34" cm="1">
        <f t="array" ref="J89">SKEW(_xlfn._xlws.FILTER(IT!$L$2:$L$231,IT!$J$2:$J$231='IT Pivot Table'!$B89))</f>
        <v>0.2606029342966103</v>
      </c>
      <c r="K89" s="35" cm="1">
        <f t="array" ref="K89">KURT(_xlfn._xlws.FILTER(IT!$L$2:$L$231,IT!$J$2:$J$231='IT Pivot Table'!$B89))</f>
        <v>-0.54141533473051373</v>
      </c>
    </row>
    <row r="90" spans="2:13" x14ac:dyDescent="0.25">
      <c r="B90" s="96" t="s">
        <v>17</v>
      </c>
      <c r="C90" s="78" cm="1">
        <f t="array" ref="C90">MIN(_xlfn._xlws.FILTER((IT!$L$2:$L$231),IT!$J$2:$J$231='IT Pivot Table'!$B90))</f>
        <v>5244000000</v>
      </c>
      <c r="D90" s="78" cm="1">
        <f t="array" ref="D90">_xlfn.PERCENTILE.INC(_xlfn._xlws.FILTER(IT!$L$2:$L$231,IT!$J$2:$J$231='IT Pivot Table'!$B90), 0.25)</f>
        <v>6580000000</v>
      </c>
      <c r="E90" s="78" cm="1">
        <f t="array" ref="E90">MEDIAN(_xlfn._xlws.FILTER(IT!$L$2:$L$231,IT!$J$2:$J$231='IT Pivot Table'!$B90))</f>
        <v>16540000000</v>
      </c>
      <c r="F90" s="78" cm="1">
        <f t="array" ref="F90">_xlfn.PERCENTILE.INC(_xlfn._xlws.FILTER(IT!$L$2:$L$231,IT!$J$2:$J$231='IT Pivot Table'!$B90), 0.75)</f>
        <v>19124500000</v>
      </c>
      <c r="G90" s="78" cm="1">
        <f t="array" ref="G90">MAX(_xlfn._xlws.FILTER((IT!$L$2:$L$231),IT!$J$2:$J$231='IT Pivot Table'!$B90))</f>
        <v>24239000000</v>
      </c>
      <c r="H90" s="78" cm="1">
        <f t="array" ref="H90">AVERAGE(_xlfn._xlws.FILTER((IT!$L$2:$L$231),IT!$J$2:$J$231='IT Pivot Table'!$B90))</f>
        <v>14467125000</v>
      </c>
      <c r="I90" s="82" cm="1">
        <f t="array" ref="I90">_xlfn.STDEV.P(_xlfn._xlws.FILTER(IT!$L$2:$L$231,IT!$J$2:$J$231='IT Pivot Table'!$B90))</f>
        <v>7063971199.6422377</v>
      </c>
      <c r="J90" s="34" cm="1">
        <f t="array" ref="J90">SKEW(_xlfn._xlws.FILTER(IT!$L$2:$L$231,IT!$J$2:$J$231='IT Pivot Table'!$B90))</f>
        <v>-0.15046856089659397</v>
      </c>
      <c r="K90" s="35" cm="1">
        <f t="array" ref="K90">KURT(_xlfn._xlws.FILTER(IT!$L$2:$L$231,IT!$J$2:$J$231='IT Pivot Table'!$B90))</f>
        <v>-1.8096828079622513</v>
      </c>
    </row>
    <row r="91" spans="2:13" x14ac:dyDescent="0.25">
      <c r="B91" s="96" t="s">
        <v>483</v>
      </c>
      <c r="C91" s="78" cm="1">
        <f t="array" ref="C91">MIN(_xlfn._xlws.FILTER((IT!$L$2:$L$231),IT!$J$2:$J$231='IT Pivot Table'!$B91))</f>
        <v>1719000000</v>
      </c>
      <c r="D91" s="78" cm="1">
        <f t="array" ref="D91">_xlfn.PERCENTILE.INC(_xlfn._xlws.FILTER(IT!$L$2:$L$231,IT!$J$2:$J$231='IT Pivot Table'!$B91), 0.25)</f>
        <v>1958000000</v>
      </c>
      <c r="E91" s="78" cm="1">
        <f t="array" ref="E91">MEDIAN(_xlfn._xlws.FILTER(IT!$L$2:$L$231,IT!$J$2:$J$231='IT Pivot Table'!$B91))</f>
        <v>2307500000</v>
      </c>
      <c r="F91" s="78" cm="1">
        <f t="array" ref="F91">_xlfn.PERCENTILE.INC(_xlfn._xlws.FILTER(IT!$L$2:$L$231,IT!$J$2:$J$231='IT Pivot Table'!$B91), 0.75)</f>
        <v>2699750000</v>
      </c>
      <c r="G91" s="78" cm="1">
        <f t="array" ref="G91">MAX(_xlfn._xlws.FILTER((IT!$L$2:$L$231),IT!$J$2:$J$231='IT Pivot Table'!$B91))</f>
        <v>3097000000</v>
      </c>
      <c r="H91" s="78" cm="1">
        <f t="array" ref="H91">AVERAGE(_xlfn._xlws.FILTER((IT!$L$2:$L$231),IT!$J$2:$J$231='IT Pivot Table'!$B91))</f>
        <v>2356500000</v>
      </c>
      <c r="I91" s="82" cm="1">
        <f t="array" ref="I91">_xlfn.STDEV.P(_xlfn._xlws.FILTER(IT!$L$2:$L$231,IT!$J$2:$J$231='IT Pivot Table'!$B91))</f>
        <v>490663326.5284853</v>
      </c>
      <c r="J91" s="34" cm="1">
        <f t="array" ref="J91">SKEW(_xlfn._xlws.FILTER(IT!$L$2:$L$231,IT!$J$2:$J$231='IT Pivot Table'!$B91))</f>
        <v>0.2549726577996575</v>
      </c>
      <c r="K91" s="35" cm="1">
        <f t="array" ref="K91">KURT(_xlfn._xlws.FILTER(IT!$L$2:$L$231,IT!$J$2:$J$231='IT Pivot Table'!$B91))</f>
        <v>-1.7002531755019508</v>
      </c>
    </row>
    <row r="92" spans="2:13" x14ac:dyDescent="0.25">
      <c r="B92" s="96" t="s">
        <v>33</v>
      </c>
      <c r="C92" s="78" cm="1">
        <f t="array" ref="C92">MIN(_xlfn._xlws.FILTER((IT!$L$2:$L$231),IT!$J$2:$J$231='IT Pivot Table'!$B92))</f>
        <v>274935000</v>
      </c>
      <c r="D92" s="78" cm="1">
        <f t="array" ref="D92">_xlfn.PERCENTILE.INC(_xlfn._xlws.FILTER(IT!$L$2:$L$231,IT!$J$2:$J$231='IT Pivot Table'!$B92), 0.25)</f>
        <v>501679000</v>
      </c>
      <c r="E92" s="78" cm="1">
        <f t="array" ref="E92">MEDIAN(_xlfn._xlws.FILTER(IT!$L$2:$L$231,IT!$J$2:$J$231='IT Pivot Table'!$B92))</f>
        <v>925910500</v>
      </c>
      <c r="F92" s="78" cm="1">
        <f t="array" ref="F92">_xlfn.PERCENTILE.INC(_xlfn._xlws.FILTER(IT!$L$2:$L$231,IT!$J$2:$J$231='IT Pivot Table'!$B92), 0.75)</f>
        <v>1221137500</v>
      </c>
      <c r="G92" s="78" cm="1">
        <f t="array" ref="G92">MAX(_xlfn._xlws.FILTER((IT!$L$2:$L$231),IT!$J$2:$J$231='IT Pivot Table'!$B92))</f>
        <v>1325567000</v>
      </c>
      <c r="H92" s="78" cm="1">
        <f t="array" ref="H92">AVERAGE(_xlfn._xlws.FILTER((IT!$L$2:$L$231),IT!$J$2:$J$231='IT Pivot Table'!$B92))</f>
        <v>853697125</v>
      </c>
      <c r="I92" s="82" cm="1">
        <f t="array" ref="I92">_xlfn.STDEV.P(_xlfn._xlws.FILTER(IT!$L$2:$L$231,IT!$J$2:$J$231='IT Pivot Table'!$B92))</f>
        <v>411103374.89506114</v>
      </c>
      <c r="J92" s="34" cm="1">
        <f t="array" ref="J92">SKEW(_xlfn._xlws.FILTER(IT!$L$2:$L$231,IT!$J$2:$J$231='IT Pivot Table'!$B92))</f>
        <v>-0.25026509518007267</v>
      </c>
      <c r="K92" s="35" cm="1">
        <f t="array" ref="K92">KURT(_xlfn._xlws.FILTER(IT!$L$2:$L$231,IT!$J$2:$J$231='IT Pivot Table'!$B92))</f>
        <v>-2.0697809554522109</v>
      </c>
    </row>
    <row r="93" spans="2:13" x14ac:dyDescent="0.25">
      <c r="B93" s="96" t="s">
        <v>83</v>
      </c>
      <c r="C93" s="78" cm="1">
        <f t="array" ref="C93">MIN(_xlfn._xlws.FILTER((IT!$L$2:$L$231),IT!$J$2:$J$231='IT Pivot Table'!$B93))</f>
        <v>512900000</v>
      </c>
      <c r="D93" s="78" cm="1">
        <f t="array" ref="D93">_xlfn.PERCENTILE.INC(_xlfn._xlws.FILTER(IT!$L$2:$L$231,IT!$J$2:$J$231='IT Pivot Table'!$B93), 0.25)</f>
        <v>620825000</v>
      </c>
      <c r="E93" s="78" cm="1">
        <f t="array" ref="E93">MEDIAN(_xlfn._xlws.FILTER(IT!$L$2:$L$231,IT!$J$2:$J$231='IT Pivot Table'!$B93))</f>
        <v>1268050000</v>
      </c>
      <c r="F93" s="78" cm="1">
        <f t="array" ref="F93">_xlfn.PERCENTILE.INC(_xlfn._xlws.FILTER(IT!$L$2:$L$231,IT!$J$2:$J$231='IT Pivot Table'!$B93), 0.75)</f>
        <v>2107000000</v>
      </c>
      <c r="G93" s="78" cm="1">
        <f t="array" ref="G93">MAX(_xlfn._xlws.FILTER((IT!$L$2:$L$231),IT!$J$2:$J$231='IT Pivot Table'!$B93))</f>
        <v>2331000000</v>
      </c>
      <c r="H93" s="78" cm="1">
        <f t="array" ref="H93">AVERAGE(_xlfn._xlws.FILTER((IT!$L$2:$L$231),IT!$J$2:$J$231='IT Pivot Table'!$B93))</f>
        <v>1362637500</v>
      </c>
      <c r="I93" s="82" cm="1">
        <f t="array" ref="I93">_xlfn.STDEV.P(_xlfn._xlws.FILTER(IT!$L$2:$L$231,IT!$J$2:$J$231='IT Pivot Table'!$B93))</f>
        <v>781345440.47031474</v>
      </c>
      <c r="J93" s="34" cm="1">
        <f t="array" ref="J93">SKEW(_xlfn._xlws.FILTER(IT!$L$2:$L$231,IT!$J$2:$J$231='IT Pivot Table'!$B93))</f>
        <v>8.8535494225806435E-2</v>
      </c>
      <c r="K93" s="35" cm="1">
        <f t="array" ref="K93">KURT(_xlfn._xlws.FILTER(IT!$L$2:$L$231,IT!$J$2:$J$231='IT Pivot Table'!$B93))</f>
        <v>-2.5564238803592008</v>
      </c>
    </row>
    <row r="94" spans="2:13" x14ac:dyDescent="0.25">
      <c r="B94" s="96" t="s">
        <v>253</v>
      </c>
      <c r="C94" s="78" cm="1">
        <f t="array" ref="C94">MIN(_xlfn._xlws.FILTER((IT!$L$2:$L$231),IT!$J$2:$J$231='IT Pivot Table'!$B94))</f>
        <v>429854000</v>
      </c>
      <c r="D94" s="78" cm="1">
        <f t="array" ref="D94">_xlfn.PERCENTILE.INC(_xlfn._xlws.FILTER(IT!$L$2:$L$231,IT!$J$2:$J$231='IT Pivot Table'!$B94), 0.25)</f>
        <v>442290500</v>
      </c>
      <c r="E94" s="78" cm="1">
        <f t="array" ref="E94">MEDIAN(_xlfn._xlws.FILTER(IT!$L$2:$L$231,IT!$J$2:$J$231='IT Pivot Table'!$B94))</f>
        <v>458435500</v>
      </c>
      <c r="F94" s="78" cm="1">
        <f t="array" ref="F94">_xlfn.PERCENTILE.INC(_xlfn._xlws.FILTER(IT!$L$2:$L$231,IT!$J$2:$J$231='IT Pivot Table'!$B94), 0.75)</f>
        <v>471512750</v>
      </c>
      <c r="G94" s="78" cm="1">
        <f t="array" ref="G94">MAX(_xlfn._xlws.FILTER((IT!$L$2:$L$231),IT!$J$2:$J$231='IT Pivot Table'!$B94))</f>
        <v>474746000</v>
      </c>
      <c r="H94" s="78" cm="1">
        <f t="array" ref="H94">AVERAGE(_xlfn._xlws.FILTER((IT!$L$2:$L$231),IT!$J$2:$J$231='IT Pivot Table'!$B94))</f>
        <v>455367750</v>
      </c>
      <c r="I94" s="82" cm="1">
        <f t="array" ref="I94">_xlfn.STDEV.P(_xlfn._xlws.FILTER(IT!$L$2:$L$231,IT!$J$2:$J$231='IT Pivot Table'!$B94))</f>
        <v>18256958.897568345</v>
      </c>
      <c r="J94" s="34" cm="1">
        <f t="array" ref="J94">SKEW(_xlfn._xlws.FILTER(IT!$L$2:$L$231,IT!$J$2:$J$231='IT Pivot Table'!$B94))</f>
        <v>-0.47129175226141495</v>
      </c>
      <c r="K94" s="35" cm="1">
        <f t="array" ref="K94">KURT(_xlfn._xlws.FILTER(IT!$L$2:$L$231,IT!$J$2:$J$231='IT Pivot Table'!$B94))</f>
        <v>-2.9916604205627397</v>
      </c>
    </row>
    <row r="95" spans="2:13" x14ac:dyDescent="0.25">
      <c r="B95" s="96" t="s">
        <v>500</v>
      </c>
      <c r="C95" s="78" cm="1">
        <f t="array" ref="C95">MIN(_xlfn._xlws.FILTER((IT!$L$2:$L$231),IT!$J$2:$J$231='IT Pivot Table'!$B95))</f>
        <v>2030000000</v>
      </c>
      <c r="D95" s="78" cm="1">
        <f t="array" ref="D95">_xlfn.PERCENTILE.INC(_xlfn._xlws.FILTER(IT!$L$2:$L$231,IT!$J$2:$J$231='IT Pivot Table'!$B95), 0.25)</f>
        <v>2087750000</v>
      </c>
      <c r="E95" s="78" cm="1">
        <f t="array" ref="E95">MEDIAN(_xlfn._xlws.FILTER(IT!$L$2:$L$231,IT!$J$2:$J$231='IT Pivot Table'!$B95))</f>
        <v>2112000000</v>
      </c>
      <c r="F95" s="78" cm="1">
        <f t="array" ref="F95">_xlfn.PERCENTILE.INC(_xlfn._xlws.FILTER(IT!$L$2:$L$231,IT!$J$2:$J$231='IT Pivot Table'!$B95), 0.75)</f>
        <v>2120500000</v>
      </c>
      <c r="G95" s="78" cm="1">
        <f t="array" ref="G95">MAX(_xlfn._xlws.FILTER((IT!$L$2:$L$231),IT!$J$2:$J$231='IT Pivot Table'!$B95))</f>
        <v>2131000000</v>
      </c>
      <c r="H95" s="78" cm="1">
        <f t="array" ref="H95">AVERAGE(_xlfn._xlws.FILTER((IT!$L$2:$L$231),IT!$J$2:$J$231='IT Pivot Table'!$B95))</f>
        <v>2096250000</v>
      </c>
      <c r="I95" s="82" cm="1">
        <f t="array" ref="I95">_xlfn.STDEV.P(_xlfn._xlws.FILTER(IT!$L$2:$L$231,IT!$J$2:$J$231='IT Pivot Table'!$B95))</f>
        <v>39187848.882019542</v>
      </c>
      <c r="J95" s="34" cm="1">
        <f t="array" ref="J95">SKEW(_xlfn._xlws.FILTER(IT!$L$2:$L$231,IT!$J$2:$J$231='IT Pivot Table'!$B95))</f>
        <v>-1.7170484523219129</v>
      </c>
      <c r="K95" s="35" cm="1">
        <f t="array" ref="K95">KURT(_xlfn._xlws.FILTER(IT!$L$2:$L$231,IT!$J$2:$J$231='IT Pivot Table'!$B95))</f>
        <v>3.1331377652100905</v>
      </c>
    </row>
    <row r="96" spans="2:13" x14ac:dyDescent="0.25">
      <c r="B96" s="96" t="s">
        <v>87</v>
      </c>
      <c r="C96" s="78" cm="1">
        <f t="array" ref="C96">MIN(_xlfn._xlws.FILTER((IT!$L$2:$L$231),IT!$J$2:$J$231='IT Pivot Table'!$B96))</f>
        <v>1680000000</v>
      </c>
      <c r="D96" s="78" cm="1">
        <f t="array" ref="D96">_xlfn.PERCENTILE.INC(_xlfn._xlws.FILTER(IT!$L$2:$L$231,IT!$J$2:$J$231='IT Pivot Table'!$B96), 0.25)</f>
        <v>1732250000</v>
      </c>
      <c r="E96" s="78" cm="1">
        <f t="array" ref="E96">MEDIAN(_xlfn._xlws.FILTER(IT!$L$2:$L$231,IT!$J$2:$J$231='IT Pivot Table'!$B96))</f>
        <v>1949000000</v>
      </c>
      <c r="F96" s="78" cm="1">
        <f t="array" ref="F96">_xlfn.PERCENTILE.INC(_xlfn._xlws.FILTER(IT!$L$2:$L$231,IT!$J$2:$J$231='IT Pivot Table'!$B96), 0.75)</f>
        <v>2157000000</v>
      </c>
      <c r="G96" s="78" cm="1">
        <f t="array" ref="G96">MAX(_xlfn._xlws.FILTER((IT!$L$2:$L$231),IT!$J$2:$J$231='IT Pivot Table'!$B96))</f>
        <v>2261000000</v>
      </c>
      <c r="H96" s="78" cm="1">
        <f t="array" ref="H96">AVERAGE(_xlfn._xlws.FILTER((IT!$L$2:$L$231),IT!$J$2:$J$231='IT Pivot Table'!$B96))</f>
        <v>1952750000</v>
      </c>
      <c r="I96" s="82" cm="1">
        <f t="array" ref="I96">_xlfn.STDEV.P(_xlfn._xlws.FILTER(IT!$L$2:$L$231,IT!$J$2:$J$231='IT Pivot Table'!$B96))</f>
        <v>235718449.63854709</v>
      </c>
      <c r="J96" s="34" cm="1">
        <f t="array" ref="J96">SKEW(_xlfn._xlws.FILTER(IT!$L$2:$L$231,IT!$J$2:$J$231='IT Pivot Table'!$B96))</f>
        <v>5.0103233472539754E-2</v>
      </c>
      <c r="K96" s="35" cm="1">
        <f t="array" ref="K96">KURT(_xlfn._xlws.FILTER(IT!$L$2:$L$231,IT!$J$2:$J$231='IT Pivot Table'!$B96))</f>
        <v>-2.521274280648679</v>
      </c>
    </row>
    <row r="97" spans="2:28" x14ac:dyDescent="0.25">
      <c r="B97" s="96" t="s">
        <v>51</v>
      </c>
      <c r="C97" s="78" cm="1">
        <f t="array" ref="C97">MIN(_xlfn._xlws.FILTER((IT!$L$2:$L$231),IT!$J$2:$J$231='IT Pivot Table'!$B97))</f>
        <v>247597000</v>
      </c>
      <c r="D97" s="78" cm="1">
        <f t="array" ref="D97">_xlfn.PERCENTILE.INC(_xlfn._xlws.FILTER(IT!$L$2:$L$231,IT!$J$2:$J$231='IT Pivot Table'!$B97), 0.25)</f>
        <v>976500000</v>
      </c>
      <c r="E97" s="78" cm="1">
        <f t="array" ref="E97">MEDIAN(_xlfn._xlws.FILTER(IT!$L$2:$L$231,IT!$J$2:$J$231='IT Pivot Table'!$B97))</f>
        <v>2275500000</v>
      </c>
      <c r="F97" s="78" cm="1">
        <f t="array" ref="F97">_xlfn.PERCENTILE.INC(_xlfn._xlws.FILTER(IT!$L$2:$L$231,IT!$J$2:$J$231='IT Pivot Table'!$B97), 0.75)</f>
        <v>3161950000</v>
      </c>
      <c r="G97" s="78" cm="1">
        <f t="array" ref="G97">MAX(_xlfn._xlws.FILTER((IT!$L$2:$L$231),IT!$J$2:$J$231='IT Pivot Table'!$B97))</f>
        <v>11422000000</v>
      </c>
      <c r="H97" s="78" cm="1">
        <f t="array" ref="H97">AVERAGE(_xlfn._xlws.FILTER((IT!$L$2:$L$231),IT!$J$2:$J$231='IT Pivot Table'!$B97))</f>
        <v>2478566140.625</v>
      </c>
      <c r="I97" s="82" cm="1">
        <f t="array" ref="I97">_xlfn.STDEV.P(_xlfn._xlws.FILTER(IT!$L$2:$L$231,IT!$J$2:$J$231='IT Pivot Table'!$B97))</f>
        <v>2017654739.3830931</v>
      </c>
      <c r="J97" s="34" cm="1">
        <f t="array" ref="J97">SKEW(_xlfn._xlws.FILTER(IT!$L$2:$L$231,IT!$J$2:$J$231='IT Pivot Table'!$B97))</f>
        <v>1.8524036726778108</v>
      </c>
      <c r="K97" s="35" cm="1">
        <f t="array" ref="K97">KURT(_xlfn._xlws.FILTER(IT!$L$2:$L$231,IT!$J$2:$J$231='IT Pivot Table'!$B97))</f>
        <v>5.6419331485067792</v>
      </c>
    </row>
    <row r="98" spans="2:28" x14ac:dyDescent="0.25">
      <c r="B98" s="96" t="s">
        <v>170</v>
      </c>
      <c r="C98" s="78" cm="1">
        <f t="array" ref="C98">MIN(_xlfn._xlws.FILTER((IT!$L$2:$L$231),IT!$J$2:$J$231='IT Pivot Table'!$B98))</f>
        <v>331265000</v>
      </c>
      <c r="D98" s="78" cm="1">
        <f t="array" ref="D98">_xlfn.PERCENTILE.INC(_xlfn._xlws.FILTER(IT!$L$2:$L$231,IT!$J$2:$J$231='IT Pivot Table'!$B98), 0.25)</f>
        <v>1984025000</v>
      </c>
      <c r="E98" s="78" cm="1">
        <f t="array" ref="E98">MEDIAN(_xlfn._xlws.FILTER(IT!$L$2:$L$231,IT!$J$2:$J$231='IT Pivot Table'!$B98))</f>
        <v>4788500000</v>
      </c>
      <c r="F98" s="78" cm="1">
        <f t="array" ref="F98">_xlfn.PERCENTILE.INC(_xlfn._xlws.FILTER(IT!$L$2:$L$231,IT!$J$2:$J$231='IT Pivot Table'!$B98), 0.75)</f>
        <v>20084750000</v>
      </c>
      <c r="G98" s="78" cm="1">
        <f t="array" ref="G98">MAX(_xlfn._xlws.FILTER((IT!$L$2:$L$231),IT!$J$2:$J$231='IT Pivot Table'!$B98))</f>
        <v>28372000000</v>
      </c>
      <c r="H98" s="78" cm="1">
        <f t="array" ref="H98">AVERAGE(_xlfn._xlws.FILTER((IT!$L$2:$L$231),IT!$J$2:$J$231='IT Pivot Table'!$B98))</f>
        <v>9920199000</v>
      </c>
      <c r="I98" s="82" cm="1">
        <f t="array" ref="I98">_xlfn.STDEV.P(_xlfn._xlws.FILTER(IT!$L$2:$L$231,IT!$J$2:$J$231='IT Pivot Table'!$B98))</f>
        <v>11164856496.871368</v>
      </c>
      <c r="J98" s="34" cm="1">
        <f t="array" ref="J98">SKEW(_xlfn._xlws.FILTER(IT!$L$2:$L$231,IT!$J$2:$J$231='IT Pivot Table'!$B98))</f>
        <v>1.0097871854933347</v>
      </c>
      <c r="K98" s="35" cm="1">
        <f t="array" ref="K98">KURT(_xlfn._xlws.FILTER(IT!$L$2:$L$231,IT!$J$2:$J$231='IT Pivot Table'!$B98))</f>
        <v>-1.0085309797360003</v>
      </c>
    </row>
    <row r="99" spans="2:28" x14ac:dyDescent="0.25">
      <c r="B99" s="96" t="s">
        <v>168</v>
      </c>
      <c r="C99" s="78" cm="1">
        <f t="array" ref="C99">MIN(_xlfn._xlws.FILTER((IT!$L$2:$L$231),IT!$J$2:$J$231='IT Pivot Table'!$B99))</f>
        <v>797449000</v>
      </c>
      <c r="D99" s="78" cm="1">
        <f t="array" ref="D99">_xlfn.PERCENTILE.INC(_xlfn._xlws.FILTER(IT!$L$2:$L$231,IT!$J$2:$J$231='IT Pivot Table'!$B99), 0.25)</f>
        <v>1084716500</v>
      </c>
      <c r="E99" s="78" cm="1">
        <f t="array" ref="E99">MEDIAN(_xlfn._xlws.FILTER(IT!$L$2:$L$231,IT!$J$2:$J$231='IT Pivot Table'!$B99))</f>
        <v>2298650000</v>
      </c>
      <c r="F99" s="78" cm="1">
        <f t="array" ref="F99">_xlfn.PERCENTILE.INC(_xlfn._xlws.FILTER(IT!$L$2:$L$231,IT!$J$2:$J$231='IT Pivot Table'!$B99), 0.75)</f>
        <v>18012500000</v>
      </c>
      <c r="G99" s="78" cm="1">
        <f t="array" ref="G99">MAX(_xlfn._xlws.FILTER((IT!$L$2:$L$231),IT!$J$2:$J$231='IT Pivot Table'!$B99))</f>
        <v>18427000000</v>
      </c>
      <c r="H99" s="78" cm="1">
        <f t="array" ref="H99">AVERAGE(_xlfn._xlws.FILTER((IT!$L$2:$L$231),IT!$J$2:$J$231='IT Pivot Table'!$B99))</f>
        <v>7132036916.666667</v>
      </c>
      <c r="I99" s="82" cm="1">
        <f t="array" ref="I99">_xlfn.STDEV.P(_xlfn._xlws.FILTER(IT!$L$2:$L$231,IT!$J$2:$J$231='IT Pivot Table'!$B99))</f>
        <v>7811023419.9629536</v>
      </c>
      <c r="J99" s="34" cm="1">
        <f t="array" ref="J99">SKEW(_xlfn._xlws.FILTER(IT!$L$2:$L$231,IT!$J$2:$J$231='IT Pivot Table'!$B99))</f>
        <v>0.79536831849714573</v>
      </c>
      <c r="K99" s="35" cm="1">
        <f t="array" ref="K99">KURT(_xlfn._xlws.FILTER(IT!$L$2:$L$231,IT!$J$2:$J$231='IT Pivot Table'!$B99))</f>
        <v>-1.6477557195178316</v>
      </c>
    </row>
    <row r="100" spans="2:28" x14ac:dyDescent="0.25">
      <c r="B100" s="96" t="s">
        <v>62</v>
      </c>
      <c r="C100" s="78" cm="1">
        <f t="array" ref="C100">MIN(_xlfn._xlws.FILTER((IT!$L$2:$L$231),IT!$J$2:$J$231='IT Pivot Table'!$B100))</f>
        <v>860657000</v>
      </c>
      <c r="D100" s="78" cm="1">
        <f t="array" ref="D100">_xlfn.PERCENTILE.INC(_xlfn._xlws.FILTER(IT!$L$2:$L$231,IT!$J$2:$J$231='IT Pivot Table'!$B100), 0.25)</f>
        <v>934204000</v>
      </c>
      <c r="E100" s="78" cm="1">
        <f t="array" ref="E100">MEDIAN(_xlfn._xlws.FILTER(IT!$L$2:$L$231,IT!$J$2:$J$231='IT Pivot Table'!$B100))</f>
        <v>1373332500</v>
      </c>
      <c r="F100" s="78" cm="1">
        <f t="array" ref="F100">_xlfn.PERCENTILE.INC(_xlfn._xlws.FILTER(IT!$L$2:$L$231,IT!$J$2:$J$231='IT Pivot Table'!$B100), 0.75)</f>
        <v>2228250000</v>
      </c>
      <c r="G100" s="78" cm="1">
        <f t="array" ref="G100">MAX(_xlfn._xlws.FILTER((IT!$L$2:$L$231),IT!$J$2:$J$231='IT Pivot Table'!$B100))</f>
        <v>2359000000</v>
      </c>
      <c r="H100" s="78" cm="1">
        <f t="array" ref="H100">AVERAGE(_xlfn._xlws.FILTER((IT!$L$2:$L$231),IT!$J$2:$J$231='IT Pivot Table'!$B100))</f>
        <v>1527789666.6666667</v>
      </c>
      <c r="I100" s="82" cm="1">
        <f t="array" ref="I100">_xlfn.STDEV.P(_xlfn._xlws.FILTER(IT!$L$2:$L$231,IT!$J$2:$J$231='IT Pivot Table'!$B100))</f>
        <v>579367617.17213929</v>
      </c>
      <c r="J100" s="34" cm="1">
        <f t="array" ref="J100">SKEW(_xlfn._xlws.FILTER(IT!$L$2:$L$231,IT!$J$2:$J$231='IT Pivot Table'!$B100))</f>
        <v>0.38095307469893758</v>
      </c>
      <c r="K100" s="35" cm="1">
        <f t="array" ref="K100">KURT(_xlfn._xlws.FILTER(IT!$L$2:$L$231,IT!$J$2:$J$231='IT Pivot Table'!$B100))</f>
        <v>-1.6499072518567082</v>
      </c>
    </row>
    <row r="101" spans="2:28" x14ac:dyDescent="0.25">
      <c r="B101" s="96" t="s">
        <v>28</v>
      </c>
      <c r="C101" s="78" cm="1">
        <f t="array" ref="C101">MIN(_xlfn._xlws.FILTER((IT!$L$2:$L$231),IT!$J$2:$J$231='IT Pivot Table'!$B101))</f>
        <v>377586000</v>
      </c>
      <c r="D101" s="78" cm="1">
        <f t="array" ref="D101">_xlfn.PERCENTILE.INC(_xlfn._xlws.FILTER(IT!$L$2:$L$231,IT!$J$2:$J$231='IT Pivot Table'!$B101), 0.25)</f>
        <v>541700000</v>
      </c>
      <c r="E101" s="78" cm="1">
        <f t="array" ref="E101">MEDIAN(_xlfn._xlws.FILTER(IT!$L$2:$L$231,IT!$J$2:$J$231='IT Pivot Table'!$B101))</f>
        <v>1040382000</v>
      </c>
      <c r="F101" s="78" cm="1">
        <f t="array" ref="F101">_xlfn.PERCENTILE.INC(_xlfn._xlws.FILTER(IT!$L$2:$L$231,IT!$J$2:$J$231='IT Pivot Table'!$B101), 0.75)</f>
        <v>3028000000</v>
      </c>
      <c r="G101" s="78" cm="1">
        <f t="array" ref="G101">MAX(_xlfn._xlws.FILTER((IT!$L$2:$L$231),IT!$J$2:$J$231='IT Pivot Table'!$B101))</f>
        <v>21431000000</v>
      </c>
      <c r="H101" s="78" cm="1">
        <f t="array" ref="H101">AVERAGE(_xlfn._xlws.FILTER((IT!$L$2:$L$231),IT!$J$2:$J$231='IT Pivot Table'!$B101))</f>
        <v>3413281714.2857141</v>
      </c>
      <c r="I101" s="82" cm="1">
        <f t="array" ref="I101">_xlfn.STDEV.P(_xlfn._xlws.FILTER(IT!$L$2:$L$231,IT!$J$2:$J$231='IT Pivot Table'!$B101))</f>
        <v>5435469273.6090603</v>
      </c>
      <c r="J101" s="34" cm="1">
        <f t="array" ref="J101">SKEW(_xlfn._xlws.FILTER(IT!$L$2:$L$231,IT!$J$2:$J$231='IT Pivot Table'!$B101))</f>
        <v>2.4712820867065255</v>
      </c>
      <c r="K101" s="35" cm="1">
        <f t="array" ref="K101">KURT(_xlfn._xlws.FILTER(IT!$L$2:$L$231,IT!$J$2:$J$231='IT Pivot Table'!$B101))</f>
        <v>5.238514303634437</v>
      </c>
    </row>
    <row r="102" spans="2:28" x14ac:dyDescent="0.25">
      <c r="B102" s="96" t="s">
        <v>394</v>
      </c>
      <c r="C102" s="78" cm="1">
        <f t="array" ref="C102">MIN(_xlfn._xlws.FILTER((IT!$L$2:$L$231),IT!$J$2:$J$231='IT Pivot Table'!$B102))</f>
        <v>924037000</v>
      </c>
      <c r="D102" s="78" cm="1">
        <f t="array" ref="D102">_xlfn.PERCENTILE.INC(_xlfn._xlws.FILTER(IT!$L$2:$L$231,IT!$J$2:$J$231='IT Pivot Table'!$B102), 0.25)</f>
        <v>1216610750</v>
      </c>
      <c r="E102" s="78" cm="1">
        <f t="array" ref="E102">MEDIAN(_xlfn._xlws.FILTER(IT!$L$2:$L$231,IT!$J$2:$J$231='IT Pivot Table'!$B102))</f>
        <v>16077276500</v>
      </c>
      <c r="F102" s="78" cm="1">
        <f t="array" ref="F102">_xlfn.PERCENTILE.INC(_xlfn._xlws.FILTER(IT!$L$2:$L$231,IT!$J$2:$J$231='IT Pivot Table'!$B102), 0.75)</f>
        <v>31403250000</v>
      </c>
      <c r="G102" s="78" cm="1">
        <f t="array" ref="G102">MAX(_xlfn._xlws.FILTER((IT!$L$2:$L$231),IT!$J$2:$J$231='IT Pivot Table'!$B102))</f>
        <v>32370000000</v>
      </c>
      <c r="H102" s="78" cm="1">
        <f t="array" ref="H102">AVERAGE(_xlfn._xlws.FILTER((IT!$L$2:$L$231),IT!$J$2:$J$231='IT Pivot Table'!$B102))</f>
        <v>16362430125</v>
      </c>
      <c r="I102" s="82" cm="1">
        <f t="array" ref="I102">_xlfn.STDEV.P(_xlfn._xlws.FILTER(IT!$L$2:$L$231,IT!$J$2:$J$231='IT Pivot Table'!$B102))</f>
        <v>15191516367.206232</v>
      </c>
      <c r="J102" s="34" cm="1">
        <f t="array" ref="J102">SKEW(_xlfn._xlws.FILTER(IT!$L$2:$L$231,IT!$J$2:$J$231='IT Pivot Table'!$B102))</f>
        <v>2.8886057178868761E-3</v>
      </c>
      <c r="K102" s="35" cm="1">
        <f t="array" ref="K102">KURT(_xlfn._xlws.FILTER(IT!$L$2:$L$231,IT!$J$2:$J$231='IT Pivot Table'!$B102))</f>
        <v>-2.7920618007134643</v>
      </c>
    </row>
    <row r="103" spans="2:28" x14ac:dyDescent="0.25">
      <c r="B103" s="96" t="s">
        <v>298</v>
      </c>
      <c r="C103" s="78" cm="1">
        <f t="array" ref="C103">MIN(_xlfn._xlws.FILTER((IT!$L$2:$L$231),IT!$J$2:$J$231='IT Pivot Table'!$B103))</f>
        <v>11472000000</v>
      </c>
      <c r="D103" s="78" cm="1">
        <f t="array" ref="D103">_xlfn.PERCENTILE.INC(_xlfn._xlws.FILTER(IT!$L$2:$L$231,IT!$J$2:$J$231='IT Pivot Table'!$B103), 0.25)</f>
        <v>11646000000</v>
      </c>
      <c r="E103" s="78" cm="1">
        <f t="array" ref="E103">MEDIAN(_xlfn._xlws.FILTER(IT!$L$2:$L$231,IT!$J$2:$J$231='IT Pivot Table'!$B103))</f>
        <v>11820000000</v>
      </c>
      <c r="F103" s="78" cm="1">
        <f t="array" ref="F103">_xlfn.PERCENTILE.INC(_xlfn._xlws.FILTER(IT!$L$2:$L$231,IT!$J$2:$J$231='IT Pivot Table'!$B103), 0.75)</f>
        <v>12028500000</v>
      </c>
      <c r="G103" s="78" cm="1">
        <f t="array" ref="G103">MAX(_xlfn._xlws.FILTER((IT!$L$2:$L$231),IT!$J$2:$J$231='IT Pivot Table'!$B103))</f>
        <v>12237000000</v>
      </c>
      <c r="H103" s="78" cm="1">
        <f t="array" ref="H103">AVERAGE(_xlfn._xlws.FILTER((IT!$L$2:$L$231),IT!$J$2:$J$231='IT Pivot Table'!$B103))</f>
        <v>11843000000</v>
      </c>
      <c r="I103" s="82" cm="1">
        <f t="array" ref="I103">_xlfn.STDEV.P(_xlfn._xlws.FILTER(IT!$L$2:$L$231,IT!$J$2:$J$231='IT Pivot Table'!$B103))</f>
        <v>312733113.05328703</v>
      </c>
      <c r="J103" s="34" cm="1">
        <f t="array" ref="J103">SKEW(_xlfn._xlws.FILTER(IT!$L$2:$L$231,IT!$J$2:$J$231='IT Pivot Table'!$B103))</f>
        <v>0.26924769168302243</v>
      </c>
      <c r="K103" s="35" t="str" cm="1">
        <f t="array" ref="K103">IF(COUNT(_xlfn._xlws.FILTER(IT!$L$2:$L$231, IT!$J$2:$J$231='IT Pivot Table'!$B103)) &gt;= 4, KURT(_xlfn._xlws.FILTER(IT!$L$2:$L$231, IT!$J$2:$J$231='IT Pivot Table'!$B103)), "Insufficient data")</f>
        <v>Insufficient data</v>
      </c>
    </row>
    <row r="104" spans="2:28" x14ac:dyDescent="0.25">
      <c r="B104" s="97" t="s">
        <v>303</v>
      </c>
      <c r="C104" s="79" cm="1">
        <f t="array" ref="C104">MIN(_xlfn._xlws.FILTER((IT!$L$2:$L$231),IT!$J$2:$J$231='IT Pivot Table'!$B104))</f>
        <v>820000000</v>
      </c>
      <c r="D104" s="79" cm="1">
        <f t="array" ref="D104">_xlfn.PERCENTILE.INC(_xlfn._xlws.FILTER(IT!$L$2:$L$231,IT!$J$2:$J$231='IT Pivot Table'!$B104), 0.25)</f>
        <v>890500000</v>
      </c>
      <c r="E104" s="79" cm="1">
        <f t="array" ref="E104">MEDIAN(_xlfn._xlws.FILTER(IT!$L$2:$L$231,IT!$J$2:$J$231='IT Pivot Table'!$B104))</f>
        <v>945000000</v>
      </c>
      <c r="F104" s="79" cm="1">
        <f t="array" ref="F104">_xlfn.PERCENTILE.INC(_xlfn._xlws.FILTER(IT!$L$2:$L$231,IT!$J$2:$J$231='IT Pivot Table'!$B104), 0.75)</f>
        <v>1028500000</v>
      </c>
      <c r="G104" s="79" cm="1">
        <f t="array" ref="G104">MAX(_xlfn._xlws.FILTER((IT!$L$2:$L$231),IT!$J$2:$J$231='IT Pivot Table'!$B104))</f>
        <v>1186000000</v>
      </c>
      <c r="H104" s="79" cm="1">
        <f t="array" ref="H104">AVERAGE(_xlfn._xlws.FILTER((IT!$L$2:$L$231),IT!$J$2:$J$231='IT Pivot Table'!$B104))</f>
        <v>974000000</v>
      </c>
      <c r="I104" s="139" cm="1">
        <f t="array" ref="I104">_xlfn.STDEV.P(_xlfn._xlws.FILTER(IT!$L$2:$L$231,IT!$J$2:$J$231='IT Pivot Table'!$B104))</f>
        <v>134409821.06974179</v>
      </c>
      <c r="J104" s="39" cm="1">
        <f t="array" ref="J104">SKEW(_xlfn._xlws.FILTER(IT!$L$2:$L$231,IT!$J$2:$J$231='IT Pivot Table'!$B104))</f>
        <v>1.0092859713013236</v>
      </c>
      <c r="K104" s="38" cm="1">
        <f t="array" ref="K104">KURT(_xlfn._xlws.FILTER(IT!$L$2:$L$231,IT!$J$2:$J$231='IT Pivot Table'!$B104))</f>
        <v>1.4099725229786841</v>
      </c>
    </row>
    <row r="105" spans="2:28" x14ac:dyDescent="0.25">
      <c r="B105" s="20"/>
      <c r="C105" s="61"/>
      <c r="D105" s="61"/>
      <c r="E105" s="61"/>
      <c r="F105" s="61"/>
      <c r="G105" s="61"/>
      <c r="H105" s="66"/>
    </row>
    <row r="106" spans="2:28" x14ac:dyDescent="0.25">
      <c r="B106" s="18" t="s">
        <v>642</v>
      </c>
    </row>
    <row r="107" spans="2:28" x14ac:dyDescent="0.25">
      <c r="B107" s="18" t="s">
        <v>643</v>
      </c>
    </row>
    <row r="108" spans="2:28" x14ac:dyDescent="0.25">
      <c r="B108" s="20"/>
    </row>
    <row r="109" spans="2:28" ht="26.25" x14ac:dyDescent="0.4">
      <c r="B109" s="192" t="s">
        <v>635</v>
      </c>
      <c r="C109" s="192"/>
      <c r="D109" s="192"/>
      <c r="E109" s="192"/>
      <c r="F109" s="192"/>
      <c r="G109" s="192"/>
    </row>
    <row r="110" spans="2:28" x14ac:dyDescent="0.25">
      <c r="K110" s="67"/>
      <c r="L110" s="67"/>
      <c r="M110" s="67"/>
      <c r="N110" s="67"/>
      <c r="O110" s="67"/>
      <c r="P110" s="67"/>
      <c r="Q110" s="67"/>
    </row>
    <row r="111" spans="2:28" x14ac:dyDescent="0.25">
      <c r="K111" s="67"/>
      <c r="L111" s="67"/>
      <c r="M111" s="67"/>
      <c r="N111" s="67"/>
      <c r="O111" s="67"/>
      <c r="P111" s="67"/>
      <c r="Q111" s="67"/>
      <c r="R111" s="67"/>
      <c r="S111" s="67"/>
      <c r="T111" s="67"/>
      <c r="U111" s="67"/>
      <c r="V111" s="67"/>
      <c r="W111" s="67"/>
      <c r="X111" s="67"/>
      <c r="Y111" s="67"/>
      <c r="Z111" s="67"/>
      <c r="AA111" s="67"/>
      <c r="AB111" s="67"/>
    </row>
    <row r="115" spans="2:2" x14ac:dyDescent="0.25">
      <c r="B115" s="20"/>
    </row>
    <row r="157" spans="1:10" ht="26.25" x14ac:dyDescent="0.4">
      <c r="B157" s="70" t="s">
        <v>646</v>
      </c>
    </row>
    <row r="158" spans="1:10" ht="18.75" x14ac:dyDescent="0.25">
      <c r="A158" s="73" t="s">
        <v>637</v>
      </c>
      <c r="B158" s="197" t="s">
        <v>678</v>
      </c>
      <c r="C158" s="197"/>
      <c r="D158" s="197"/>
      <c r="E158" s="197"/>
      <c r="F158" s="197"/>
      <c r="G158" s="197"/>
      <c r="H158" s="197"/>
      <c r="I158" s="197"/>
      <c r="J158" s="197"/>
    </row>
    <row r="159" spans="1:10" ht="18.75" x14ac:dyDescent="0.25">
      <c r="A159" s="73" t="s">
        <v>638</v>
      </c>
      <c r="B159" s="196" t="s">
        <v>647</v>
      </c>
      <c r="C159" s="196"/>
      <c r="D159" s="196"/>
      <c r="E159" s="196"/>
      <c r="F159" s="196"/>
      <c r="G159" s="196"/>
      <c r="H159" s="196"/>
      <c r="I159" s="196"/>
      <c r="J159" s="196"/>
    </row>
    <row r="160" spans="1:10" ht="18.75" x14ac:dyDescent="0.25">
      <c r="A160" s="73" t="s">
        <v>639</v>
      </c>
      <c r="B160" s="196" t="s">
        <v>648</v>
      </c>
      <c r="C160" s="196"/>
      <c r="D160" s="196"/>
      <c r="E160" s="196"/>
      <c r="F160" s="196"/>
      <c r="G160" s="196"/>
      <c r="H160" s="196"/>
      <c r="I160" s="196"/>
      <c r="J160" s="196"/>
    </row>
    <row r="161" spans="1:10" ht="18.75" x14ac:dyDescent="0.25">
      <c r="A161" s="73" t="s">
        <v>640</v>
      </c>
      <c r="B161" s="196" t="s">
        <v>680</v>
      </c>
      <c r="C161" s="196"/>
      <c r="D161" s="196"/>
      <c r="E161" s="196"/>
      <c r="F161" s="196"/>
      <c r="G161" s="196"/>
      <c r="H161" s="196"/>
      <c r="I161" s="196"/>
      <c r="J161" s="196"/>
    </row>
    <row r="162" spans="1:10" ht="18.75" x14ac:dyDescent="0.25">
      <c r="A162" s="73" t="s">
        <v>641</v>
      </c>
      <c r="B162" s="196" t="s">
        <v>679</v>
      </c>
      <c r="C162" s="196"/>
      <c r="D162" s="196"/>
      <c r="E162" s="196"/>
      <c r="F162" s="196"/>
      <c r="G162" s="196"/>
      <c r="H162" s="196"/>
      <c r="I162" s="196"/>
      <c r="J162" s="196"/>
    </row>
    <row r="165" spans="1:10" ht="15.75" x14ac:dyDescent="0.25">
      <c r="B165" s="68"/>
    </row>
    <row r="169" spans="1:10" ht="15.75" x14ac:dyDescent="0.25">
      <c r="A169" s="69"/>
    </row>
    <row r="170" spans="1:10" ht="15.75" x14ac:dyDescent="0.25">
      <c r="A170" s="69"/>
    </row>
    <row r="171" spans="1:10" ht="15.75" x14ac:dyDescent="0.25">
      <c r="A171" s="69"/>
      <c r="B171" s="20"/>
      <c r="C171" s="20"/>
      <c r="D171" s="20"/>
      <c r="E171" s="20"/>
      <c r="F171" s="20"/>
      <c r="G171" s="20"/>
      <c r="H171" s="20"/>
      <c r="I171" s="20"/>
      <c r="J171" s="20"/>
    </row>
    <row r="172" spans="1:10" ht="15.75" x14ac:dyDescent="0.25">
      <c r="A172" s="69"/>
      <c r="B172" s="20"/>
      <c r="C172" s="20"/>
      <c r="D172" s="20"/>
      <c r="E172" s="20"/>
      <c r="F172" s="20"/>
      <c r="G172" s="20"/>
      <c r="H172" s="20"/>
      <c r="I172" s="20"/>
      <c r="J172" s="20"/>
    </row>
    <row r="173" spans="1:10" ht="15.75" x14ac:dyDescent="0.25">
      <c r="A173" s="69"/>
      <c r="B173" s="20"/>
      <c r="C173" s="20"/>
      <c r="D173" s="20"/>
      <c r="E173" s="20"/>
      <c r="F173" s="20"/>
      <c r="G173" s="20"/>
      <c r="H173" s="20"/>
      <c r="I173" s="20"/>
      <c r="J173" s="20"/>
    </row>
    <row r="174" spans="1:10" ht="15.75" x14ac:dyDescent="0.25">
      <c r="A174" s="72"/>
      <c r="B174" s="20"/>
      <c r="C174" s="20"/>
      <c r="D174" s="20"/>
      <c r="E174" s="20"/>
      <c r="F174" s="20"/>
      <c r="G174" s="20"/>
      <c r="H174" s="20"/>
      <c r="I174" s="20"/>
      <c r="J174" s="20"/>
    </row>
    <row r="175" spans="1:10" ht="15.75" x14ac:dyDescent="0.25">
      <c r="A175" s="72"/>
      <c r="B175" s="20"/>
      <c r="C175" s="20"/>
      <c r="D175" s="20"/>
      <c r="E175" s="20"/>
      <c r="F175" s="20"/>
      <c r="G175" s="20"/>
      <c r="H175" s="20"/>
      <c r="I175" s="20"/>
      <c r="J175" s="20"/>
    </row>
    <row r="176" spans="1:10" ht="15.75" x14ac:dyDescent="0.25">
      <c r="A176" s="72"/>
      <c r="B176" s="20"/>
      <c r="C176" s="20"/>
      <c r="D176" s="20"/>
      <c r="E176" s="20"/>
      <c r="F176" s="20"/>
      <c r="G176" s="20"/>
      <c r="H176" s="20"/>
      <c r="I176" s="20"/>
      <c r="J176" s="20"/>
    </row>
    <row r="177" spans="1:10" ht="15.75" x14ac:dyDescent="0.25">
      <c r="A177" s="72"/>
      <c r="B177" s="20"/>
      <c r="C177" s="20"/>
      <c r="D177" s="20"/>
      <c r="E177" s="20"/>
      <c r="F177" s="20"/>
      <c r="G177" s="20"/>
      <c r="H177" s="20"/>
      <c r="I177" s="20"/>
      <c r="J177" s="20"/>
    </row>
    <row r="178" spans="1:10" ht="15.75" x14ac:dyDescent="0.25">
      <c r="A178" s="72"/>
      <c r="B178" s="20"/>
      <c r="C178" s="20"/>
      <c r="D178" s="20"/>
      <c r="E178" s="20"/>
      <c r="F178" s="20"/>
      <c r="G178" s="20"/>
      <c r="H178" s="20"/>
      <c r="I178" s="20"/>
      <c r="J178" s="20"/>
    </row>
    <row r="179" spans="1:10" x14ac:dyDescent="0.25">
      <c r="B179" s="20"/>
      <c r="C179" s="20"/>
      <c r="D179" s="20"/>
      <c r="E179" s="20"/>
      <c r="F179" s="20"/>
      <c r="G179" s="20"/>
      <c r="H179" s="20"/>
      <c r="I179" s="20"/>
      <c r="J179" s="20"/>
    </row>
    <row r="180" spans="1:10" x14ac:dyDescent="0.25">
      <c r="B180" s="20"/>
      <c r="C180" s="20"/>
      <c r="D180" s="20"/>
      <c r="E180" s="20"/>
      <c r="F180" s="20"/>
      <c r="G180" s="20"/>
      <c r="H180" s="20"/>
      <c r="I180" s="20"/>
      <c r="J180" s="20"/>
    </row>
    <row r="181" spans="1:10" x14ac:dyDescent="0.25">
      <c r="B181" s="20"/>
      <c r="C181" s="20"/>
      <c r="D181" s="20"/>
      <c r="E181" s="20"/>
      <c r="F181" s="20"/>
      <c r="G181" s="20"/>
      <c r="H181" s="20"/>
      <c r="I181" s="20"/>
      <c r="J181" s="20"/>
    </row>
    <row r="182" spans="1:10" x14ac:dyDescent="0.25">
      <c r="B182" s="20"/>
      <c r="C182" s="20"/>
      <c r="D182" s="20"/>
      <c r="E182" s="20"/>
      <c r="F182" s="20"/>
      <c r="G182" s="20"/>
      <c r="H182" s="20"/>
      <c r="I182" s="20"/>
      <c r="J182" s="20"/>
    </row>
    <row r="183" spans="1:10" x14ac:dyDescent="0.25">
      <c r="B183" s="20"/>
      <c r="C183" s="20"/>
      <c r="D183" s="20"/>
      <c r="E183" s="20"/>
      <c r="F183" s="20"/>
      <c r="G183" s="20"/>
      <c r="H183" s="20"/>
      <c r="I183" s="20"/>
      <c r="J183" s="20"/>
    </row>
    <row r="184" spans="1:10" x14ac:dyDescent="0.25">
      <c r="B184" s="20"/>
      <c r="C184" s="20"/>
      <c r="D184" s="20"/>
      <c r="E184" s="20"/>
      <c r="F184" s="20"/>
      <c r="G184" s="20"/>
      <c r="H184" s="20"/>
      <c r="I184" s="20"/>
      <c r="J184" s="20"/>
    </row>
    <row r="185" spans="1:10" x14ac:dyDescent="0.25">
      <c r="B185" s="20"/>
      <c r="C185" s="20"/>
      <c r="D185" s="20"/>
      <c r="E185" s="20"/>
      <c r="F185" s="20"/>
      <c r="G185" s="20"/>
      <c r="H185" s="20"/>
      <c r="I185" s="20"/>
      <c r="J185" s="20"/>
    </row>
    <row r="186" spans="1:10" x14ac:dyDescent="0.25">
      <c r="B186" s="20"/>
      <c r="C186" s="20"/>
      <c r="D186" s="20"/>
      <c r="E186" s="20"/>
      <c r="F186" s="20"/>
      <c r="G186" s="20"/>
      <c r="H186" s="20"/>
      <c r="I186" s="20"/>
      <c r="J186" s="20"/>
    </row>
    <row r="187" spans="1:10" x14ac:dyDescent="0.25">
      <c r="B187" s="20"/>
      <c r="C187" s="20"/>
      <c r="D187" s="20"/>
      <c r="E187" s="20"/>
      <c r="F187" s="20"/>
      <c r="G187" s="20"/>
      <c r="H187" s="20"/>
      <c r="I187" s="20"/>
      <c r="J187" s="20"/>
    </row>
    <row r="188" spans="1:10" x14ac:dyDescent="0.25">
      <c r="B188" s="20"/>
      <c r="C188" s="20"/>
      <c r="D188" s="20"/>
      <c r="E188" s="20"/>
      <c r="F188" s="20"/>
      <c r="G188" s="20"/>
      <c r="H188" s="20"/>
      <c r="I188" s="20"/>
      <c r="J188" s="20"/>
    </row>
    <row r="189" spans="1:10" x14ac:dyDescent="0.25">
      <c r="B189" s="20"/>
      <c r="C189" s="20"/>
      <c r="D189" s="20"/>
      <c r="E189" s="20"/>
      <c r="F189" s="20"/>
      <c r="G189" s="20"/>
      <c r="H189" s="20"/>
      <c r="I189" s="20"/>
      <c r="J189" s="20"/>
    </row>
    <row r="190" spans="1:10" x14ac:dyDescent="0.25">
      <c r="B190" s="20"/>
      <c r="C190" s="20"/>
      <c r="D190" s="20"/>
      <c r="E190" s="20"/>
      <c r="F190" s="20"/>
      <c r="G190" s="20"/>
      <c r="H190" s="20"/>
      <c r="I190" s="20"/>
      <c r="J190" s="20"/>
    </row>
    <row r="191" spans="1:10" x14ac:dyDescent="0.25">
      <c r="B191" s="20"/>
      <c r="C191" s="20"/>
      <c r="D191" s="20"/>
      <c r="E191" s="20"/>
      <c r="F191" s="20"/>
      <c r="G191" s="20"/>
      <c r="H191" s="20"/>
      <c r="I191" s="20"/>
      <c r="J191" s="20"/>
    </row>
    <row r="192" spans="1:10" x14ac:dyDescent="0.25">
      <c r="B192" s="20"/>
      <c r="C192" s="20"/>
      <c r="D192" s="20"/>
      <c r="E192" s="20"/>
      <c r="F192" s="20"/>
      <c r="G192" s="20"/>
      <c r="H192" s="20"/>
      <c r="I192" s="20"/>
      <c r="J192" s="20"/>
    </row>
    <row r="193" spans="2:10" x14ac:dyDescent="0.25">
      <c r="B193" s="20"/>
      <c r="C193" s="20"/>
      <c r="D193" s="20"/>
      <c r="E193" s="20"/>
      <c r="F193" s="20"/>
      <c r="G193" s="20"/>
      <c r="H193" s="20"/>
      <c r="I193" s="20"/>
      <c r="J193" s="20"/>
    </row>
    <row r="194" spans="2:10" x14ac:dyDescent="0.25">
      <c r="B194" s="20"/>
      <c r="C194" s="20"/>
      <c r="D194" s="20"/>
      <c r="E194" s="20"/>
      <c r="F194" s="20"/>
      <c r="G194" s="20"/>
      <c r="H194" s="20"/>
      <c r="I194" s="20"/>
      <c r="J194" s="20"/>
    </row>
    <row r="195" spans="2:10" x14ac:dyDescent="0.25">
      <c r="B195" s="20"/>
      <c r="C195" s="20"/>
      <c r="D195" s="20"/>
      <c r="E195" s="20"/>
      <c r="F195" s="20"/>
      <c r="G195" s="20"/>
      <c r="H195" s="20"/>
      <c r="I195" s="20"/>
      <c r="J195" s="20"/>
    </row>
    <row r="196" spans="2:10" x14ac:dyDescent="0.25">
      <c r="B196" s="20"/>
      <c r="C196" s="20"/>
      <c r="D196" s="20"/>
      <c r="E196" s="20"/>
      <c r="F196" s="20"/>
      <c r="G196" s="20"/>
      <c r="H196" s="20"/>
      <c r="I196" s="20"/>
      <c r="J196" s="20"/>
    </row>
    <row r="197" spans="2:10" x14ac:dyDescent="0.25">
      <c r="B197" s="20"/>
      <c r="C197" s="20"/>
      <c r="D197" s="20"/>
      <c r="E197" s="20"/>
      <c r="F197" s="20"/>
      <c r="G197" s="20"/>
      <c r="H197" s="20"/>
      <c r="I197" s="20"/>
      <c r="J197" s="20"/>
    </row>
    <row r="198" spans="2:10" x14ac:dyDescent="0.25">
      <c r="B198" s="20"/>
    </row>
  </sheetData>
  <mergeCells count="13">
    <mergeCell ref="B160:J160"/>
    <mergeCell ref="B161:J161"/>
    <mergeCell ref="B162:J162"/>
    <mergeCell ref="B158:J158"/>
    <mergeCell ref="B159:J159"/>
    <mergeCell ref="B85:M85"/>
    <mergeCell ref="B109:G109"/>
    <mergeCell ref="B1:J1"/>
    <mergeCell ref="B2:J2"/>
    <mergeCell ref="B30:J30"/>
    <mergeCell ref="B4:J4"/>
    <mergeCell ref="B6:J6"/>
    <mergeCell ref="B82:M82"/>
  </mergeCells>
  <conditionalFormatting sqref="G89:G105 H89:H104">
    <cfRule type="colorScale" priority="6">
      <colorScale>
        <cfvo type="min"/>
        <cfvo type="max"/>
        <color rgb="FFFCFCFF"/>
        <color rgb="FF63BE7B"/>
      </colorScale>
    </cfRule>
  </conditionalFormatting>
  <conditionalFormatting sqref="I89:I104 H105">
    <cfRule type="colorScale" priority="5">
      <colorScale>
        <cfvo type="min"/>
        <cfvo type="max"/>
        <color rgb="FF63BE7B"/>
        <color rgb="FFFCFCFF"/>
      </colorScale>
    </cfRule>
  </conditionalFormatting>
  <conditionalFormatting sqref="E89:E105">
    <cfRule type="colorScale" priority="4">
      <colorScale>
        <cfvo type="min"/>
        <cfvo type="max"/>
        <color rgb="FFFCFCFF"/>
        <color rgb="FF63BE7B"/>
      </colorScale>
    </cfRule>
  </conditionalFormatting>
  <conditionalFormatting sqref="F89:F105">
    <cfRule type="colorScale" priority="3">
      <colorScale>
        <cfvo type="min"/>
        <cfvo type="max"/>
        <color rgb="FFFCFCFF"/>
        <color rgb="FF63BE7B"/>
      </colorScale>
    </cfRule>
  </conditionalFormatting>
  <conditionalFormatting sqref="C89:C105">
    <cfRule type="colorScale" priority="2">
      <colorScale>
        <cfvo type="min"/>
        <cfvo type="max"/>
        <color rgb="FFFCFCFF"/>
        <color rgb="FF63BE7B"/>
      </colorScale>
    </cfRule>
  </conditionalFormatting>
  <conditionalFormatting sqref="D89:D105">
    <cfRule type="colorScale" priority="1">
      <colorScale>
        <cfvo type="min"/>
        <cfvo type="max"/>
        <color rgb="FFFCFCFF"/>
        <color rgb="FF63BE7B"/>
      </colorScale>
    </cfRule>
  </conditionalFormatting>
  <hyperlinks>
    <hyperlink ref="B2:J2" location="IT!I1" display="Step 1: We Filter the dataset for IT CGIS industries. (Click to View)" xr:uid="{F32545E6-0C92-44B3-BCF5-CC9C1E8E49EB}"/>
    <hyperlink ref="B4:J4" location="IT!N1" display="Step 2:  We Create Bins of $5Billion to catagorise our Data" xr:uid="{89ACD291-5BE0-4C39-B949-9DC67554B11B}"/>
    <hyperlink ref="B6:J6" location="'IT Pivot Table'!B8:J28" display="Step 3: We Create a Pivot Table to view this data in the form of a condensed manner." xr:uid="{F67ECC41-9036-48FF-B9F9-AE8E8213E855}"/>
    <hyperlink ref="B6" location="'IT Pivot Table'!B8" display="Step 3: We Create a Pivot Table to view this data in the form of a condensed manner." xr:uid="{8C1D4FC7-8121-469C-9AB3-F26D9336A59E}"/>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7D7EA-DCCB-4278-BCD6-4D8067DB2A34}">
  <dimension ref="A1:I1"/>
  <sheetViews>
    <sheetView workbookViewId="0">
      <selection activeCell="L6" sqref="L6"/>
    </sheetView>
  </sheetViews>
  <sheetFormatPr defaultRowHeight="15" x14ac:dyDescent="0.25"/>
  <sheetData>
    <row r="1" spans="1:9" ht="28.5" x14ac:dyDescent="0.45">
      <c r="A1" s="198" t="s">
        <v>683</v>
      </c>
      <c r="B1" s="198"/>
      <c r="C1" s="198"/>
      <c r="D1" s="198"/>
      <c r="E1" s="198"/>
      <c r="F1" s="198"/>
      <c r="G1" s="198"/>
      <c r="H1" s="198"/>
      <c r="I1" s="198"/>
    </row>
  </sheetData>
  <mergeCells count="1">
    <mergeCell ref="A1:I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9AB82-5C34-40A8-8373-9E5E388134A6}">
  <sheetPr codeName="Sheet9"/>
  <dimension ref="B2:L433"/>
  <sheetViews>
    <sheetView workbookViewId="0">
      <selection activeCell="J8" sqref="J8"/>
    </sheetView>
  </sheetViews>
  <sheetFormatPr defaultRowHeight="15" x14ac:dyDescent="0.25"/>
  <cols>
    <col min="2" max="2" width="13.42578125" bestFit="1" customWidth="1"/>
    <col min="5" max="5" width="11.28515625" bestFit="1" customWidth="1"/>
  </cols>
  <sheetData>
    <row r="2" spans="2:12" x14ac:dyDescent="0.25">
      <c r="B2" s="2" t="s">
        <v>572</v>
      </c>
    </row>
    <row r="3" spans="2:12" x14ac:dyDescent="0.25">
      <c r="B3" s="3" t="s">
        <v>388</v>
      </c>
      <c r="C3" s="3" t="s">
        <v>388</v>
      </c>
      <c r="E3" s="21" t="s">
        <v>602</v>
      </c>
      <c r="G3" t="s">
        <v>6</v>
      </c>
      <c r="J3" t="e" cm="1">
        <f t="array" ref="J3">_xlfn.UNIQUE(#REF!)</f>
        <v>#REF!</v>
      </c>
      <c r="L3" t="str" cm="1">
        <f t="array" ref="L3:L122">_xlfn.UNIQUE('projectdata-nyse'!J2:J1711)</f>
        <v>Airlines</v>
      </c>
    </row>
    <row r="4" spans="2:12" x14ac:dyDescent="0.25">
      <c r="B4" s="3" t="s">
        <v>366</v>
      </c>
      <c r="C4" s="3" t="s">
        <v>366</v>
      </c>
      <c r="E4" s="21" t="s">
        <v>600</v>
      </c>
      <c r="G4" t="s">
        <v>9</v>
      </c>
      <c r="L4" t="str">
        <v>Automotive Retail</v>
      </c>
    </row>
    <row r="5" spans="2:12" x14ac:dyDescent="0.25">
      <c r="B5" s="3" t="s">
        <v>409</v>
      </c>
      <c r="C5" s="3" t="s">
        <v>409</v>
      </c>
      <c r="E5" s="21" t="s">
        <v>603</v>
      </c>
      <c r="G5" t="s">
        <v>10</v>
      </c>
      <c r="L5" t="str">
        <v>Computer Hardware</v>
      </c>
    </row>
    <row r="6" spans="2:12" x14ac:dyDescent="0.25">
      <c r="B6" s="3" t="s">
        <v>5</v>
      </c>
      <c r="C6" s="3" t="s">
        <v>5</v>
      </c>
      <c r="G6" t="s">
        <v>11</v>
      </c>
      <c r="L6" t="str">
        <v>Pharmaceuticals</v>
      </c>
    </row>
    <row r="7" spans="2:12" x14ac:dyDescent="0.25">
      <c r="B7" s="3" t="s">
        <v>12</v>
      </c>
      <c r="C7" s="3" t="s">
        <v>12</v>
      </c>
      <c r="L7" t="str">
        <v>Health Care Distributors</v>
      </c>
    </row>
    <row r="8" spans="2:12" x14ac:dyDescent="0.25">
      <c r="B8" s="3" t="s">
        <v>15</v>
      </c>
      <c r="C8" s="3" t="s">
        <v>15</v>
      </c>
      <c r="L8" t="str">
        <v>Health Care Equipment</v>
      </c>
    </row>
    <row r="9" spans="2:12" x14ac:dyDescent="0.25">
      <c r="B9" s="3" t="s">
        <v>18</v>
      </c>
      <c r="C9" s="3" t="s">
        <v>18</v>
      </c>
      <c r="L9" t="str">
        <v>Application Software</v>
      </c>
    </row>
    <row r="10" spans="2:12" x14ac:dyDescent="0.25">
      <c r="B10" s="3" t="s">
        <v>21</v>
      </c>
      <c r="C10" s="3" t="s">
        <v>21</v>
      </c>
      <c r="L10" t="str">
        <v>Semiconductors</v>
      </c>
    </row>
    <row r="11" spans="2:12" x14ac:dyDescent="0.25">
      <c r="B11" s="3" t="s">
        <v>23</v>
      </c>
      <c r="C11" s="3" t="s">
        <v>23</v>
      </c>
      <c r="L11" t="str">
        <v>Agricultural Products</v>
      </c>
    </row>
    <row r="12" spans="2:12" x14ac:dyDescent="0.25">
      <c r="B12" s="3" t="s">
        <v>25</v>
      </c>
      <c r="C12" s="3" t="s">
        <v>25</v>
      </c>
      <c r="L12" t="str">
        <v>Data Processing &amp; Outsourced Services</v>
      </c>
    </row>
    <row r="13" spans="2:12" x14ac:dyDescent="0.25">
      <c r="B13" s="3" t="s">
        <v>27</v>
      </c>
      <c r="C13" s="3" t="s">
        <v>27</v>
      </c>
      <c r="L13" t="str">
        <v>MultiUtilities</v>
      </c>
    </row>
    <row r="14" spans="2:12" x14ac:dyDescent="0.25">
      <c r="B14" s="3" t="s">
        <v>29</v>
      </c>
      <c r="C14" s="3" t="s">
        <v>29</v>
      </c>
      <c r="L14" t="str">
        <v>Electric Utilities</v>
      </c>
    </row>
    <row r="15" spans="2:12" x14ac:dyDescent="0.25">
      <c r="B15" s="3" t="s">
        <v>32</v>
      </c>
      <c r="C15" s="3" t="s">
        <v>32</v>
      </c>
      <c r="L15" t="str">
        <v>Life &amp; Health Insurance</v>
      </c>
    </row>
    <row r="16" spans="2:12" x14ac:dyDescent="0.25">
      <c r="B16" s="3" t="s">
        <v>34</v>
      </c>
      <c r="C16" s="3" t="s">
        <v>34</v>
      </c>
      <c r="L16" t="str">
        <v>Property &amp; Casualty Insurance</v>
      </c>
    </row>
    <row r="17" spans="2:12" x14ac:dyDescent="0.25">
      <c r="B17" s="3" t="s">
        <v>35</v>
      </c>
      <c r="C17" s="3" t="s">
        <v>35</v>
      </c>
      <c r="L17" t="str">
        <v>REITs</v>
      </c>
    </row>
    <row r="18" spans="2:12" x14ac:dyDescent="0.25">
      <c r="B18" s="3" t="s">
        <v>38</v>
      </c>
      <c r="C18" s="3" t="s">
        <v>38</v>
      </c>
      <c r="L18" t="str">
        <v>Multi-line Insurance</v>
      </c>
    </row>
    <row r="19" spans="2:12" x14ac:dyDescent="0.25">
      <c r="B19" s="3" t="s">
        <v>40</v>
      </c>
      <c r="C19" s="3" t="s">
        <v>40</v>
      </c>
      <c r="L19" t="str">
        <v>Internet Software &amp; Services</v>
      </c>
    </row>
    <row r="20" spans="2:12" x14ac:dyDescent="0.25">
      <c r="B20" s="3" t="s">
        <v>43</v>
      </c>
      <c r="C20" s="3" t="s">
        <v>43</v>
      </c>
      <c r="L20" t="str">
        <v>Specialty Chemicals</v>
      </c>
    </row>
    <row r="21" spans="2:12" x14ac:dyDescent="0.25">
      <c r="B21" s="3" t="s">
        <v>45</v>
      </c>
      <c r="C21" s="3" t="s">
        <v>45</v>
      </c>
      <c r="L21" t="str">
        <v>Building Products</v>
      </c>
    </row>
    <row r="22" spans="2:12" x14ac:dyDescent="0.25">
      <c r="B22" s="3" t="s">
        <v>48</v>
      </c>
      <c r="C22" s="3" t="s">
        <v>48</v>
      </c>
      <c r="L22" t="str">
        <v>Biotechnology</v>
      </c>
    </row>
    <row r="23" spans="2:12" x14ac:dyDescent="0.25">
      <c r="B23" s="3" t="s">
        <v>50</v>
      </c>
      <c r="C23" s="3" t="s">
        <v>50</v>
      </c>
      <c r="L23" t="str">
        <v>Semiconductor Equipment</v>
      </c>
    </row>
    <row r="24" spans="2:12" x14ac:dyDescent="0.25">
      <c r="B24" s="3" t="s">
        <v>52</v>
      </c>
      <c r="C24" s="3" t="s">
        <v>52</v>
      </c>
      <c r="L24" t="str">
        <v>Electrical Components &amp; Equipment</v>
      </c>
    </row>
    <row r="25" spans="2:12" x14ac:dyDescent="0.25">
      <c r="B25" s="3" t="s">
        <v>55</v>
      </c>
      <c r="C25" s="3" t="s">
        <v>55</v>
      </c>
      <c r="L25" t="str">
        <v>Asset Management &amp; Custody Banks</v>
      </c>
    </row>
    <row r="26" spans="2:12" x14ac:dyDescent="0.25">
      <c r="B26" s="3" t="s">
        <v>56</v>
      </c>
      <c r="C26" s="3" t="s">
        <v>56</v>
      </c>
      <c r="L26" t="str">
        <v>Specialized REITs</v>
      </c>
    </row>
    <row r="27" spans="2:12" x14ac:dyDescent="0.25">
      <c r="B27" s="3" t="s">
        <v>57</v>
      </c>
      <c r="C27" s="3" t="s">
        <v>57</v>
      </c>
      <c r="L27" t="str">
        <v>Internet &amp; Direct Marketing Retail</v>
      </c>
    </row>
    <row r="28" spans="2:12" x14ac:dyDescent="0.25">
      <c r="B28" s="3" t="s">
        <v>59</v>
      </c>
      <c r="C28" s="3" t="s">
        <v>59</v>
      </c>
      <c r="L28" t="str">
        <v>Specialty Stores</v>
      </c>
    </row>
    <row r="29" spans="2:12" x14ac:dyDescent="0.25">
      <c r="B29" s="3" t="s">
        <v>61</v>
      </c>
      <c r="C29" s="3" t="s">
        <v>61</v>
      </c>
      <c r="L29" t="str">
        <v>Managed Health Care</v>
      </c>
    </row>
    <row r="30" spans="2:12" x14ac:dyDescent="0.25">
      <c r="B30" s="3" t="s">
        <v>63</v>
      </c>
      <c r="C30" s="3" t="s">
        <v>63</v>
      </c>
      <c r="L30" t="str">
        <v>Oil &amp; Gas Exploration &amp; Production</v>
      </c>
    </row>
    <row r="31" spans="2:12" x14ac:dyDescent="0.25">
      <c r="B31" s="3" t="s">
        <v>65</v>
      </c>
      <c r="C31" s="3" t="s">
        <v>65</v>
      </c>
      <c r="L31" t="str">
        <v>Industrial Gases</v>
      </c>
    </row>
    <row r="32" spans="2:12" x14ac:dyDescent="0.25">
      <c r="B32" s="3" t="s">
        <v>66</v>
      </c>
      <c r="C32" s="3" t="s">
        <v>66</v>
      </c>
      <c r="L32" t="str">
        <v>Electronic Components</v>
      </c>
    </row>
    <row r="33" spans="2:12" x14ac:dyDescent="0.25">
      <c r="B33" s="3" t="s">
        <v>68</v>
      </c>
      <c r="C33" s="3" t="s">
        <v>68</v>
      </c>
      <c r="L33" t="str">
        <v>Aerospace &amp; Defense</v>
      </c>
    </row>
    <row r="34" spans="2:12" x14ac:dyDescent="0.25">
      <c r="B34" s="3" t="s">
        <v>70</v>
      </c>
      <c r="C34" s="3" t="s">
        <v>70</v>
      </c>
      <c r="L34" t="str">
        <v>Home Entertainment Software</v>
      </c>
    </row>
    <row r="35" spans="2:12" x14ac:dyDescent="0.25">
      <c r="B35" s="3" t="s">
        <v>72</v>
      </c>
      <c r="C35" s="3" t="s">
        <v>72</v>
      </c>
      <c r="L35" t="str">
        <v>Paper Packaging</v>
      </c>
    </row>
    <row r="36" spans="2:12" x14ac:dyDescent="0.25">
      <c r="B36" s="3" t="s">
        <v>74</v>
      </c>
      <c r="C36" s="3" t="s">
        <v>74</v>
      </c>
      <c r="L36" t="str">
        <v>Water Utilities</v>
      </c>
    </row>
    <row r="37" spans="2:12" x14ac:dyDescent="0.25">
      <c r="B37" s="3" t="s">
        <v>76</v>
      </c>
      <c r="C37" s="3" t="s">
        <v>76</v>
      </c>
      <c r="L37" t="str">
        <v>Consumer Finance</v>
      </c>
    </row>
    <row r="38" spans="2:12" x14ac:dyDescent="0.25">
      <c r="B38" s="3" t="s">
        <v>79</v>
      </c>
      <c r="C38" s="3" t="s">
        <v>79</v>
      </c>
      <c r="L38" t="str">
        <v>Banks</v>
      </c>
    </row>
    <row r="39" spans="2:12" x14ac:dyDescent="0.25">
      <c r="B39" s="3" t="s">
        <v>80</v>
      </c>
      <c r="C39" s="3" t="s">
        <v>80</v>
      </c>
      <c r="L39" t="str">
        <v>Computer &amp; Electronics Retail</v>
      </c>
    </row>
    <row r="40" spans="2:12" x14ac:dyDescent="0.25">
      <c r="B40" s="3" t="s">
        <v>82</v>
      </c>
      <c r="C40" s="3" t="s">
        <v>82</v>
      </c>
      <c r="L40" t="str">
        <v>Oil &amp; Gas Equipment &amp; Services</v>
      </c>
    </row>
    <row r="41" spans="2:12" x14ac:dyDescent="0.25">
      <c r="B41" s="3" t="s">
        <v>84</v>
      </c>
      <c r="C41" s="3" t="s">
        <v>84</v>
      </c>
      <c r="L41" t="str">
        <v>Metal &amp; Glass Containers</v>
      </c>
    </row>
    <row r="42" spans="2:12" x14ac:dyDescent="0.25">
      <c r="B42" s="3" t="s">
        <v>86</v>
      </c>
      <c r="C42" s="3" t="s">
        <v>86</v>
      </c>
      <c r="L42" t="str">
        <v>Auto Parts &amp; Equipment</v>
      </c>
    </row>
    <row r="43" spans="2:12" x14ac:dyDescent="0.25">
      <c r="B43" s="3" t="s">
        <v>88</v>
      </c>
      <c r="C43" s="3" t="s">
        <v>88</v>
      </c>
      <c r="L43" t="str">
        <v>Packaged Foods &amp; Meats</v>
      </c>
    </row>
    <row r="44" spans="2:12" x14ac:dyDescent="0.25">
      <c r="B44" s="3" t="s">
        <v>89</v>
      </c>
      <c r="C44" s="3" t="s">
        <v>89</v>
      </c>
      <c r="L44" t="str">
        <v>Construction &amp; Farm Machinery &amp; Heavy Trucks</v>
      </c>
    </row>
    <row r="45" spans="2:12" x14ac:dyDescent="0.25">
      <c r="B45" s="3" t="s">
        <v>91</v>
      </c>
      <c r="C45" s="3" t="s">
        <v>91</v>
      </c>
      <c r="L45" t="str">
        <v>Real Estate Services</v>
      </c>
    </row>
    <row r="46" spans="2:12" x14ac:dyDescent="0.25">
      <c r="B46" s="3" t="s">
        <v>93</v>
      </c>
      <c r="C46" s="3" t="s">
        <v>93</v>
      </c>
      <c r="L46" t="str">
        <v>Hotels, Resorts &amp; Cruise Lines</v>
      </c>
    </row>
    <row r="47" spans="2:12" x14ac:dyDescent="0.25">
      <c r="B47" s="3" t="s">
        <v>95</v>
      </c>
      <c r="C47" s="3" t="s">
        <v>95</v>
      </c>
      <c r="L47" t="str">
        <v>Health Care Technology</v>
      </c>
    </row>
    <row r="48" spans="2:12" x14ac:dyDescent="0.25">
      <c r="B48" s="3" t="s">
        <v>96</v>
      </c>
      <c r="C48" s="3" t="s">
        <v>96</v>
      </c>
      <c r="L48" t="str">
        <v>Fertilizers &amp; Agricultural Chemicals</v>
      </c>
    </row>
    <row r="49" spans="2:12" x14ac:dyDescent="0.25">
      <c r="B49" s="3" t="s">
        <v>97</v>
      </c>
      <c r="C49" s="3" t="s">
        <v>97</v>
      </c>
      <c r="L49" t="str">
        <v>Regional Banks</v>
      </c>
    </row>
    <row r="50" spans="2:12" x14ac:dyDescent="0.25">
      <c r="B50" s="3" t="s">
        <v>98</v>
      </c>
      <c r="C50" s="3" t="s">
        <v>98</v>
      </c>
      <c r="L50" t="str">
        <v>Household Products</v>
      </c>
    </row>
    <row r="51" spans="2:12" x14ac:dyDescent="0.25">
      <c r="B51" s="3" t="s">
        <v>100</v>
      </c>
      <c r="C51" s="3" t="s">
        <v>100</v>
      </c>
      <c r="L51" t="str">
        <v>Integrated Oil &amp; Gas</v>
      </c>
    </row>
    <row r="52" spans="2:12" x14ac:dyDescent="0.25">
      <c r="B52" s="3" t="s">
        <v>101</v>
      </c>
      <c r="C52" s="3" t="s">
        <v>101</v>
      </c>
      <c r="L52" t="str">
        <v>Air Freight &amp; Logistics</v>
      </c>
    </row>
    <row r="53" spans="2:12" x14ac:dyDescent="0.25">
      <c r="B53" s="3" t="s">
        <v>102</v>
      </c>
      <c r="C53" s="3" t="s">
        <v>102</v>
      </c>
      <c r="L53" t="str">
        <v>Cable &amp; Satellite</v>
      </c>
    </row>
    <row r="54" spans="2:12" x14ac:dyDescent="0.25">
      <c r="B54" s="3" t="s">
        <v>103</v>
      </c>
      <c r="C54" s="3" t="s">
        <v>103</v>
      </c>
      <c r="L54" t="str">
        <v>Restaurants</v>
      </c>
    </row>
    <row r="55" spans="2:12" x14ac:dyDescent="0.25">
      <c r="B55" s="3" t="s">
        <v>105</v>
      </c>
      <c r="C55" s="3" t="s">
        <v>105</v>
      </c>
      <c r="L55" t="str">
        <v>Industrial Machinery</v>
      </c>
    </row>
    <row r="56" spans="2:12" x14ac:dyDescent="0.25">
      <c r="B56" s="3" t="s">
        <v>106</v>
      </c>
      <c r="C56" s="3" t="s">
        <v>106</v>
      </c>
      <c r="L56" t="str">
        <v>Industrial Conglomerates</v>
      </c>
    </row>
    <row r="57" spans="2:12" x14ac:dyDescent="0.25">
      <c r="B57" s="3" t="s">
        <v>107</v>
      </c>
      <c r="C57" s="3" t="s">
        <v>107</v>
      </c>
      <c r="L57" t="str">
        <v>Health Care Supplies</v>
      </c>
    </row>
    <row r="58" spans="2:12" x14ac:dyDescent="0.25">
      <c r="B58" s="3" t="s">
        <v>109</v>
      </c>
      <c r="C58" s="3" t="s">
        <v>109</v>
      </c>
      <c r="L58" t="str">
        <v>Hypermarkets &amp; Super Centers</v>
      </c>
    </row>
    <row r="59" spans="2:12" x14ac:dyDescent="0.25">
      <c r="B59" s="3" t="s">
        <v>110</v>
      </c>
      <c r="C59" s="3" t="s">
        <v>110</v>
      </c>
      <c r="L59" t="str">
        <v>Personal Products</v>
      </c>
    </row>
    <row r="60" spans="2:12" x14ac:dyDescent="0.25">
      <c r="B60" s="3" t="s">
        <v>112</v>
      </c>
      <c r="C60" s="3" t="s">
        <v>112</v>
      </c>
      <c r="L60" t="str">
        <v>Networking Equipment</v>
      </c>
    </row>
    <row r="61" spans="2:12" x14ac:dyDescent="0.25">
      <c r="B61" s="3" t="s">
        <v>113</v>
      </c>
      <c r="C61" s="3" t="s">
        <v>113</v>
      </c>
      <c r="L61" t="str">
        <v>IT Consulting &amp; Other Services</v>
      </c>
    </row>
    <row r="62" spans="2:12" x14ac:dyDescent="0.25">
      <c r="B62" s="3" t="s">
        <v>114</v>
      </c>
      <c r="C62" s="3" t="s">
        <v>114</v>
      </c>
      <c r="L62" t="str">
        <v>Railroads</v>
      </c>
    </row>
    <row r="63" spans="2:12" x14ac:dyDescent="0.25">
      <c r="B63" s="3" t="s">
        <v>116</v>
      </c>
      <c r="C63" s="3" t="s">
        <v>116</v>
      </c>
      <c r="L63" t="str">
        <v>Diversified Support Services</v>
      </c>
    </row>
    <row r="64" spans="2:12" x14ac:dyDescent="0.25">
      <c r="B64" s="3" t="s">
        <v>117</v>
      </c>
      <c r="C64" s="3" t="s">
        <v>117</v>
      </c>
      <c r="L64" t="str">
        <v>Integrated Telecommunications Services</v>
      </c>
    </row>
    <row r="65" spans="2:12" x14ac:dyDescent="0.25">
      <c r="B65" s="3" t="s">
        <v>119</v>
      </c>
      <c r="C65" s="3" t="s">
        <v>119</v>
      </c>
      <c r="L65" t="str">
        <v>Drug Retail</v>
      </c>
    </row>
    <row r="66" spans="2:12" x14ac:dyDescent="0.25">
      <c r="B66" s="3" t="s">
        <v>120</v>
      </c>
      <c r="C66" s="3" t="s">
        <v>120</v>
      </c>
      <c r="L66" t="str">
        <v>Diversified Chemicals</v>
      </c>
    </row>
    <row r="67" spans="2:12" x14ac:dyDescent="0.25">
      <c r="B67" s="3" t="s">
        <v>122</v>
      </c>
      <c r="C67" s="3" t="s">
        <v>122</v>
      </c>
      <c r="L67" t="str">
        <v>General Merchandise Stores</v>
      </c>
    </row>
    <row r="68" spans="2:12" x14ac:dyDescent="0.25">
      <c r="B68" s="3" t="s">
        <v>123</v>
      </c>
      <c r="C68" s="3" t="s">
        <v>123</v>
      </c>
      <c r="L68" t="str">
        <v>Health Care Facilities</v>
      </c>
    </row>
    <row r="69" spans="2:12" x14ac:dyDescent="0.25">
      <c r="B69" s="3" t="s">
        <v>125</v>
      </c>
      <c r="C69" s="3" t="s">
        <v>125</v>
      </c>
      <c r="L69" t="str">
        <v>Homebuilding</v>
      </c>
    </row>
    <row r="70" spans="2:12" x14ac:dyDescent="0.25">
      <c r="B70" s="3" t="s">
        <v>126</v>
      </c>
      <c r="C70" s="3" t="s">
        <v>126</v>
      </c>
      <c r="L70" t="str">
        <v>Broadcasting &amp; Cable TV</v>
      </c>
    </row>
    <row r="71" spans="2:12" x14ac:dyDescent="0.25">
      <c r="B71" s="3" t="s">
        <v>128</v>
      </c>
      <c r="C71" s="3" t="s">
        <v>128</v>
      </c>
      <c r="L71" t="str">
        <v>Research &amp; Consulting Services</v>
      </c>
    </row>
    <row r="72" spans="2:12" x14ac:dyDescent="0.25">
      <c r="B72" s="3" t="s">
        <v>129</v>
      </c>
      <c r="C72" s="3" t="s">
        <v>129</v>
      </c>
      <c r="L72" t="str">
        <v>Soft Drinks</v>
      </c>
    </row>
    <row r="73" spans="2:12" x14ac:dyDescent="0.25">
      <c r="B73" s="3" t="s">
        <v>131</v>
      </c>
      <c r="C73" s="3" t="s">
        <v>131</v>
      </c>
      <c r="L73" t="str">
        <v>Residential REITs</v>
      </c>
    </row>
    <row r="74" spans="2:12" x14ac:dyDescent="0.25">
      <c r="B74" s="3" t="s">
        <v>133</v>
      </c>
      <c r="C74" s="3" t="s">
        <v>133</v>
      </c>
      <c r="L74" t="str">
        <v>Investment Banking &amp; Brokerage</v>
      </c>
    </row>
    <row r="75" spans="2:12" x14ac:dyDescent="0.25">
      <c r="B75" s="3" t="s">
        <v>135</v>
      </c>
      <c r="C75" s="3" t="s">
        <v>135</v>
      </c>
      <c r="L75" t="str">
        <v>Automobile Manufacturers</v>
      </c>
    </row>
    <row r="76" spans="2:12" x14ac:dyDescent="0.25">
      <c r="B76" s="3" t="s">
        <v>137</v>
      </c>
      <c r="C76" s="3" t="s">
        <v>137</v>
      </c>
      <c r="L76" t="str">
        <v>Copper</v>
      </c>
    </row>
    <row r="77" spans="2:12" x14ac:dyDescent="0.25">
      <c r="B77" s="3" t="s">
        <v>139</v>
      </c>
      <c r="C77" s="3" t="s">
        <v>139</v>
      </c>
      <c r="L77" t="str">
        <v>Apparel Retail</v>
      </c>
    </row>
    <row r="78" spans="2:12" x14ac:dyDescent="0.25">
      <c r="B78" s="3" t="s">
        <v>141</v>
      </c>
      <c r="C78" s="3" t="s">
        <v>141</v>
      </c>
      <c r="L78" t="str">
        <v>Electronic Equipment &amp; Instruments</v>
      </c>
    </row>
    <row r="79" spans="2:12" x14ac:dyDescent="0.25">
      <c r="B79" s="3" t="s">
        <v>143</v>
      </c>
      <c r="C79" s="3" t="s">
        <v>143</v>
      </c>
      <c r="L79" t="str">
        <v>Diversified Commercial Services</v>
      </c>
    </row>
    <row r="80" spans="2:12" x14ac:dyDescent="0.25">
      <c r="B80" s="3" t="s">
        <v>144</v>
      </c>
      <c r="C80" s="3" t="s">
        <v>144</v>
      </c>
      <c r="L80" t="str">
        <v>Retail REITs</v>
      </c>
    </row>
    <row r="81" spans="2:12" x14ac:dyDescent="0.25">
      <c r="B81" s="3" t="s">
        <v>145</v>
      </c>
      <c r="C81" s="3" t="s">
        <v>145</v>
      </c>
      <c r="L81" t="str">
        <v>Consumer Electronics</v>
      </c>
    </row>
    <row r="82" spans="2:12" x14ac:dyDescent="0.25">
      <c r="B82" s="3" t="s">
        <v>146</v>
      </c>
      <c r="C82" s="3" t="s">
        <v>146</v>
      </c>
      <c r="L82" t="str">
        <v>Tires &amp; Rubber</v>
      </c>
    </row>
    <row r="83" spans="2:12" x14ac:dyDescent="0.25">
      <c r="B83" s="3" t="s">
        <v>147</v>
      </c>
      <c r="C83" s="3" t="s">
        <v>147</v>
      </c>
      <c r="L83" t="str">
        <v>Industrial Materials</v>
      </c>
    </row>
    <row r="84" spans="2:12" x14ac:dyDescent="0.25">
      <c r="B84" s="3" t="s">
        <v>148</v>
      </c>
      <c r="C84" s="3" t="s">
        <v>148</v>
      </c>
      <c r="L84" t="str">
        <v>Leisure Products</v>
      </c>
    </row>
    <row r="85" spans="2:12" x14ac:dyDescent="0.25">
      <c r="B85" s="3" t="s">
        <v>150</v>
      </c>
      <c r="C85" s="3" t="s">
        <v>150</v>
      </c>
      <c r="L85" t="str">
        <v>Apparel, Accessories &amp; Luxury Goods</v>
      </c>
    </row>
    <row r="86" spans="2:12" x14ac:dyDescent="0.25">
      <c r="B86" s="3" t="s">
        <v>152</v>
      </c>
      <c r="C86" s="3" t="s">
        <v>152</v>
      </c>
      <c r="L86" t="str">
        <v>Home Improvement Retail</v>
      </c>
    </row>
    <row r="87" spans="2:12" x14ac:dyDescent="0.25">
      <c r="B87" s="3" t="s">
        <v>153</v>
      </c>
      <c r="C87" s="3" t="s">
        <v>153</v>
      </c>
      <c r="L87" t="str">
        <v>Motorcycle Manufacturers</v>
      </c>
    </row>
    <row r="88" spans="2:12" x14ac:dyDescent="0.25">
      <c r="B88" s="3" t="s">
        <v>154</v>
      </c>
      <c r="C88" s="3" t="s">
        <v>154</v>
      </c>
      <c r="L88" t="str">
        <v>Oil &amp; Gas Drilling</v>
      </c>
    </row>
    <row r="89" spans="2:12" x14ac:dyDescent="0.25">
      <c r="B89" s="3" t="s">
        <v>155</v>
      </c>
      <c r="C89" s="3" t="s">
        <v>155</v>
      </c>
      <c r="L89" t="str">
        <v>Technology Hardware, Storage &amp; Peripherals</v>
      </c>
    </row>
    <row r="90" spans="2:12" x14ac:dyDescent="0.25">
      <c r="B90" s="3" t="s">
        <v>156</v>
      </c>
      <c r="C90" s="3" t="s">
        <v>156</v>
      </c>
      <c r="L90" t="str">
        <v>Telecommunications Equipment</v>
      </c>
    </row>
    <row r="91" spans="2:12" x14ac:dyDescent="0.25">
      <c r="B91" s="3" t="s">
        <v>157</v>
      </c>
      <c r="C91" s="3" t="s">
        <v>157</v>
      </c>
      <c r="L91" t="str">
        <v>Life Sciences Tools &amp; Services</v>
      </c>
    </row>
    <row r="92" spans="2:12" x14ac:dyDescent="0.25">
      <c r="B92" s="3" t="s">
        <v>159</v>
      </c>
      <c r="C92" s="3" t="s">
        <v>159</v>
      </c>
      <c r="L92" t="str">
        <v>Advertising</v>
      </c>
    </row>
    <row r="93" spans="2:12" x14ac:dyDescent="0.25">
      <c r="B93" s="3" t="s">
        <v>161</v>
      </c>
      <c r="C93" s="3" t="s">
        <v>161</v>
      </c>
      <c r="L93" t="str">
        <v>Trucking</v>
      </c>
    </row>
    <row r="94" spans="2:12" x14ac:dyDescent="0.25">
      <c r="B94" s="3" t="s">
        <v>163</v>
      </c>
      <c r="C94" s="3" t="s">
        <v>163</v>
      </c>
      <c r="L94" t="str">
        <v>Department Stores</v>
      </c>
    </row>
    <row r="95" spans="2:12" x14ac:dyDescent="0.25">
      <c r="B95" s="3" t="s">
        <v>165</v>
      </c>
      <c r="C95" s="3" t="s">
        <v>165</v>
      </c>
      <c r="L95" t="str">
        <v>Oil &amp; Gas Refining &amp; Marketing &amp; Transportation</v>
      </c>
    </row>
    <row r="96" spans="2:12" x14ac:dyDescent="0.25">
      <c r="B96" s="3" t="s">
        <v>166</v>
      </c>
      <c r="C96" s="3" t="s">
        <v>166</v>
      </c>
      <c r="L96" t="str">
        <v>Food Retail</v>
      </c>
    </row>
    <row r="97" spans="2:12" x14ac:dyDescent="0.25">
      <c r="B97" s="3" t="s">
        <v>167</v>
      </c>
      <c r="C97" s="3" t="s">
        <v>167</v>
      </c>
      <c r="L97" t="str">
        <v>Distributors</v>
      </c>
    </row>
    <row r="98" spans="2:12" x14ac:dyDescent="0.25">
      <c r="B98" s="3" t="s">
        <v>169</v>
      </c>
      <c r="C98" s="3" t="s">
        <v>169</v>
      </c>
      <c r="L98" t="str">
        <v>Multi-Sector Holdings</v>
      </c>
    </row>
    <row r="99" spans="2:12" x14ac:dyDescent="0.25">
      <c r="B99" s="3" t="s">
        <v>171</v>
      </c>
      <c r="C99" s="3" t="s">
        <v>171</v>
      </c>
      <c r="L99" t="str">
        <v>Alternative Carriers</v>
      </c>
    </row>
    <row r="100" spans="2:12" x14ac:dyDescent="0.25">
      <c r="B100" s="3" t="s">
        <v>173</v>
      </c>
      <c r="C100" s="3" t="s">
        <v>173</v>
      </c>
      <c r="L100" t="str">
        <v>Diversified Financial Services</v>
      </c>
    </row>
    <row r="101" spans="2:12" x14ac:dyDescent="0.25">
      <c r="B101" s="3" t="s">
        <v>175</v>
      </c>
      <c r="C101" s="3" t="s">
        <v>175</v>
      </c>
      <c r="L101" t="str">
        <v>Home Furnishings</v>
      </c>
    </row>
    <row r="102" spans="2:12" x14ac:dyDescent="0.25">
      <c r="B102" s="3" t="s">
        <v>178</v>
      </c>
      <c r="C102" s="3" t="s">
        <v>178</v>
      </c>
      <c r="L102" t="str">
        <v>Construction Materials</v>
      </c>
    </row>
    <row r="103" spans="2:12" x14ac:dyDescent="0.25">
      <c r="B103" s="3" t="s">
        <v>179</v>
      </c>
      <c r="C103" s="3" t="s">
        <v>179</v>
      </c>
      <c r="L103" t="str">
        <v>Insurance Brokers</v>
      </c>
    </row>
    <row r="104" spans="2:12" x14ac:dyDescent="0.25">
      <c r="B104" s="3" t="s">
        <v>180</v>
      </c>
      <c r="C104" s="3" t="s">
        <v>180</v>
      </c>
      <c r="L104" t="str">
        <v>Tobacco</v>
      </c>
    </row>
    <row r="105" spans="2:12" x14ac:dyDescent="0.25">
      <c r="B105" s="3" t="s">
        <v>182</v>
      </c>
      <c r="C105" s="3" t="s">
        <v>182</v>
      </c>
      <c r="L105" t="str">
        <v>Systems Software</v>
      </c>
    </row>
    <row r="106" spans="2:12" x14ac:dyDescent="0.25">
      <c r="B106" s="3" t="s">
        <v>183</v>
      </c>
      <c r="C106" s="3" t="s">
        <v>183</v>
      </c>
      <c r="L106" t="str">
        <v>Gold</v>
      </c>
    </row>
    <row r="107" spans="2:12" x14ac:dyDescent="0.25">
      <c r="B107" s="3" t="s">
        <v>184</v>
      </c>
      <c r="C107" s="3" t="s">
        <v>184</v>
      </c>
      <c r="L107" t="str">
        <v>Steel</v>
      </c>
    </row>
    <row r="108" spans="2:12" x14ac:dyDescent="0.25">
      <c r="B108" s="3" t="s">
        <v>185</v>
      </c>
      <c r="C108" s="3" t="s">
        <v>185</v>
      </c>
      <c r="L108" t="str">
        <v>Housewares &amp; Specialties</v>
      </c>
    </row>
    <row r="109" spans="2:12" x14ac:dyDescent="0.25">
      <c r="B109" s="3" t="s">
        <v>186</v>
      </c>
      <c r="C109" s="3" t="s">
        <v>186</v>
      </c>
      <c r="L109" t="str">
        <v>Thrifts &amp; Mortgage Finance</v>
      </c>
    </row>
    <row r="110" spans="2:12" x14ac:dyDescent="0.25">
      <c r="B110" s="3" t="s">
        <v>188</v>
      </c>
      <c r="C110" s="3" t="s">
        <v>188</v>
      </c>
      <c r="L110" t="str">
        <v>Technology, Hardware, Software and Supplies</v>
      </c>
    </row>
    <row r="111" spans="2:12" x14ac:dyDescent="0.25">
      <c r="B111" s="3" t="s">
        <v>189</v>
      </c>
      <c r="C111" s="3" t="s">
        <v>189</v>
      </c>
      <c r="L111" t="str">
        <v>Human Resource &amp; Employment Services</v>
      </c>
    </row>
    <row r="112" spans="2:12" x14ac:dyDescent="0.25">
      <c r="B112" s="3" t="s">
        <v>190</v>
      </c>
      <c r="C112" s="3" t="s">
        <v>190</v>
      </c>
      <c r="L112" t="str">
        <v>Office REITs</v>
      </c>
    </row>
    <row r="113" spans="2:12" x14ac:dyDescent="0.25">
      <c r="B113" s="3" t="s">
        <v>192</v>
      </c>
      <c r="C113" s="3" t="s">
        <v>192</v>
      </c>
      <c r="L113" t="str">
        <v>Household Appliances</v>
      </c>
    </row>
    <row r="114" spans="2:12" x14ac:dyDescent="0.25">
      <c r="B114" s="3" t="s">
        <v>194</v>
      </c>
      <c r="C114" s="3" t="s">
        <v>194</v>
      </c>
      <c r="L114" t="str">
        <v>Computer Storage &amp; Peripherals</v>
      </c>
    </row>
    <row r="115" spans="2:12" x14ac:dyDescent="0.25">
      <c r="B115" s="3" t="s">
        <v>196</v>
      </c>
      <c r="C115" s="3" t="s">
        <v>196</v>
      </c>
      <c r="L115" t="str">
        <v>Distillers &amp; Vintners</v>
      </c>
    </row>
    <row r="116" spans="2:12" x14ac:dyDescent="0.25">
      <c r="B116" s="3" t="s">
        <v>197</v>
      </c>
      <c r="C116" s="3" t="s">
        <v>197</v>
      </c>
      <c r="L116" t="str">
        <v>Food Distributors</v>
      </c>
    </row>
    <row r="117" spans="2:12" x14ac:dyDescent="0.25">
      <c r="B117" s="3" t="s">
        <v>199</v>
      </c>
      <c r="C117" s="3" t="s">
        <v>199</v>
      </c>
      <c r="L117" t="str">
        <v>Brewers</v>
      </c>
    </row>
    <row r="118" spans="2:12" x14ac:dyDescent="0.25">
      <c r="B118" s="3" t="s">
        <v>200</v>
      </c>
      <c r="C118" s="3" t="s">
        <v>200</v>
      </c>
      <c r="L118" t="str">
        <v>Electronic Manufacturing Services</v>
      </c>
    </row>
    <row r="119" spans="2:12" x14ac:dyDescent="0.25">
      <c r="B119" s="3" t="s">
        <v>201</v>
      </c>
      <c r="C119" s="3" t="s">
        <v>201</v>
      </c>
      <c r="L119" t="str">
        <v>Publishing</v>
      </c>
    </row>
    <row r="120" spans="2:12" x14ac:dyDescent="0.25">
      <c r="B120" s="3" t="s">
        <v>202</v>
      </c>
      <c r="C120" s="3" t="s">
        <v>202</v>
      </c>
      <c r="L120" t="str">
        <v>Specialty Retail</v>
      </c>
    </row>
    <row r="121" spans="2:12" x14ac:dyDescent="0.25">
      <c r="B121" s="3" t="s">
        <v>203</v>
      </c>
      <c r="C121" s="3" t="s">
        <v>203</v>
      </c>
      <c r="L121" t="str">
        <v>Environmental Services</v>
      </c>
    </row>
    <row r="122" spans="2:12" x14ac:dyDescent="0.25">
      <c r="B122" s="3" t="s">
        <v>204</v>
      </c>
      <c r="C122" s="3" t="s">
        <v>204</v>
      </c>
      <c r="L122" t="str">
        <v>Casinos &amp; Gaming</v>
      </c>
    </row>
    <row r="123" spans="2:12" x14ac:dyDescent="0.25">
      <c r="B123" s="3" t="s">
        <v>206</v>
      </c>
      <c r="C123" s="3" t="s">
        <v>206</v>
      </c>
    </row>
    <row r="124" spans="2:12" x14ac:dyDescent="0.25">
      <c r="B124" s="3" t="s">
        <v>207</v>
      </c>
      <c r="C124" s="3" t="s">
        <v>207</v>
      </c>
    </row>
    <row r="125" spans="2:12" x14ac:dyDescent="0.25">
      <c r="B125" s="3" t="s">
        <v>209</v>
      </c>
      <c r="C125" s="3" t="s">
        <v>209</v>
      </c>
    </row>
    <row r="126" spans="2:12" x14ac:dyDescent="0.25">
      <c r="B126" s="3" t="s">
        <v>210</v>
      </c>
      <c r="C126" s="3" t="s">
        <v>210</v>
      </c>
    </row>
    <row r="127" spans="2:12" x14ac:dyDescent="0.25">
      <c r="B127" s="3" t="s">
        <v>211</v>
      </c>
      <c r="C127" s="3" t="s">
        <v>211</v>
      </c>
    </row>
    <row r="128" spans="2:12" x14ac:dyDescent="0.25">
      <c r="B128" s="3" t="s">
        <v>212</v>
      </c>
      <c r="C128" s="3" t="s">
        <v>212</v>
      </c>
    </row>
    <row r="129" spans="2:3" x14ac:dyDescent="0.25">
      <c r="B129" s="3" t="s">
        <v>213</v>
      </c>
      <c r="C129" s="3" t="s">
        <v>213</v>
      </c>
    </row>
    <row r="130" spans="2:3" x14ac:dyDescent="0.25">
      <c r="B130" s="3" t="s">
        <v>214</v>
      </c>
      <c r="C130" s="3" t="s">
        <v>214</v>
      </c>
    </row>
    <row r="131" spans="2:3" x14ac:dyDescent="0.25">
      <c r="B131" s="3" t="s">
        <v>215</v>
      </c>
      <c r="C131" s="3" t="s">
        <v>215</v>
      </c>
    </row>
    <row r="132" spans="2:3" x14ac:dyDescent="0.25">
      <c r="B132" s="3" t="s">
        <v>216</v>
      </c>
      <c r="C132" s="3" t="s">
        <v>216</v>
      </c>
    </row>
    <row r="133" spans="2:3" x14ac:dyDescent="0.25">
      <c r="B133" s="3" t="s">
        <v>217</v>
      </c>
      <c r="C133" s="3" t="s">
        <v>217</v>
      </c>
    </row>
    <row r="134" spans="2:3" x14ac:dyDescent="0.25">
      <c r="B134" s="3" t="s">
        <v>218</v>
      </c>
      <c r="C134" s="3" t="s">
        <v>218</v>
      </c>
    </row>
    <row r="135" spans="2:3" x14ac:dyDescent="0.25">
      <c r="B135" s="3" t="s">
        <v>219</v>
      </c>
      <c r="C135" s="3" t="s">
        <v>219</v>
      </c>
    </row>
    <row r="136" spans="2:3" x14ac:dyDescent="0.25">
      <c r="B136" s="3" t="s">
        <v>220</v>
      </c>
      <c r="C136" s="3" t="s">
        <v>220</v>
      </c>
    </row>
    <row r="137" spans="2:3" x14ac:dyDescent="0.25">
      <c r="B137" s="3" t="s">
        <v>221</v>
      </c>
      <c r="C137" s="3" t="s">
        <v>221</v>
      </c>
    </row>
    <row r="138" spans="2:3" x14ac:dyDescent="0.25">
      <c r="B138" s="3" t="s">
        <v>222</v>
      </c>
      <c r="C138" s="3" t="s">
        <v>222</v>
      </c>
    </row>
    <row r="139" spans="2:3" x14ac:dyDescent="0.25">
      <c r="B139" s="3" t="s">
        <v>223</v>
      </c>
      <c r="C139" s="3" t="s">
        <v>223</v>
      </c>
    </row>
    <row r="140" spans="2:3" x14ac:dyDescent="0.25">
      <c r="B140" s="3" t="s">
        <v>224</v>
      </c>
      <c r="C140" s="3" t="s">
        <v>224</v>
      </c>
    </row>
    <row r="141" spans="2:3" x14ac:dyDescent="0.25">
      <c r="B141" s="3" t="s">
        <v>225</v>
      </c>
      <c r="C141" s="3" t="s">
        <v>225</v>
      </c>
    </row>
    <row r="142" spans="2:3" x14ac:dyDescent="0.25">
      <c r="B142" s="3" t="s">
        <v>226</v>
      </c>
      <c r="C142" s="3" t="s">
        <v>226</v>
      </c>
    </row>
    <row r="143" spans="2:3" x14ac:dyDescent="0.25">
      <c r="B143" s="3" t="s">
        <v>227</v>
      </c>
      <c r="C143" s="3" t="s">
        <v>227</v>
      </c>
    </row>
    <row r="144" spans="2:3" x14ac:dyDescent="0.25">
      <c r="B144" s="3" t="s">
        <v>229</v>
      </c>
      <c r="C144" s="3" t="s">
        <v>229</v>
      </c>
    </row>
    <row r="145" spans="2:3" x14ac:dyDescent="0.25">
      <c r="B145" s="3" t="s">
        <v>231</v>
      </c>
      <c r="C145" s="3" t="s">
        <v>231</v>
      </c>
    </row>
    <row r="146" spans="2:3" x14ac:dyDescent="0.25">
      <c r="B146" s="3" t="s">
        <v>232</v>
      </c>
      <c r="C146" s="3" t="s">
        <v>232</v>
      </c>
    </row>
    <row r="147" spans="2:3" x14ac:dyDescent="0.25">
      <c r="B147" s="3" t="s">
        <v>233</v>
      </c>
      <c r="C147" s="3" t="s">
        <v>233</v>
      </c>
    </row>
    <row r="148" spans="2:3" x14ac:dyDescent="0.25">
      <c r="B148" s="3" t="s">
        <v>234</v>
      </c>
      <c r="C148" s="3" t="s">
        <v>234</v>
      </c>
    </row>
    <row r="149" spans="2:3" x14ac:dyDescent="0.25">
      <c r="B149" s="3" t="s">
        <v>235</v>
      </c>
      <c r="C149" s="3" t="s">
        <v>235</v>
      </c>
    </row>
    <row r="150" spans="2:3" x14ac:dyDescent="0.25">
      <c r="B150" s="3" t="s">
        <v>236</v>
      </c>
      <c r="C150" s="3" t="s">
        <v>236</v>
      </c>
    </row>
    <row r="151" spans="2:3" x14ac:dyDescent="0.25">
      <c r="B151" s="3" t="s">
        <v>237</v>
      </c>
      <c r="C151" s="3" t="s">
        <v>237</v>
      </c>
    </row>
    <row r="152" spans="2:3" x14ac:dyDescent="0.25">
      <c r="B152" s="3" t="s">
        <v>238</v>
      </c>
      <c r="C152" s="3" t="s">
        <v>238</v>
      </c>
    </row>
    <row r="153" spans="2:3" x14ac:dyDescent="0.25">
      <c r="B153" s="3" t="s">
        <v>240</v>
      </c>
      <c r="C153" s="3" t="s">
        <v>240</v>
      </c>
    </row>
    <row r="154" spans="2:3" x14ac:dyDescent="0.25">
      <c r="B154" s="3" t="s">
        <v>241</v>
      </c>
      <c r="C154" s="3" t="s">
        <v>241</v>
      </c>
    </row>
    <row r="155" spans="2:3" x14ac:dyDescent="0.25">
      <c r="B155" s="3" t="s">
        <v>242</v>
      </c>
      <c r="C155" s="3" t="s">
        <v>242</v>
      </c>
    </row>
    <row r="156" spans="2:3" x14ac:dyDescent="0.25">
      <c r="B156" s="3" t="s">
        <v>243</v>
      </c>
      <c r="C156" s="3" t="s">
        <v>243</v>
      </c>
    </row>
    <row r="157" spans="2:3" x14ac:dyDescent="0.25">
      <c r="B157" s="3" t="s">
        <v>245</v>
      </c>
      <c r="C157" s="3" t="s">
        <v>245</v>
      </c>
    </row>
    <row r="158" spans="2:3" x14ac:dyDescent="0.25">
      <c r="B158" s="3" t="s">
        <v>246</v>
      </c>
      <c r="C158" s="3" t="s">
        <v>246</v>
      </c>
    </row>
    <row r="159" spans="2:3" x14ac:dyDescent="0.25">
      <c r="B159" s="3" t="s">
        <v>247</v>
      </c>
      <c r="C159" s="3" t="s">
        <v>247</v>
      </c>
    </row>
    <row r="160" spans="2:3" x14ac:dyDescent="0.25">
      <c r="B160" s="3" t="s">
        <v>248</v>
      </c>
      <c r="C160" s="3" t="s">
        <v>248</v>
      </c>
    </row>
    <row r="161" spans="2:3" x14ac:dyDescent="0.25">
      <c r="B161" s="3" t="s">
        <v>249</v>
      </c>
      <c r="C161" s="3" t="s">
        <v>249</v>
      </c>
    </row>
    <row r="162" spans="2:3" x14ac:dyDescent="0.25">
      <c r="B162" s="3" t="s">
        <v>250</v>
      </c>
      <c r="C162" s="3" t="s">
        <v>250</v>
      </c>
    </row>
    <row r="163" spans="2:3" x14ac:dyDescent="0.25">
      <c r="B163" s="3" t="s">
        <v>252</v>
      </c>
      <c r="C163" s="3" t="s">
        <v>252</v>
      </c>
    </row>
    <row r="164" spans="2:3" x14ac:dyDescent="0.25">
      <c r="B164" s="3" t="s">
        <v>254</v>
      </c>
      <c r="C164" s="3" t="s">
        <v>254</v>
      </c>
    </row>
    <row r="165" spans="2:3" x14ac:dyDescent="0.25">
      <c r="B165" s="3" t="s">
        <v>256</v>
      </c>
      <c r="C165" s="3" t="s">
        <v>256</v>
      </c>
    </row>
    <row r="166" spans="2:3" x14ac:dyDescent="0.25">
      <c r="B166" s="3" t="s">
        <v>257</v>
      </c>
      <c r="C166" s="3" t="s">
        <v>257</v>
      </c>
    </row>
    <row r="167" spans="2:3" x14ac:dyDescent="0.25">
      <c r="B167" s="3" t="s">
        <v>258</v>
      </c>
      <c r="C167" s="3" t="s">
        <v>258</v>
      </c>
    </row>
    <row r="168" spans="2:3" x14ac:dyDescent="0.25">
      <c r="B168" s="3" t="s">
        <v>260</v>
      </c>
      <c r="C168" s="3" t="s">
        <v>260</v>
      </c>
    </row>
    <row r="169" spans="2:3" x14ac:dyDescent="0.25">
      <c r="B169" s="3" t="s">
        <v>261</v>
      </c>
      <c r="C169" s="3" t="s">
        <v>261</v>
      </c>
    </row>
    <row r="170" spans="2:3" x14ac:dyDescent="0.25">
      <c r="B170" s="3" t="s">
        <v>262</v>
      </c>
      <c r="C170" s="3" t="s">
        <v>262</v>
      </c>
    </row>
    <row r="171" spans="2:3" x14ac:dyDescent="0.25">
      <c r="B171" s="3" t="s">
        <v>263</v>
      </c>
      <c r="C171" s="3" t="s">
        <v>263</v>
      </c>
    </row>
    <row r="172" spans="2:3" x14ac:dyDescent="0.25">
      <c r="B172" s="3" t="s">
        <v>264</v>
      </c>
      <c r="C172" s="3" t="s">
        <v>264</v>
      </c>
    </row>
    <row r="173" spans="2:3" x14ac:dyDescent="0.25">
      <c r="B173" s="3" t="s">
        <v>265</v>
      </c>
      <c r="C173" s="3" t="s">
        <v>265</v>
      </c>
    </row>
    <row r="174" spans="2:3" x14ac:dyDescent="0.25">
      <c r="B174" s="3" t="s">
        <v>266</v>
      </c>
      <c r="C174" s="3" t="s">
        <v>266</v>
      </c>
    </row>
    <row r="175" spans="2:3" x14ac:dyDescent="0.25">
      <c r="B175" s="3" t="s">
        <v>267</v>
      </c>
      <c r="C175" s="3" t="s">
        <v>267</v>
      </c>
    </row>
    <row r="176" spans="2:3" x14ac:dyDescent="0.25">
      <c r="B176" s="3" t="s">
        <v>268</v>
      </c>
      <c r="C176" s="3" t="s">
        <v>268</v>
      </c>
    </row>
    <row r="177" spans="2:3" x14ac:dyDescent="0.25">
      <c r="B177" s="3" t="s">
        <v>269</v>
      </c>
      <c r="C177" s="3" t="s">
        <v>269</v>
      </c>
    </row>
    <row r="178" spans="2:3" x14ac:dyDescent="0.25">
      <c r="B178" s="3" t="s">
        <v>270</v>
      </c>
      <c r="C178" s="3" t="s">
        <v>270</v>
      </c>
    </row>
    <row r="179" spans="2:3" x14ac:dyDescent="0.25">
      <c r="B179" s="3" t="s">
        <v>271</v>
      </c>
      <c r="C179" s="3" t="s">
        <v>271</v>
      </c>
    </row>
    <row r="180" spans="2:3" x14ac:dyDescent="0.25">
      <c r="B180" s="3" t="s">
        <v>273</v>
      </c>
      <c r="C180" s="3" t="s">
        <v>273</v>
      </c>
    </row>
    <row r="181" spans="2:3" x14ac:dyDescent="0.25">
      <c r="B181" s="3" t="s">
        <v>275</v>
      </c>
      <c r="C181" s="3" t="s">
        <v>275</v>
      </c>
    </row>
    <row r="182" spans="2:3" x14ac:dyDescent="0.25">
      <c r="B182" s="3" t="s">
        <v>277</v>
      </c>
      <c r="C182" s="3" t="s">
        <v>277</v>
      </c>
    </row>
    <row r="183" spans="2:3" x14ac:dyDescent="0.25">
      <c r="B183" s="3" t="s">
        <v>278</v>
      </c>
      <c r="C183" s="3" t="s">
        <v>278</v>
      </c>
    </row>
    <row r="184" spans="2:3" x14ac:dyDescent="0.25">
      <c r="B184" s="3" t="s">
        <v>279</v>
      </c>
      <c r="C184" s="3" t="s">
        <v>279</v>
      </c>
    </row>
    <row r="185" spans="2:3" x14ac:dyDescent="0.25">
      <c r="B185" s="3" t="s">
        <v>281</v>
      </c>
      <c r="C185" s="3" t="s">
        <v>281</v>
      </c>
    </row>
    <row r="186" spans="2:3" x14ac:dyDescent="0.25">
      <c r="B186" s="3" t="s">
        <v>282</v>
      </c>
      <c r="C186" s="3" t="s">
        <v>282</v>
      </c>
    </row>
    <row r="187" spans="2:3" x14ac:dyDescent="0.25">
      <c r="B187" s="3" t="s">
        <v>284</v>
      </c>
      <c r="C187" s="3" t="s">
        <v>284</v>
      </c>
    </row>
    <row r="188" spans="2:3" x14ac:dyDescent="0.25">
      <c r="B188" s="3" t="s">
        <v>285</v>
      </c>
      <c r="C188" s="3" t="s">
        <v>285</v>
      </c>
    </row>
    <row r="189" spans="2:3" x14ac:dyDescent="0.25">
      <c r="B189" s="3" t="s">
        <v>286</v>
      </c>
      <c r="C189" s="3" t="s">
        <v>286</v>
      </c>
    </row>
    <row r="190" spans="2:3" x14ac:dyDescent="0.25">
      <c r="B190" s="3" t="s">
        <v>287</v>
      </c>
      <c r="C190" s="3" t="s">
        <v>287</v>
      </c>
    </row>
    <row r="191" spans="2:3" x14ac:dyDescent="0.25">
      <c r="B191" s="3" t="s">
        <v>289</v>
      </c>
      <c r="C191" s="3" t="s">
        <v>289</v>
      </c>
    </row>
    <row r="192" spans="2:3" x14ac:dyDescent="0.25">
      <c r="B192" s="3" t="s">
        <v>290</v>
      </c>
      <c r="C192" s="3" t="s">
        <v>290</v>
      </c>
    </row>
    <row r="193" spans="2:3" x14ac:dyDescent="0.25">
      <c r="B193" s="3" t="s">
        <v>291</v>
      </c>
      <c r="C193" s="3" t="s">
        <v>291</v>
      </c>
    </row>
    <row r="194" spans="2:3" x14ac:dyDescent="0.25">
      <c r="B194" s="3" t="s">
        <v>293</v>
      </c>
      <c r="C194" s="3" t="s">
        <v>293</v>
      </c>
    </row>
    <row r="195" spans="2:3" x14ac:dyDescent="0.25">
      <c r="B195" s="3" t="s">
        <v>294</v>
      </c>
      <c r="C195" s="3" t="s">
        <v>294</v>
      </c>
    </row>
    <row r="196" spans="2:3" x14ac:dyDescent="0.25">
      <c r="B196" s="3" t="s">
        <v>295</v>
      </c>
      <c r="C196" s="3" t="s">
        <v>295</v>
      </c>
    </row>
    <row r="197" spans="2:3" x14ac:dyDescent="0.25">
      <c r="B197" s="3" t="s">
        <v>297</v>
      </c>
      <c r="C197" s="3" t="s">
        <v>297</v>
      </c>
    </row>
    <row r="198" spans="2:3" x14ac:dyDescent="0.25">
      <c r="B198" s="3" t="s">
        <v>299</v>
      </c>
      <c r="C198" s="3" t="s">
        <v>299</v>
      </c>
    </row>
    <row r="199" spans="2:3" x14ac:dyDescent="0.25">
      <c r="B199" s="3" t="s">
        <v>300</v>
      </c>
      <c r="C199" s="3" t="s">
        <v>300</v>
      </c>
    </row>
    <row r="200" spans="2:3" x14ac:dyDescent="0.25">
      <c r="B200" s="3" t="s">
        <v>301</v>
      </c>
      <c r="C200" s="3" t="s">
        <v>301</v>
      </c>
    </row>
    <row r="201" spans="2:3" x14ac:dyDescent="0.25">
      <c r="B201" s="3" t="s">
        <v>302</v>
      </c>
      <c r="C201" s="3" t="s">
        <v>302</v>
      </c>
    </row>
    <row r="202" spans="2:3" x14ac:dyDescent="0.25">
      <c r="B202" s="3" t="s">
        <v>304</v>
      </c>
      <c r="C202" s="3" t="s">
        <v>304</v>
      </c>
    </row>
    <row r="203" spans="2:3" x14ac:dyDescent="0.25">
      <c r="B203" s="3" t="s">
        <v>305</v>
      </c>
      <c r="C203" s="3" t="s">
        <v>305</v>
      </c>
    </row>
    <row r="204" spans="2:3" x14ac:dyDescent="0.25">
      <c r="B204" s="3" t="s">
        <v>306</v>
      </c>
      <c r="C204" s="3" t="s">
        <v>306</v>
      </c>
    </row>
    <row r="205" spans="2:3" x14ac:dyDescent="0.25">
      <c r="B205" s="3" t="s">
        <v>307</v>
      </c>
      <c r="C205" s="3" t="s">
        <v>307</v>
      </c>
    </row>
    <row r="206" spans="2:3" x14ac:dyDescent="0.25">
      <c r="B206" s="3" t="s">
        <v>308</v>
      </c>
      <c r="C206" s="3" t="s">
        <v>308</v>
      </c>
    </row>
    <row r="207" spans="2:3" x14ac:dyDescent="0.25">
      <c r="B207" s="3" t="s">
        <v>309</v>
      </c>
      <c r="C207" s="3" t="s">
        <v>309</v>
      </c>
    </row>
    <row r="208" spans="2:3" x14ac:dyDescent="0.25">
      <c r="B208" s="3" t="s">
        <v>310</v>
      </c>
      <c r="C208" s="3" t="s">
        <v>310</v>
      </c>
    </row>
    <row r="209" spans="2:3" x14ac:dyDescent="0.25">
      <c r="B209" s="3" t="s">
        <v>311</v>
      </c>
      <c r="C209" s="3" t="s">
        <v>311</v>
      </c>
    </row>
    <row r="210" spans="2:3" x14ac:dyDescent="0.25">
      <c r="B210" s="3" t="s">
        <v>313</v>
      </c>
      <c r="C210" s="3" t="s">
        <v>313</v>
      </c>
    </row>
    <row r="211" spans="2:3" x14ac:dyDescent="0.25">
      <c r="B211" s="3" t="s">
        <v>314</v>
      </c>
      <c r="C211" s="3" t="s">
        <v>314</v>
      </c>
    </row>
    <row r="212" spans="2:3" x14ac:dyDescent="0.25">
      <c r="B212" s="3" t="s">
        <v>315</v>
      </c>
      <c r="C212" s="3" t="s">
        <v>315</v>
      </c>
    </row>
    <row r="213" spans="2:3" x14ac:dyDescent="0.25">
      <c r="B213" s="3" t="s">
        <v>316</v>
      </c>
      <c r="C213" s="3" t="s">
        <v>316</v>
      </c>
    </row>
    <row r="214" spans="2:3" x14ac:dyDescent="0.25">
      <c r="B214" s="3" t="s">
        <v>318</v>
      </c>
      <c r="C214" s="3" t="s">
        <v>318</v>
      </c>
    </row>
    <row r="215" spans="2:3" x14ac:dyDescent="0.25">
      <c r="B215" s="3" t="s">
        <v>319</v>
      </c>
      <c r="C215" s="3" t="s">
        <v>319</v>
      </c>
    </row>
    <row r="216" spans="2:3" x14ac:dyDescent="0.25">
      <c r="B216" s="3" t="s">
        <v>320</v>
      </c>
      <c r="C216" s="3" t="s">
        <v>320</v>
      </c>
    </row>
    <row r="217" spans="2:3" x14ac:dyDescent="0.25">
      <c r="B217" s="3" t="s">
        <v>321</v>
      </c>
      <c r="C217" s="3" t="s">
        <v>321</v>
      </c>
    </row>
    <row r="218" spans="2:3" x14ac:dyDescent="0.25">
      <c r="B218" s="3" t="s">
        <v>322</v>
      </c>
      <c r="C218" s="3" t="s">
        <v>322</v>
      </c>
    </row>
    <row r="219" spans="2:3" x14ac:dyDescent="0.25">
      <c r="B219" s="3" t="s">
        <v>324</v>
      </c>
      <c r="C219" s="3" t="s">
        <v>324</v>
      </c>
    </row>
    <row r="220" spans="2:3" x14ac:dyDescent="0.25">
      <c r="B220" s="3" t="s">
        <v>325</v>
      </c>
      <c r="C220" s="3" t="s">
        <v>325</v>
      </c>
    </row>
    <row r="221" spans="2:3" x14ac:dyDescent="0.25">
      <c r="B221" s="3" t="s">
        <v>326</v>
      </c>
      <c r="C221" s="3" t="s">
        <v>326</v>
      </c>
    </row>
    <row r="222" spans="2:3" x14ac:dyDescent="0.25">
      <c r="B222" s="3" t="s">
        <v>327</v>
      </c>
      <c r="C222" s="3" t="s">
        <v>327</v>
      </c>
    </row>
    <row r="223" spans="2:3" x14ac:dyDescent="0.25">
      <c r="B223" s="3" t="s">
        <v>329</v>
      </c>
      <c r="C223" s="3" t="s">
        <v>329</v>
      </c>
    </row>
    <row r="224" spans="2:3" x14ac:dyDescent="0.25">
      <c r="B224" s="3" t="s">
        <v>330</v>
      </c>
      <c r="C224" s="3" t="s">
        <v>330</v>
      </c>
    </row>
    <row r="225" spans="2:3" x14ac:dyDescent="0.25">
      <c r="B225" s="3" t="s">
        <v>331</v>
      </c>
      <c r="C225" s="3" t="s">
        <v>331</v>
      </c>
    </row>
    <row r="226" spans="2:3" x14ac:dyDescent="0.25">
      <c r="B226" s="3" t="s">
        <v>332</v>
      </c>
      <c r="C226" s="3" t="s">
        <v>332</v>
      </c>
    </row>
    <row r="227" spans="2:3" x14ac:dyDescent="0.25">
      <c r="B227" s="3" t="s">
        <v>333</v>
      </c>
      <c r="C227" s="3" t="s">
        <v>333</v>
      </c>
    </row>
    <row r="228" spans="2:3" x14ac:dyDescent="0.25">
      <c r="B228" s="3" t="s">
        <v>334</v>
      </c>
      <c r="C228" s="3" t="s">
        <v>334</v>
      </c>
    </row>
    <row r="229" spans="2:3" x14ac:dyDescent="0.25">
      <c r="B229" s="3" t="s">
        <v>336</v>
      </c>
      <c r="C229" s="3" t="s">
        <v>336</v>
      </c>
    </row>
    <row r="230" spans="2:3" x14ac:dyDescent="0.25">
      <c r="B230" s="3" t="s">
        <v>337</v>
      </c>
      <c r="C230" s="3" t="s">
        <v>337</v>
      </c>
    </row>
    <row r="231" spans="2:3" x14ac:dyDescent="0.25">
      <c r="B231" s="3" t="s">
        <v>338</v>
      </c>
      <c r="C231" s="3" t="s">
        <v>338</v>
      </c>
    </row>
    <row r="232" spans="2:3" x14ac:dyDescent="0.25">
      <c r="B232" s="3" t="s">
        <v>339</v>
      </c>
      <c r="C232" s="3" t="s">
        <v>339</v>
      </c>
    </row>
    <row r="233" spans="2:3" x14ac:dyDescent="0.25">
      <c r="B233" s="3" t="s">
        <v>341</v>
      </c>
      <c r="C233" s="3" t="s">
        <v>341</v>
      </c>
    </row>
    <row r="234" spans="2:3" x14ac:dyDescent="0.25">
      <c r="B234" s="3" t="s">
        <v>342</v>
      </c>
      <c r="C234" s="3" t="s">
        <v>342</v>
      </c>
    </row>
    <row r="235" spans="2:3" x14ac:dyDescent="0.25">
      <c r="B235" s="3" t="s">
        <v>343</v>
      </c>
      <c r="C235" s="3" t="s">
        <v>343</v>
      </c>
    </row>
    <row r="236" spans="2:3" x14ac:dyDescent="0.25">
      <c r="B236" s="3" t="s">
        <v>344</v>
      </c>
      <c r="C236" s="3" t="s">
        <v>344</v>
      </c>
    </row>
    <row r="237" spans="2:3" x14ac:dyDescent="0.25">
      <c r="B237" s="3" t="s">
        <v>345</v>
      </c>
      <c r="C237" s="3" t="s">
        <v>345</v>
      </c>
    </row>
    <row r="238" spans="2:3" x14ac:dyDescent="0.25">
      <c r="B238" s="3" t="s">
        <v>346</v>
      </c>
      <c r="C238" s="3" t="s">
        <v>346</v>
      </c>
    </row>
    <row r="239" spans="2:3" x14ac:dyDescent="0.25">
      <c r="B239" s="3" t="s">
        <v>347</v>
      </c>
      <c r="C239" s="3" t="s">
        <v>347</v>
      </c>
    </row>
    <row r="240" spans="2:3" x14ac:dyDescent="0.25">
      <c r="B240" s="3" t="s">
        <v>349</v>
      </c>
      <c r="C240" s="3" t="s">
        <v>349</v>
      </c>
    </row>
    <row r="241" spans="2:3" x14ac:dyDescent="0.25">
      <c r="B241" s="3" t="s">
        <v>350</v>
      </c>
      <c r="C241" s="3" t="s">
        <v>350</v>
      </c>
    </row>
    <row r="242" spans="2:3" x14ac:dyDescent="0.25">
      <c r="B242" s="3" t="s">
        <v>351</v>
      </c>
      <c r="C242" s="3" t="s">
        <v>351</v>
      </c>
    </row>
    <row r="243" spans="2:3" x14ac:dyDescent="0.25">
      <c r="B243" s="3" t="s">
        <v>352</v>
      </c>
      <c r="C243" s="3" t="s">
        <v>352</v>
      </c>
    </row>
    <row r="244" spans="2:3" x14ac:dyDescent="0.25">
      <c r="B244" s="3" t="s">
        <v>353</v>
      </c>
      <c r="C244" s="3" t="s">
        <v>353</v>
      </c>
    </row>
    <row r="245" spans="2:3" x14ac:dyDescent="0.25">
      <c r="B245" s="3" t="s">
        <v>354</v>
      </c>
      <c r="C245" s="3" t="s">
        <v>354</v>
      </c>
    </row>
    <row r="246" spans="2:3" x14ac:dyDescent="0.25">
      <c r="B246" s="3" t="s">
        <v>355</v>
      </c>
      <c r="C246" s="3" t="s">
        <v>355</v>
      </c>
    </row>
    <row r="247" spans="2:3" x14ac:dyDescent="0.25">
      <c r="B247" s="3" t="s">
        <v>356</v>
      </c>
      <c r="C247" s="3" t="s">
        <v>356</v>
      </c>
    </row>
    <row r="248" spans="2:3" x14ac:dyDescent="0.25">
      <c r="B248" s="3" t="s">
        <v>358</v>
      </c>
      <c r="C248" s="3" t="s">
        <v>358</v>
      </c>
    </row>
    <row r="249" spans="2:3" x14ac:dyDescent="0.25">
      <c r="B249" s="3" t="s">
        <v>359</v>
      </c>
      <c r="C249" s="3" t="s">
        <v>359</v>
      </c>
    </row>
    <row r="250" spans="2:3" x14ac:dyDescent="0.25">
      <c r="B250" s="3" t="s">
        <v>361</v>
      </c>
      <c r="C250" s="3" t="s">
        <v>361</v>
      </c>
    </row>
    <row r="251" spans="2:3" x14ac:dyDescent="0.25">
      <c r="B251" s="3" t="s">
        <v>362</v>
      </c>
      <c r="C251" s="3" t="s">
        <v>362</v>
      </c>
    </row>
    <row r="252" spans="2:3" x14ac:dyDescent="0.25">
      <c r="B252" s="3" t="s">
        <v>363</v>
      </c>
      <c r="C252" s="3" t="s">
        <v>363</v>
      </c>
    </row>
    <row r="253" spans="2:3" x14ac:dyDescent="0.25">
      <c r="B253" s="3" t="s">
        <v>364</v>
      </c>
      <c r="C253" s="3" t="s">
        <v>364</v>
      </c>
    </row>
    <row r="254" spans="2:3" x14ac:dyDescent="0.25">
      <c r="B254" s="3" t="s">
        <v>365</v>
      </c>
      <c r="C254" s="3" t="s">
        <v>365</v>
      </c>
    </row>
    <row r="255" spans="2:3" x14ac:dyDescent="0.25">
      <c r="B255" s="3" t="s">
        <v>367</v>
      </c>
      <c r="C255" s="3" t="s">
        <v>367</v>
      </c>
    </row>
    <row r="256" spans="2:3" x14ac:dyDescent="0.25">
      <c r="B256" s="3" t="s">
        <v>368</v>
      </c>
      <c r="C256" s="3" t="s">
        <v>368</v>
      </c>
    </row>
    <row r="257" spans="2:3" x14ac:dyDescent="0.25">
      <c r="B257" s="3" t="s">
        <v>369</v>
      </c>
      <c r="C257" s="3" t="s">
        <v>369</v>
      </c>
    </row>
    <row r="258" spans="2:3" x14ac:dyDescent="0.25">
      <c r="B258" s="3" t="s">
        <v>370</v>
      </c>
      <c r="C258" s="3" t="s">
        <v>370</v>
      </c>
    </row>
    <row r="259" spans="2:3" x14ac:dyDescent="0.25">
      <c r="B259" s="3" t="s">
        <v>371</v>
      </c>
      <c r="C259" s="3" t="s">
        <v>371</v>
      </c>
    </row>
    <row r="260" spans="2:3" x14ac:dyDescent="0.25">
      <c r="B260" s="3" t="s">
        <v>372</v>
      </c>
      <c r="C260" s="3" t="s">
        <v>372</v>
      </c>
    </row>
    <row r="261" spans="2:3" x14ac:dyDescent="0.25">
      <c r="B261" s="3" t="s">
        <v>374</v>
      </c>
      <c r="C261" s="3" t="s">
        <v>374</v>
      </c>
    </row>
    <row r="262" spans="2:3" x14ac:dyDescent="0.25">
      <c r="B262" s="3" t="s">
        <v>375</v>
      </c>
      <c r="C262" s="3" t="s">
        <v>375</v>
      </c>
    </row>
    <row r="263" spans="2:3" x14ac:dyDescent="0.25">
      <c r="B263" s="3" t="s">
        <v>376</v>
      </c>
      <c r="C263" s="3" t="s">
        <v>376</v>
      </c>
    </row>
    <row r="264" spans="2:3" x14ac:dyDescent="0.25">
      <c r="B264" s="3" t="s">
        <v>378</v>
      </c>
      <c r="C264" s="3" t="s">
        <v>378</v>
      </c>
    </row>
    <row r="265" spans="2:3" x14ac:dyDescent="0.25">
      <c r="B265" s="3" t="s">
        <v>379</v>
      </c>
      <c r="C265" s="3" t="s">
        <v>379</v>
      </c>
    </row>
    <row r="266" spans="2:3" x14ac:dyDescent="0.25">
      <c r="B266" s="3" t="s">
        <v>380</v>
      </c>
      <c r="C266" s="3" t="s">
        <v>380</v>
      </c>
    </row>
    <row r="267" spans="2:3" x14ac:dyDescent="0.25">
      <c r="B267" s="3" t="s">
        <v>382</v>
      </c>
      <c r="C267" s="3" t="s">
        <v>382</v>
      </c>
    </row>
    <row r="268" spans="2:3" x14ac:dyDescent="0.25">
      <c r="B268" s="3" t="s">
        <v>384</v>
      </c>
      <c r="C268" s="3" t="s">
        <v>384</v>
      </c>
    </row>
    <row r="269" spans="2:3" x14ac:dyDescent="0.25">
      <c r="B269" s="3" t="s">
        <v>385</v>
      </c>
      <c r="C269" s="3" t="s">
        <v>385</v>
      </c>
    </row>
    <row r="270" spans="2:3" x14ac:dyDescent="0.25">
      <c r="B270" s="3" t="s">
        <v>386</v>
      </c>
      <c r="C270" s="3" t="s">
        <v>386</v>
      </c>
    </row>
    <row r="271" spans="2:3" x14ac:dyDescent="0.25">
      <c r="B271" s="3" t="s">
        <v>389</v>
      </c>
      <c r="C271" s="3" t="s">
        <v>389</v>
      </c>
    </row>
    <row r="272" spans="2:3" x14ac:dyDescent="0.25">
      <c r="B272" s="3" t="s">
        <v>390</v>
      </c>
      <c r="C272" s="3" t="s">
        <v>390</v>
      </c>
    </row>
    <row r="273" spans="2:3" x14ac:dyDescent="0.25">
      <c r="B273" s="3" t="s">
        <v>391</v>
      </c>
      <c r="C273" s="3" t="s">
        <v>391</v>
      </c>
    </row>
    <row r="274" spans="2:3" x14ac:dyDescent="0.25">
      <c r="B274" s="3" t="s">
        <v>392</v>
      </c>
      <c r="C274" s="3" t="s">
        <v>392</v>
      </c>
    </row>
    <row r="275" spans="2:3" x14ac:dyDescent="0.25">
      <c r="B275" s="3" t="s">
        <v>393</v>
      </c>
      <c r="C275" s="3" t="s">
        <v>393</v>
      </c>
    </row>
    <row r="276" spans="2:3" x14ac:dyDescent="0.25">
      <c r="B276" s="3" t="s">
        <v>395</v>
      </c>
      <c r="C276" s="3" t="s">
        <v>395</v>
      </c>
    </row>
    <row r="277" spans="2:3" x14ac:dyDescent="0.25">
      <c r="B277" s="3" t="s">
        <v>396</v>
      </c>
      <c r="C277" s="3" t="s">
        <v>396</v>
      </c>
    </row>
    <row r="278" spans="2:3" x14ac:dyDescent="0.25">
      <c r="B278" s="3" t="s">
        <v>397</v>
      </c>
      <c r="C278" s="3" t="s">
        <v>397</v>
      </c>
    </row>
    <row r="279" spans="2:3" x14ac:dyDescent="0.25">
      <c r="B279" s="3" t="s">
        <v>398</v>
      </c>
      <c r="C279" s="3" t="s">
        <v>398</v>
      </c>
    </row>
    <row r="280" spans="2:3" x14ac:dyDescent="0.25">
      <c r="B280" s="3" t="s">
        <v>399</v>
      </c>
      <c r="C280" s="3" t="s">
        <v>399</v>
      </c>
    </row>
    <row r="281" spans="2:3" x14ac:dyDescent="0.25">
      <c r="B281" s="3" t="s">
        <v>400</v>
      </c>
      <c r="C281" s="3" t="s">
        <v>400</v>
      </c>
    </row>
    <row r="282" spans="2:3" x14ac:dyDescent="0.25">
      <c r="B282" s="3" t="s">
        <v>401</v>
      </c>
      <c r="C282" s="3" t="s">
        <v>401</v>
      </c>
    </row>
    <row r="283" spans="2:3" x14ac:dyDescent="0.25">
      <c r="B283" s="3" t="s">
        <v>402</v>
      </c>
      <c r="C283" s="3" t="s">
        <v>402</v>
      </c>
    </row>
    <row r="284" spans="2:3" x14ac:dyDescent="0.25">
      <c r="B284" s="3" t="s">
        <v>403</v>
      </c>
      <c r="C284" s="3" t="s">
        <v>403</v>
      </c>
    </row>
    <row r="285" spans="2:3" x14ac:dyDescent="0.25">
      <c r="B285" s="3" t="s">
        <v>405</v>
      </c>
      <c r="C285" s="3" t="s">
        <v>405</v>
      </c>
    </row>
    <row r="286" spans="2:3" x14ac:dyDescent="0.25">
      <c r="B286" s="3" t="s">
        <v>406</v>
      </c>
      <c r="C286" s="3" t="s">
        <v>406</v>
      </c>
    </row>
    <row r="287" spans="2:3" x14ac:dyDescent="0.25">
      <c r="B287" s="3" t="s">
        <v>407</v>
      </c>
      <c r="C287" s="3" t="s">
        <v>407</v>
      </c>
    </row>
    <row r="288" spans="2:3" x14ac:dyDescent="0.25">
      <c r="B288" s="3" t="s">
        <v>408</v>
      </c>
      <c r="C288" s="3" t="s">
        <v>408</v>
      </c>
    </row>
    <row r="289" spans="2:3" x14ac:dyDescent="0.25">
      <c r="B289" s="3" t="s">
        <v>410</v>
      </c>
      <c r="C289" s="3" t="s">
        <v>410</v>
      </c>
    </row>
    <row r="290" spans="2:3" x14ac:dyDescent="0.25">
      <c r="B290" s="3" t="s">
        <v>411</v>
      </c>
      <c r="C290" s="3" t="s">
        <v>411</v>
      </c>
    </row>
    <row r="291" spans="2:3" x14ac:dyDescent="0.25">
      <c r="B291" s="3" t="s">
        <v>412</v>
      </c>
      <c r="C291" s="3" t="s">
        <v>412</v>
      </c>
    </row>
    <row r="292" spans="2:3" x14ac:dyDescent="0.25">
      <c r="B292" s="3" t="s">
        <v>414</v>
      </c>
      <c r="C292" s="3" t="s">
        <v>414</v>
      </c>
    </row>
    <row r="293" spans="2:3" x14ac:dyDescent="0.25">
      <c r="B293" s="3" t="s">
        <v>415</v>
      </c>
      <c r="C293" s="3" t="s">
        <v>415</v>
      </c>
    </row>
    <row r="294" spans="2:3" x14ac:dyDescent="0.25">
      <c r="B294" s="3" t="s">
        <v>417</v>
      </c>
      <c r="C294" s="3" t="s">
        <v>417</v>
      </c>
    </row>
    <row r="295" spans="2:3" x14ac:dyDescent="0.25">
      <c r="B295" s="3" t="s">
        <v>418</v>
      </c>
      <c r="C295" s="3" t="s">
        <v>418</v>
      </c>
    </row>
    <row r="296" spans="2:3" x14ac:dyDescent="0.25">
      <c r="B296" s="3" t="s">
        <v>419</v>
      </c>
      <c r="C296" s="3" t="s">
        <v>419</v>
      </c>
    </row>
    <row r="297" spans="2:3" x14ac:dyDescent="0.25">
      <c r="B297" s="3" t="s">
        <v>420</v>
      </c>
      <c r="C297" s="3" t="s">
        <v>420</v>
      </c>
    </row>
    <row r="298" spans="2:3" x14ac:dyDescent="0.25">
      <c r="B298" s="3" t="s">
        <v>421</v>
      </c>
      <c r="C298" s="3" t="s">
        <v>421</v>
      </c>
    </row>
    <row r="299" spans="2:3" x14ac:dyDescent="0.25">
      <c r="B299" s="3" t="s">
        <v>422</v>
      </c>
      <c r="C299" s="3" t="s">
        <v>422</v>
      </c>
    </row>
    <row r="300" spans="2:3" x14ac:dyDescent="0.25">
      <c r="B300" s="3" t="s">
        <v>424</v>
      </c>
      <c r="C300" s="3" t="s">
        <v>424</v>
      </c>
    </row>
    <row r="301" spans="2:3" x14ac:dyDescent="0.25">
      <c r="B301" s="3" t="s">
        <v>426</v>
      </c>
      <c r="C301" s="3" t="s">
        <v>426</v>
      </c>
    </row>
    <row r="302" spans="2:3" x14ac:dyDescent="0.25">
      <c r="B302" s="3" t="s">
        <v>427</v>
      </c>
      <c r="C302" s="3" t="s">
        <v>427</v>
      </c>
    </row>
    <row r="303" spans="2:3" x14ac:dyDescent="0.25">
      <c r="B303" s="3" t="s">
        <v>428</v>
      </c>
      <c r="C303" s="3" t="s">
        <v>428</v>
      </c>
    </row>
    <row r="304" spans="2:3" x14ac:dyDescent="0.25">
      <c r="B304" s="3" t="s">
        <v>429</v>
      </c>
      <c r="C304" s="3" t="s">
        <v>429</v>
      </c>
    </row>
    <row r="305" spans="2:3" x14ac:dyDescent="0.25">
      <c r="B305" s="3" t="s">
        <v>430</v>
      </c>
      <c r="C305" s="3" t="s">
        <v>430</v>
      </c>
    </row>
    <row r="306" spans="2:3" x14ac:dyDescent="0.25">
      <c r="B306" s="3" t="s">
        <v>431</v>
      </c>
      <c r="C306" s="3" t="s">
        <v>431</v>
      </c>
    </row>
    <row r="307" spans="2:3" x14ac:dyDescent="0.25">
      <c r="B307" s="3" t="s">
        <v>432</v>
      </c>
      <c r="C307" s="3" t="s">
        <v>432</v>
      </c>
    </row>
    <row r="308" spans="2:3" x14ac:dyDescent="0.25">
      <c r="B308" s="3" t="s">
        <v>433</v>
      </c>
      <c r="C308" s="3" t="s">
        <v>433</v>
      </c>
    </row>
    <row r="309" spans="2:3" x14ac:dyDescent="0.25">
      <c r="B309" s="3" t="s">
        <v>434</v>
      </c>
      <c r="C309" s="3" t="s">
        <v>434</v>
      </c>
    </row>
    <row r="310" spans="2:3" x14ac:dyDescent="0.25">
      <c r="B310" s="3" t="s">
        <v>435</v>
      </c>
      <c r="C310" s="3" t="s">
        <v>435</v>
      </c>
    </row>
    <row r="311" spans="2:3" x14ac:dyDescent="0.25">
      <c r="B311" s="3" t="s">
        <v>436</v>
      </c>
      <c r="C311" s="3" t="s">
        <v>436</v>
      </c>
    </row>
    <row r="312" spans="2:3" x14ac:dyDescent="0.25">
      <c r="B312" s="3" t="s">
        <v>437</v>
      </c>
      <c r="C312" s="3" t="s">
        <v>437</v>
      </c>
    </row>
    <row r="313" spans="2:3" x14ac:dyDescent="0.25">
      <c r="B313" s="3" t="s">
        <v>438</v>
      </c>
      <c r="C313" s="3" t="s">
        <v>438</v>
      </c>
    </row>
    <row r="314" spans="2:3" x14ac:dyDescent="0.25">
      <c r="B314" s="3" t="s">
        <v>439</v>
      </c>
      <c r="C314" s="3" t="s">
        <v>439</v>
      </c>
    </row>
    <row r="315" spans="2:3" x14ac:dyDescent="0.25">
      <c r="B315" s="3" t="s">
        <v>440</v>
      </c>
      <c r="C315" s="3" t="s">
        <v>440</v>
      </c>
    </row>
    <row r="316" spans="2:3" x14ac:dyDescent="0.25">
      <c r="B316" s="3" t="s">
        <v>441</v>
      </c>
      <c r="C316" s="3" t="s">
        <v>441</v>
      </c>
    </row>
    <row r="317" spans="2:3" x14ac:dyDescent="0.25">
      <c r="B317" s="3" t="s">
        <v>442</v>
      </c>
      <c r="C317" s="3" t="s">
        <v>442</v>
      </c>
    </row>
    <row r="318" spans="2:3" x14ac:dyDescent="0.25">
      <c r="B318" s="3" t="s">
        <v>443</v>
      </c>
      <c r="C318" s="3" t="s">
        <v>443</v>
      </c>
    </row>
    <row r="319" spans="2:3" x14ac:dyDescent="0.25">
      <c r="B319" s="3" t="s">
        <v>444</v>
      </c>
      <c r="C319" s="3" t="s">
        <v>444</v>
      </c>
    </row>
    <row r="320" spans="2:3" x14ac:dyDescent="0.25">
      <c r="B320" s="3" t="s">
        <v>445</v>
      </c>
      <c r="C320" s="3" t="s">
        <v>445</v>
      </c>
    </row>
    <row r="321" spans="2:3" x14ac:dyDescent="0.25">
      <c r="B321" s="3" t="s">
        <v>446</v>
      </c>
      <c r="C321" s="3" t="s">
        <v>446</v>
      </c>
    </row>
    <row r="322" spans="2:3" x14ac:dyDescent="0.25">
      <c r="B322" s="3" t="s">
        <v>447</v>
      </c>
      <c r="C322" s="3" t="s">
        <v>447</v>
      </c>
    </row>
    <row r="323" spans="2:3" x14ac:dyDescent="0.25">
      <c r="B323" s="3" t="s">
        <v>448</v>
      </c>
      <c r="C323" s="3" t="s">
        <v>448</v>
      </c>
    </row>
    <row r="324" spans="2:3" x14ac:dyDescent="0.25">
      <c r="B324" s="3" t="s">
        <v>449</v>
      </c>
      <c r="C324" s="3" t="s">
        <v>449</v>
      </c>
    </row>
    <row r="325" spans="2:3" x14ac:dyDescent="0.25">
      <c r="B325" s="3" t="s">
        <v>450</v>
      </c>
      <c r="C325" s="3" t="s">
        <v>450</v>
      </c>
    </row>
    <row r="326" spans="2:3" x14ac:dyDescent="0.25">
      <c r="B326" s="3" t="s">
        <v>451</v>
      </c>
      <c r="C326" s="3" t="s">
        <v>451</v>
      </c>
    </row>
    <row r="327" spans="2:3" x14ac:dyDescent="0.25">
      <c r="B327" s="3" t="s">
        <v>452</v>
      </c>
      <c r="C327" s="3" t="s">
        <v>452</v>
      </c>
    </row>
    <row r="328" spans="2:3" x14ac:dyDescent="0.25">
      <c r="B328" s="3" t="s">
        <v>453</v>
      </c>
      <c r="C328" s="3" t="s">
        <v>453</v>
      </c>
    </row>
    <row r="329" spans="2:3" x14ac:dyDescent="0.25">
      <c r="B329" s="3" t="s">
        <v>454</v>
      </c>
      <c r="C329" s="3" t="s">
        <v>454</v>
      </c>
    </row>
    <row r="330" spans="2:3" x14ac:dyDescent="0.25">
      <c r="B330" s="3" t="s">
        <v>455</v>
      </c>
      <c r="C330" s="3" t="s">
        <v>455</v>
      </c>
    </row>
    <row r="331" spans="2:3" x14ac:dyDescent="0.25">
      <c r="B331" s="3" t="s">
        <v>457</v>
      </c>
      <c r="C331" s="3" t="s">
        <v>457</v>
      </c>
    </row>
    <row r="332" spans="2:3" x14ac:dyDescent="0.25">
      <c r="B332" s="3" t="s">
        <v>458</v>
      </c>
      <c r="C332" s="3" t="s">
        <v>458</v>
      </c>
    </row>
    <row r="333" spans="2:3" x14ac:dyDescent="0.25">
      <c r="B333" s="3" t="s">
        <v>459</v>
      </c>
      <c r="C333" s="3" t="s">
        <v>459</v>
      </c>
    </row>
    <row r="334" spans="2:3" x14ac:dyDescent="0.25">
      <c r="B334" s="3" t="s">
        <v>460</v>
      </c>
      <c r="C334" s="3" t="s">
        <v>460</v>
      </c>
    </row>
    <row r="335" spans="2:3" x14ac:dyDescent="0.25">
      <c r="B335" s="3" t="s">
        <v>461</v>
      </c>
      <c r="C335" s="3" t="s">
        <v>461</v>
      </c>
    </row>
    <row r="336" spans="2:3" x14ac:dyDescent="0.25">
      <c r="B336" s="3" t="s">
        <v>462</v>
      </c>
      <c r="C336" s="3" t="s">
        <v>462</v>
      </c>
    </row>
    <row r="337" spans="2:3" x14ac:dyDescent="0.25">
      <c r="B337" s="3" t="s">
        <v>463</v>
      </c>
      <c r="C337" s="3" t="s">
        <v>463</v>
      </c>
    </row>
    <row r="338" spans="2:3" x14ac:dyDescent="0.25">
      <c r="B338" s="3" t="s">
        <v>464</v>
      </c>
      <c r="C338" s="3" t="s">
        <v>464</v>
      </c>
    </row>
    <row r="339" spans="2:3" x14ac:dyDescent="0.25">
      <c r="B339" s="3" t="s">
        <v>465</v>
      </c>
      <c r="C339" s="3" t="s">
        <v>465</v>
      </c>
    </row>
    <row r="340" spans="2:3" x14ac:dyDescent="0.25">
      <c r="B340" s="3" t="s">
        <v>466</v>
      </c>
      <c r="C340" s="3" t="s">
        <v>466</v>
      </c>
    </row>
    <row r="341" spans="2:3" x14ac:dyDescent="0.25">
      <c r="B341" s="3" t="s">
        <v>467</v>
      </c>
      <c r="C341" s="3" t="s">
        <v>467</v>
      </c>
    </row>
    <row r="342" spans="2:3" x14ac:dyDescent="0.25">
      <c r="B342" s="3" t="s">
        <v>468</v>
      </c>
      <c r="C342" s="3" t="s">
        <v>468</v>
      </c>
    </row>
    <row r="343" spans="2:3" x14ac:dyDescent="0.25">
      <c r="B343" s="3" t="s">
        <v>469</v>
      </c>
      <c r="C343" s="3" t="s">
        <v>469</v>
      </c>
    </row>
    <row r="344" spans="2:3" x14ac:dyDescent="0.25">
      <c r="B344" s="3" t="s">
        <v>470</v>
      </c>
      <c r="C344" s="3" t="s">
        <v>470</v>
      </c>
    </row>
    <row r="345" spans="2:3" x14ac:dyDescent="0.25">
      <c r="B345" s="3" t="s">
        <v>471</v>
      </c>
      <c r="C345" s="3" t="s">
        <v>471</v>
      </c>
    </row>
    <row r="346" spans="2:3" x14ac:dyDescent="0.25">
      <c r="B346" s="3" t="s">
        <v>473</v>
      </c>
      <c r="C346" s="3" t="s">
        <v>473</v>
      </c>
    </row>
    <row r="347" spans="2:3" x14ac:dyDescent="0.25">
      <c r="B347" s="3" t="s">
        <v>475</v>
      </c>
      <c r="C347" s="3" t="s">
        <v>475</v>
      </c>
    </row>
    <row r="348" spans="2:3" x14ac:dyDescent="0.25">
      <c r="B348" s="3" t="s">
        <v>476</v>
      </c>
      <c r="C348" s="3" t="s">
        <v>476</v>
      </c>
    </row>
    <row r="349" spans="2:3" x14ac:dyDescent="0.25">
      <c r="B349" s="3" t="s">
        <v>477</v>
      </c>
      <c r="C349" s="3" t="s">
        <v>477</v>
      </c>
    </row>
    <row r="350" spans="2:3" x14ac:dyDescent="0.25">
      <c r="B350" s="3" t="s">
        <v>478</v>
      </c>
      <c r="C350" s="3" t="s">
        <v>478</v>
      </c>
    </row>
    <row r="351" spans="2:3" x14ac:dyDescent="0.25">
      <c r="B351" s="3" t="s">
        <v>479</v>
      </c>
      <c r="C351" s="3" t="s">
        <v>479</v>
      </c>
    </row>
    <row r="352" spans="2:3" x14ac:dyDescent="0.25">
      <c r="B352" s="3" t="s">
        <v>480</v>
      </c>
      <c r="C352" s="3" t="s">
        <v>480</v>
      </c>
    </row>
    <row r="353" spans="2:3" x14ac:dyDescent="0.25">
      <c r="B353" s="3" t="s">
        <v>481</v>
      </c>
      <c r="C353" s="3" t="s">
        <v>481</v>
      </c>
    </row>
    <row r="354" spans="2:3" x14ac:dyDescent="0.25">
      <c r="B354" s="3" t="s">
        <v>482</v>
      </c>
      <c r="C354" s="3" t="s">
        <v>482</v>
      </c>
    </row>
    <row r="355" spans="2:3" x14ac:dyDescent="0.25">
      <c r="B355" s="3" t="s">
        <v>484</v>
      </c>
      <c r="C355" s="3" t="s">
        <v>484</v>
      </c>
    </row>
    <row r="356" spans="2:3" x14ac:dyDescent="0.25">
      <c r="B356" s="3" t="s">
        <v>486</v>
      </c>
      <c r="C356" s="3" t="s">
        <v>486</v>
      </c>
    </row>
    <row r="357" spans="2:3" x14ac:dyDescent="0.25">
      <c r="B357" s="3" t="s">
        <v>487</v>
      </c>
      <c r="C357" s="3" t="s">
        <v>487</v>
      </c>
    </row>
    <row r="358" spans="2:3" x14ac:dyDescent="0.25">
      <c r="B358" s="3" t="s">
        <v>488</v>
      </c>
      <c r="C358" s="3" t="s">
        <v>488</v>
      </c>
    </row>
    <row r="359" spans="2:3" x14ac:dyDescent="0.25">
      <c r="B359" s="3" t="s">
        <v>489</v>
      </c>
      <c r="C359" s="3" t="s">
        <v>489</v>
      </c>
    </row>
    <row r="360" spans="2:3" x14ac:dyDescent="0.25">
      <c r="B360" s="3" t="s">
        <v>490</v>
      </c>
      <c r="C360" s="3" t="s">
        <v>490</v>
      </c>
    </row>
    <row r="361" spans="2:3" x14ac:dyDescent="0.25">
      <c r="B361" s="3" t="s">
        <v>491</v>
      </c>
      <c r="C361" s="3" t="s">
        <v>491</v>
      </c>
    </row>
    <row r="362" spans="2:3" x14ac:dyDescent="0.25">
      <c r="B362" s="3" t="s">
        <v>492</v>
      </c>
      <c r="C362" s="3" t="s">
        <v>492</v>
      </c>
    </row>
    <row r="363" spans="2:3" x14ac:dyDescent="0.25">
      <c r="B363" s="3" t="s">
        <v>494</v>
      </c>
      <c r="C363" s="3" t="s">
        <v>494</v>
      </c>
    </row>
    <row r="364" spans="2:3" x14ac:dyDescent="0.25">
      <c r="B364" s="3" t="s">
        <v>495</v>
      </c>
      <c r="C364" s="3" t="s">
        <v>495</v>
      </c>
    </row>
    <row r="365" spans="2:3" x14ac:dyDescent="0.25">
      <c r="B365" s="3" t="s">
        <v>497</v>
      </c>
      <c r="C365" s="3" t="s">
        <v>497</v>
      </c>
    </row>
    <row r="366" spans="2:3" x14ac:dyDescent="0.25">
      <c r="B366" s="3" t="s">
        <v>498</v>
      </c>
      <c r="C366" s="3" t="s">
        <v>498</v>
      </c>
    </row>
    <row r="367" spans="2:3" x14ac:dyDescent="0.25">
      <c r="B367" s="3" t="s">
        <v>499</v>
      </c>
      <c r="C367" s="3" t="s">
        <v>499</v>
      </c>
    </row>
    <row r="368" spans="2:3" x14ac:dyDescent="0.25">
      <c r="B368" s="3" t="s">
        <v>501</v>
      </c>
      <c r="C368" s="3" t="s">
        <v>501</v>
      </c>
    </row>
    <row r="369" spans="2:3" x14ac:dyDescent="0.25">
      <c r="B369" s="3" t="s">
        <v>503</v>
      </c>
      <c r="C369" s="3" t="s">
        <v>503</v>
      </c>
    </row>
    <row r="370" spans="2:3" x14ac:dyDescent="0.25">
      <c r="B370" s="3" t="s">
        <v>504</v>
      </c>
      <c r="C370" s="3" t="s">
        <v>504</v>
      </c>
    </row>
    <row r="371" spans="2:3" x14ac:dyDescent="0.25">
      <c r="B371" s="3" t="s">
        <v>505</v>
      </c>
      <c r="C371" s="3" t="s">
        <v>505</v>
      </c>
    </row>
    <row r="372" spans="2:3" x14ac:dyDescent="0.25">
      <c r="B372" s="3" t="s">
        <v>506</v>
      </c>
      <c r="C372" s="3" t="s">
        <v>506</v>
      </c>
    </row>
    <row r="373" spans="2:3" x14ac:dyDescent="0.25">
      <c r="B373" s="3" t="s">
        <v>507</v>
      </c>
      <c r="C373" s="3" t="s">
        <v>507</v>
      </c>
    </row>
    <row r="374" spans="2:3" x14ac:dyDescent="0.25">
      <c r="B374" s="3" t="s">
        <v>508</v>
      </c>
      <c r="C374" s="3" t="s">
        <v>508</v>
      </c>
    </row>
    <row r="375" spans="2:3" x14ac:dyDescent="0.25">
      <c r="B375" s="3" t="s">
        <v>509</v>
      </c>
      <c r="C375" s="3" t="s">
        <v>509</v>
      </c>
    </row>
    <row r="376" spans="2:3" x14ac:dyDescent="0.25">
      <c r="B376" s="3" t="s">
        <v>510</v>
      </c>
      <c r="C376" s="3" t="s">
        <v>510</v>
      </c>
    </row>
    <row r="377" spans="2:3" x14ac:dyDescent="0.25">
      <c r="B377" s="3" t="s">
        <v>512</v>
      </c>
      <c r="C377" s="3" t="s">
        <v>512</v>
      </c>
    </row>
    <row r="378" spans="2:3" x14ac:dyDescent="0.25">
      <c r="B378" s="3" t="s">
        <v>513</v>
      </c>
      <c r="C378" s="3" t="s">
        <v>513</v>
      </c>
    </row>
    <row r="379" spans="2:3" x14ac:dyDescent="0.25">
      <c r="B379" s="3" t="s">
        <v>514</v>
      </c>
      <c r="C379" s="3" t="s">
        <v>514</v>
      </c>
    </row>
    <row r="380" spans="2:3" x14ac:dyDescent="0.25">
      <c r="B380" s="3" t="s">
        <v>515</v>
      </c>
      <c r="C380" s="3" t="s">
        <v>515</v>
      </c>
    </row>
    <row r="381" spans="2:3" x14ac:dyDescent="0.25">
      <c r="B381" s="3" t="s">
        <v>516</v>
      </c>
      <c r="C381" s="3" t="s">
        <v>516</v>
      </c>
    </row>
    <row r="382" spans="2:3" x14ac:dyDescent="0.25">
      <c r="B382" s="3" t="s">
        <v>517</v>
      </c>
      <c r="C382" s="3" t="s">
        <v>517</v>
      </c>
    </row>
    <row r="383" spans="2:3" x14ac:dyDescent="0.25">
      <c r="B383" s="3" t="s">
        <v>518</v>
      </c>
      <c r="C383" s="3" t="s">
        <v>518</v>
      </c>
    </row>
    <row r="384" spans="2:3" x14ac:dyDescent="0.25">
      <c r="B384" s="3" t="s">
        <v>519</v>
      </c>
      <c r="C384" s="3" t="s">
        <v>519</v>
      </c>
    </row>
    <row r="385" spans="2:3" x14ac:dyDescent="0.25">
      <c r="B385" s="3" t="s">
        <v>520</v>
      </c>
      <c r="C385" s="3" t="s">
        <v>520</v>
      </c>
    </row>
    <row r="386" spans="2:3" x14ac:dyDescent="0.25">
      <c r="B386" s="3" t="s">
        <v>521</v>
      </c>
      <c r="C386" s="3" t="s">
        <v>521</v>
      </c>
    </row>
    <row r="387" spans="2:3" x14ac:dyDescent="0.25">
      <c r="B387" s="3" t="s">
        <v>522</v>
      </c>
      <c r="C387" s="3" t="s">
        <v>522</v>
      </c>
    </row>
    <row r="388" spans="2:3" x14ac:dyDescent="0.25">
      <c r="B388" s="3" t="s">
        <v>523</v>
      </c>
      <c r="C388" s="3" t="s">
        <v>523</v>
      </c>
    </row>
    <row r="389" spans="2:3" x14ac:dyDescent="0.25">
      <c r="B389" s="3" t="s">
        <v>524</v>
      </c>
      <c r="C389" s="3" t="s">
        <v>524</v>
      </c>
    </row>
    <row r="390" spans="2:3" x14ac:dyDescent="0.25">
      <c r="B390" s="3" t="s">
        <v>525</v>
      </c>
      <c r="C390" s="3" t="s">
        <v>525</v>
      </c>
    </row>
    <row r="391" spans="2:3" x14ac:dyDescent="0.25">
      <c r="B391" s="3" t="s">
        <v>526</v>
      </c>
      <c r="C391" s="3" t="s">
        <v>526</v>
      </c>
    </row>
    <row r="392" spans="2:3" x14ac:dyDescent="0.25">
      <c r="B392" s="3" t="s">
        <v>527</v>
      </c>
      <c r="C392" s="3" t="s">
        <v>527</v>
      </c>
    </row>
    <row r="393" spans="2:3" x14ac:dyDescent="0.25">
      <c r="B393" s="3" t="s">
        <v>528</v>
      </c>
      <c r="C393" s="3" t="s">
        <v>528</v>
      </c>
    </row>
    <row r="394" spans="2:3" x14ac:dyDescent="0.25">
      <c r="B394" s="3" t="s">
        <v>529</v>
      </c>
      <c r="C394" s="3" t="s">
        <v>529</v>
      </c>
    </row>
    <row r="395" spans="2:3" x14ac:dyDescent="0.25">
      <c r="B395" s="3" t="s">
        <v>530</v>
      </c>
      <c r="C395" s="3" t="s">
        <v>530</v>
      </c>
    </row>
    <row r="396" spans="2:3" x14ac:dyDescent="0.25">
      <c r="B396" s="3" t="s">
        <v>531</v>
      </c>
      <c r="C396" s="3" t="s">
        <v>531</v>
      </c>
    </row>
    <row r="397" spans="2:3" x14ac:dyDescent="0.25">
      <c r="B397" s="3" t="s">
        <v>532</v>
      </c>
      <c r="C397" s="3" t="s">
        <v>532</v>
      </c>
    </row>
    <row r="398" spans="2:3" x14ac:dyDescent="0.25">
      <c r="B398" s="3" t="s">
        <v>533</v>
      </c>
      <c r="C398" s="3" t="s">
        <v>533</v>
      </c>
    </row>
    <row r="399" spans="2:3" x14ac:dyDescent="0.25">
      <c r="B399" s="3" t="s">
        <v>534</v>
      </c>
      <c r="C399" s="3" t="s">
        <v>534</v>
      </c>
    </row>
    <row r="400" spans="2:3" x14ac:dyDescent="0.25">
      <c r="B400" s="3" t="s">
        <v>535</v>
      </c>
      <c r="C400" s="3" t="s">
        <v>535</v>
      </c>
    </row>
    <row r="401" spans="2:3" x14ac:dyDescent="0.25">
      <c r="B401" s="3" t="s">
        <v>536</v>
      </c>
      <c r="C401" s="3" t="s">
        <v>536</v>
      </c>
    </row>
    <row r="402" spans="2:3" x14ac:dyDescent="0.25">
      <c r="B402" s="3" t="s">
        <v>537</v>
      </c>
      <c r="C402" s="3" t="s">
        <v>537</v>
      </c>
    </row>
    <row r="403" spans="2:3" x14ac:dyDescent="0.25">
      <c r="B403" s="3" t="s">
        <v>538</v>
      </c>
      <c r="C403" s="3" t="s">
        <v>538</v>
      </c>
    </row>
    <row r="404" spans="2:3" x14ac:dyDescent="0.25">
      <c r="B404" s="3" t="s">
        <v>539</v>
      </c>
      <c r="C404" s="3" t="s">
        <v>539</v>
      </c>
    </row>
    <row r="405" spans="2:3" x14ac:dyDescent="0.25">
      <c r="B405" s="3" t="s">
        <v>540</v>
      </c>
      <c r="C405" s="3" t="s">
        <v>540</v>
      </c>
    </row>
    <row r="406" spans="2:3" x14ac:dyDescent="0.25">
      <c r="B406" s="3" t="s">
        <v>541</v>
      </c>
      <c r="C406" s="3" t="s">
        <v>541</v>
      </c>
    </row>
    <row r="407" spans="2:3" x14ac:dyDescent="0.25">
      <c r="B407" s="3" t="s">
        <v>542</v>
      </c>
      <c r="C407" s="3" t="s">
        <v>542</v>
      </c>
    </row>
    <row r="408" spans="2:3" x14ac:dyDescent="0.25">
      <c r="B408" s="3" t="s">
        <v>543</v>
      </c>
      <c r="C408" s="3" t="s">
        <v>543</v>
      </c>
    </row>
    <row r="409" spans="2:3" x14ac:dyDescent="0.25">
      <c r="B409" s="3" t="s">
        <v>544</v>
      </c>
      <c r="C409" s="3" t="s">
        <v>544</v>
      </c>
    </row>
    <row r="410" spans="2:3" x14ac:dyDescent="0.25">
      <c r="B410" s="3" t="s">
        <v>545</v>
      </c>
      <c r="C410" s="3" t="s">
        <v>545</v>
      </c>
    </row>
    <row r="411" spans="2:3" x14ac:dyDescent="0.25">
      <c r="B411" s="3" t="s">
        <v>546</v>
      </c>
      <c r="C411" s="3" t="s">
        <v>546</v>
      </c>
    </row>
    <row r="412" spans="2:3" x14ac:dyDescent="0.25">
      <c r="B412" s="3" t="s">
        <v>547</v>
      </c>
      <c r="C412" s="3" t="s">
        <v>547</v>
      </c>
    </row>
    <row r="413" spans="2:3" x14ac:dyDescent="0.25">
      <c r="B413" s="3" t="s">
        <v>549</v>
      </c>
      <c r="C413" s="3" t="s">
        <v>549</v>
      </c>
    </row>
    <row r="414" spans="2:3" x14ac:dyDescent="0.25">
      <c r="B414" s="3" t="s">
        <v>550</v>
      </c>
      <c r="C414" s="3" t="s">
        <v>550</v>
      </c>
    </row>
    <row r="415" spans="2:3" x14ac:dyDescent="0.25">
      <c r="B415" s="3" t="s">
        <v>551</v>
      </c>
      <c r="C415" s="3" t="s">
        <v>551</v>
      </c>
    </row>
    <row r="416" spans="2:3" x14ac:dyDescent="0.25">
      <c r="B416" s="3" t="s">
        <v>552</v>
      </c>
      <c r="C416" s="3" t="s">
        <v>552</v>
      </c>
    </row>
    <row r="417" spans="2:3" x14ac:dyDescent="0.25">
      <c r="B417" s="3" t="s">
        <v>553</v>
      </c>
      <c r="C417" s="3" t="s">
        <v>553</v>
      </c>
    </row>
    <row r="418" spans="2:3" x14ac:dyDescent="0.25">
      <c r="B418" s="3" t="s">
        <v>554</v>
      </c>
      <c r="C418" s="3" t="s">
        <v>554</v>
      </c>
    </row>
    <row r="419" spans="2:3" x14ac:dyDescent="0.25">
      <c r="B419" s="3" t="s">
        <v>555</v>
      </c>
      <c r="C419" s="3" t="s">
        <v>555</v>
      </c>
    </row>
    <row r="420" spans="2:3" x14ac:dyDescent="0.25">
      <c r="B420" s="3" t="s">
        <v>557</v>
      </c>
      <c r="C420" s="3" t="s">
        <v>557</v>
      </c>
    </row>
    <row r="421" spans="2:3" x14ac:dyDescent="0.25">
      <c r="B421" s="3" t="s">
        <v>558</v>
      </c>
      <c r="C421" s="3" t="s">
        <v>558</v>
      </c>
    </row>
    <row r="422" spans="2:3" x14ac:dyDescent="0.25">
      <c r="B422" s="3" t="s">
        <v>559</v>
      </c>
      <c r="C422" s="3" t="s">
        <v>559</v>
      </c>
    </row>
    <row r="423" spans="2:3" x14ac:dyDescent="0.25">
      <c r="B423" s="3" t="s">
        <v>560</v>
      </c>
      <c r="C423" s="3" t="s">
        <v>560</v>
      </c>
    </row>
    <row r="424" spans="2:3" x14ac:dyDescent="0.25">
      <c r="B424" s="3" t="s">
        <v>561</v>
      </c>
      <c r="C424" s="3" t="s">
        <v>561</v>
      </c>
    </row>
    <row r="425" spans="2:3" x14ac:dyDescent="0.25">
      <c r="B425" s="3" t="s">
        <v>562</v>
      </c>
      <c r="C425" s="3" t="s">
        <v>562</v>
      </c>
    </row>
    <row r="426" spans="2:3" x14ac:dyDescent="0.25">
      <c r="B426" s="3" t="s">
        <v>563</v>
      </c>
      <c r="C426" s="3" t="s">
        <v>563</v>
      </c>
    </row>
    <row r="427" spans="2:3" x14ac:dyDescent="0.25">
      <c r="B427" s="3" t="s">
        <v>564</v>
      </c>
      <c r="C427" s="3" t="s">
        <v>564</v>
      </c>
    </row>
    <row r="428" spans="2:3" x14ac:dyDescent="0.25">
      <c r="B428" s="3" t="s">
        <v>565</v>
      </c>
      <c r="C428" s="3" t="s">
        <v>565</v>
      </c>
    </row>
    <row r="429" spans="2:3" x14ac:dyDescent="0.25">
      <c r="B429" s="3" t="s">
        <v>566</v>
      </c>
      <c r="C429" s="3" t="s">
        <v>566</v>
      </c>
    </row>
    <row r="430" spans="2:3" x14ac:dyDescent="0.25">
      <c r="B430" s="3" t="s">
        <v>567</v>
      </c>
      <c r="C430" s="3" t="s">
        <v>567</v>
      </c>
    </row>
    <row r="431" spans="2:3" x14ac:dyDescent="0.25">
      <c r="B431" s="3" t="s">
        <v>568</v>
      </c>
      <c r="C431" s="3" t="s">
        <v>568</v>
      </c>
    </row>
    <row r="432" spans="2:3" x14ac:dyDescent="0.25">
      <c r="B432" s="3" t="s">
        <v>569</v>
      </c>
      <c r="C432" s="3" t="s">
        <v>569</v>
      </c>
    </row>
    <row r="433" spans="2:2" x14ac:dyDescent="0.25">
      <c r="B433" s="3" t="s">
        <v>573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BF57DA-DE62-43F8-BD2B-563E5F3FB7AD}">
  <dimension ref="A1:N77"/>
  <sheetViews>
    <sheetView zoomScale="70" zoomScaleNormal="70" workbookViewId="0">
      <selection activeCell="L2" sqref="L2"/>
    </sheetView>
  </sheetViews>
  <sheetFormatPr defaultRowHeight="15" x14ac:dyDescent="0.25"/>
  <cols>
    <col min="1" max="1" width="13.7109375" bestFit="1" customWidth="1"/>
    <col min="2" max="2" width="6.28515625" bestFit="1" customWidth="1"/>
    <col min="3" max="3" width="13.5703125" bestFit="1" customWidth="1"/>
    <col min="4" max="5" width="20" bestFit="1" customWidth="1"/>
    <col min="6" max="6" width="25" bestFit="1" customWidth="1"/>
    <col min="7" max="7" width="26.42578125" bestFit="1" customWidth="1"/>
    <col min="8" max="8" width="21.42578125" bestFit="1" customWidth="1"/>
    <col min="9" max="9" width="22.5703125" bestFit="1" customWidth="1"/>
    <col min="10" max="10" width="34.140625" bestFit="1" customWidth="1"/>
    <col min="11" max="11" width="19" bestFit="1" customWidth="1"/>
    <col min="12" max="12" width="23.42578125" bestFit="1" customWidth="1"/>
    <col min="13" max="13" width="19" bestFit="1" customWidth="1"/>
    <col min="14" max="14" width="18.42578125" bestFit="1" customWidth="1"/>
    <col min="15" max="15" width="11" bestFit="1" customWidth="1"/>
  </cols>
  <sheetData>
    <row r="1" spans="1:14" x14ac:dyDescent="0.25">
      <c r="A1" s="20" t="s">
        <v>0</v>
      </c>
      <c r="B1" s="20" t="s">
        <v>1</v>
      </c>
      <c r="C1" s="20" t="s">
        <v>2</v>
      </c>
      <c r="D1" s="20" t="s">
        <v>571</v>
      </c>
      <c r="E1" s="20" t="s">
        <v>578</v>
      </c>
      <c r="F1" s="20" t="s">
        <v>579</v>
      </c>
      <c r="G1" s="20" t="s">
        <v>580</v>
      </c>
      <c r="H1" s="20" t="s">
        <v>577</v>
      </c>
      <c r="I1" s="20" t="s">
        <v>3</v>
      </c>
      <c r="J1" s="20" t="s">
        <v>4</v>
      </c>
      <c r="K1" s="20" t="s">
        <v>570</v>
      </c>
      <c r="L1" s="20" t="s">
        <v>581</v>
      </c>
      <c r="M1" s="20" t="s">
        <v>589</v>
      </c>
      <c r="N1" s="20" t="s">
        <v>658</v>
      </c>
    </row>
    <row r="2" spans="1:14" x14ac:dyDescent="0.25">
      <c r="A2" t="s">
        <v>12</v>
      </c>
      <c r="B2" t="s">
        <v>11</v>
      </c>
      <c r="C2" s="51">
        <v>42371</v>
      </c>
      <c r="D2" s="61">
        <v>9737018000</v>
      </c>
      <c r="E2" s="61">
        <v>5314246000</v>
      </c>
      <c r="F2" s="61">
        <v>3596992000</v>
      </c>
      <c r="G2" s="61">
        <v>0</v>
      </c>
      <c r="H2" s="61">
        <v>0</v>
      </c>
      <c r="I2" t="s">
        <v>13</v>
      </c>
      <c r="J2" t="s">
        <v>14</v>
      </c>
      <c r="K2" s="61">
        <v>4422772000</v>
      </c>
      <c r="L2" s="61">
        <v>3596992000</v>
      </c>
      <c r="M2" s="61">
        <v>825780000</v>
      </c>
      <c r="N2" t="str">
        <f>TEXT(FLOOR(D2,10000000000),"0,,,")&amp;"B" &amp;" - "&amp; TEXT(FLOOR(D2,10000000000)+10000000000,"0,,,")&amp;"B"</f>
        <v>0B - 10B</v>
      </c>
    </row>
    <row r="3" spans="1:14" x14ac:dyDescent="0.25">
      <c r="A3" t="s">
        <v>70</v>
      </c>
      <c r="B3" t="s">
        <v>11</v>
      </c>
      <c r="C3" s="51">
        <v>42735</v>
      </c>
      <c r="D3" s="61">
        <v>135987000000</v>
      </c>
      <c r="E3" s="61">
        <v>88265000000</v>
      </c>
      <c r="F3" s="61">
        <v>43536000000</v>
      </c>
      <c r="G3" s="61">
        <v>0</v>
      </c>
      <c r="H3" s="61">
        <v>0</v>
      </c>
      <c r="I3" t="s">
        <v>13</v>
      </c>
      <c r="J3" t="s">
        <v>71</v>
      </c>
      <c r="K3" s="61">
        <v>47722000000</v>
      </c>
      <c r="L3" s="61">
        <v>43536000000</v>
      </c>
      <c r="M3" s="61">
        <v>4186000000</v>
      </c>
      <c r="N3" t="str">
        <f t="shared" ref="N3:N66" si="0">TEXT(FLOOR(D3,10000000000),"0,,,")&amp;"B" &amp;" - "&amp; TEXT(FLOOR(D3,10000000000)+10000000000,"0,,,")&amp;"B"</f>
        <v>130B - 140B</v>
      </c>
    </row>
    <row r="4" spans="1:14" x14ac:dyDescent="0.25">
      <c r="A4" t="s">
        <v>72</v>
      </c>
      <c r="B4" t="s">
        <v>11</v>
      </c>
      <c r="C4" s="51">
        <v>42735</v>
      </c>
      <c r="D4" s="61">
        <v>21609000000</v>
      </c>
      <c r="E4" s="61">
        <v>18295800000</v>
      </c>
      <c r="F4" s="61">
        <v>2280300000</v>
      </c>
      <c r="G4" s="61">
        <v>0</v>
      </c>
      <c r="H4" s="61">
        <v>143400000</v>
      </c>
      <c r="I4" t="s">
        <v>13</v>
      </c>
      <c r="J4" t="s">
        <v>73</v>
      </c>
      <c r="K4" s="61">
        <v>3313200000</v>
      </c>
      <c r="L4" s="61">
        <v>2423700000</v>
      </c>
      <c r="M4" s="61">
        <v>889500000</v>
      </c>
      <c r="N4" t="str">
        <f t="shared" si="0"/>
        <v>20B - 30B</v>
      </c>
    </row>
    <row r="5" spans="1:14" x14ac:dyDescent="0.25">
      <c r="A5" t="s">
        <v>96</v>
      </c>
      <c r="B5" t="s">
        <v>11</v>
      </c>
      <c r="C5" s="51">
        <v>42609</v>
      </c>
      <c r="D5" s="61">
        <v>10635676000</v>
      </c>
      <c r="E5" s="61">
        <v>5026940000</v>
      </c>
      <c r="F5" s="61">
        <v>3548341000</v>
      </c>
      <c r="G5" s="61">
        <v>0</v>
      </c>
      <c r="H5" s="61">
        <v>0</v>
      </c>
      <c r="I5" t="s">
        <v>13</v>
      </c>
      <c r="J5" t="s">
        <v>73</v>
      </c>
      <c r="K5" s="61">
        <v>5608736000</v>
      </c>
      <c r="L5" s="61">
        <v>3548341000</v>
      </c>
      <c r="M5" s="61">
        <v>2060395000</v>
      </c>
      <c r="N5" t="str">
        <f t="shared" si="0"/>
        <v>10B - 20B</v>
      </c>
    </row>
    <row r="6" spans="1:14" x14ac:dyDescent="0.25">
      <c r="A6" t="s">
        <v>101</v>
      </c>
      <c r="B6" t="s">
        <v>11</v>
      </c>
      <c r="C6" s="51">
        <v>42427</v>
      </c>
      <c r="D6" s="61">
        <v>12103887000</v>
      </c>
      <c r="E6" s="61">
        <v>7483577000</v>
      </c>
      <c r="F6" s="61">
        <v>3205407000</v>
      </c>
      <c r="G6" s="61">
        <v>0</v>
      </c>
      <c r="H6" s="61">
        <v>0</v>
      </c>
      <c r="I6" t="s">
        <v>13</v>
      </c>
      <c r="J6" t="s">
        <v>73</v>
      </c>
      <c r="K6" s="61">
        <v>4620310000</v>
      </c>
      <c r="L6" s="61">
        <v>3205407000</v>
      </c>
      <c r="M6" s="61">
        <v>1414903000</v>
      </c>
      <c r="N6" t="str">
        <f t="shared" si="0"/>
        <v>10B - 20B</v>
      </c>
    </row>
    <row r="7" spans="1:14" x14ac:dyDescent="0.25">
      <c r="A7" t="s">
        <v>103</v>
      </c>
      <c r="B7" t="s">
        <v>11</v>
      </c>
      <c r="C7" s="51">
        <v>42399</v>
      </c>
      <c r="D7" s="61">
        <v>39528000000</v>
      </c>
      <c r="E7" s="61">
        <v>30337000000</v>
      </c>
      <c r="F7" s="61">
        <v>7618000000</v>
      </c>
      <c r="G7" s="61">
        <v>0</v>
      </c>
      <c r="H7" s="61">
        <v>0</v>
      </c>
      <c r="I7" t="s">
        <v>13</v>
      </c>
      <c r="J7" t="s">
        <v>104</v>
      </c>
      <c r="K7" s="61">
        <v>9191000000</v>
      </c>
      <c r="L7" s="61">
        <v>7618000000</v>
      </c>
      <c r="M7" s="61">
        <v>1573000000</v>
      </c>
      <c r="N7" t="str">
        <f t="shared" si="0"/>
        <v>30B - 40B</v>
      </c>
    </row>
    <row r="8" spans="1:14" x14ac:dyDescent="0.25">
      <c r="A8" t="s">
        <v>114</v>
      </c>
      <c r="B8" t="s">
        <v>11</v>
      </c>
      <c r="C8" s="51">
        <v>42735</v>
      </c>
      <c r="D8" s="61">
        <v>9071000000</v>
      </c>
      <c r="E8" s="61">
        <v>7137900000</v>
      </c>
      <c r="F8" s="61">
        <v>1707200000</v>
      </c>
      <c r="G8" s="61">
        <v>0</v>
      </c>
      <c r="H8" s="61">
        <v>0</v>
      </c>
      <c r="I8" t="s">
        <v>13</v>
      </c>
      <c r="J8" t="s">
        <v>115</v>
      </c>
      <c r="K8" s="61">
        <v>1933100000</v>
      </c>
      <c r="L8" s="61">
        <v>1707200000</v>
      </c>
      <c r="M8" s="61">
        <v>225900000</v>
      </c>
      <c r="N8" t="str">
        <f t="shared" si="0"/>
        <v>0B - 10B</v>
      </c>
    </row>
    <row r="9" spans="1:14" x14ac:dyDescent="0.25">
      <c r="A9" t="s">
        <v>126</v>
      </c>
      <c r="B9" t="s">
        <v>11</v>
      </c>
      <c r="C9" s="51">
        <v>42704</v>
      </c>
      <c r="D9" s="61">
        <v>16389000000</v>
      </c>
      <c r="E9" s="61">
        <v>9383000000</v>
      </c>
      <c r="F9" s="61">
        <v>2197000000</v>
      </c>
      <c r="G9" s="61">
        <v>0</v>
      </c>
      <c r="H9" s="61">
        <v>1738000000</v>
      </c>
      <c r="I9" t="s">
        <v>13</v>
      </c>
      <c r="J9" t="s">
        <v>127</v>
      </c>
      <c r="K9" s="61">
        <v>7006000000</v>
      </c>
      <c r="L9" s="61">
        <v>3935000000</v>
      </c>
      <c r="M9" s="61">
        <v>3071000000</v>
      </c>
      <c r="N9" t="str">
        <f t="shared" si="0"/>
        <v>10B - 20B</v>
      </c>
    </row>
    <row r="10" spans="1:14" x14ac:dyDescent="0.25">
      <c r="A10" t="s">
        <v>141</v>
      </c>
      <c r="B10" t="s">
        <v>11</v>
      </c>
      <c r="C10" s="51">
        <v>42735</v>
      </c>
      <c r="D10" s="61">
        <v>29003000000</v>
      </c>
      <c r="E10" s="61">
        <v>18655000000</v>
      </c>
      <c r="F10" s="61">
        <v>86000000</v>
      </c>
      <c r="G10" s="61">
        <v>0</v>
      </c>
      <c r="H10" s="61">
        <v>6907000000</v>
      </c>
      <c r="I10" t="s">
        <v>13</v>
      </c>
      <c r="J10" t="s">
        <v>142</v>
      </c>
      <c r="K10" s="61">
        <v>10348000000</v>
      </c>
      <c r="L10" s="61">
        <v>6993000000</v>
      </c>
      <c r="M10" s="61">
        <v>3355000000</v>
      </c>
      <c r="N10" t="str">
        <f t="shared" si="0"/>
        <v>20B - 30B</v>
      </c>
    </row>
    <row r="11" spans="1:14" x14ac:dyDescent="0.25">
      <c r="A11" t="s">
        <v>148</v>
      </c>
      <c r="B11" t="s">
        <v>11</v>
      </c>
      <c r="C11" s="51">
        <v>42735</v>
      </c>
      <c r="D11" s="61">
        <v>3904384000</v>
      </c>
      <c r="E11" s="61">
        <v>3406170000</v>
      </c>
      <c r="F11" s="61">
        <v>276240000</v>
      </c>
      <c r="G11" s="61">
        <v>0</v>
      </c>
      <c r="H11" s="61">
        <v>146368000</v>
      </c>
      <c r="I11" t="s">
        <v>13</v>
      </c>
      <c r="J11" t="s">
        <v>149</v>
      </c>
      <c r="K11" s="61">
        <v>498214000</v>
      </c>
      <c r="L11" s="61">
        <v>422608000</v>
      </c>
      <c r="M11" s="61">
        <v>75606000</v>
      </c>
      <c r="N11" t="str">
        <f t="shared" si="0"/>
        <v>0B - 10B</v>
      </c>
    </row>
    <row r="12" spans="1:14" x14ac:dyDescent="0.25">
      <c r="A12" t="s">
        <v>190</v>
      </c>
      <c r="B12" t="s">
        <v>11</v>
      </c>
      <c r="C12" s="51">
        <v>42398</v>
      </c>
      <c r="D12" s="61">
        <v>20368562000</v>
      </c>
      <c r="E12" s="61">
        <v>14062471000</v>
      </c>
      <c r="F12" s="61">
        <v>4365797000</v>
      </c>
      <c r="G12" s="61">
        <v>0</v>
      </c>
      <c r="H12" s="61">
        <v>0</v>
      </c>
      <c r="I12" t="s">
        <v>13</v>
      </c>
      <c r="J12" t="s">
        <v>191</v>
      </c>
      <c r="K12" s="61">
        <v>6306091000</v>
      </c>
      <c r="L12" s="61">
        <v>4365797000</v>
      </c>
      <c r="M12" s="61">
        <v>1940294000</v>
      </c>
      <c r="N12" t="str">
        <f t="shared" si="0"/>
        <v>20B - 30B</v>
      </c>
    </row>
    <row r="13" spans="1:14" x14ac:dyDescent="0.25">
      <c r="A13" t="s">
        <v>194</v>
      </c>
      <c r="B13" t="s">
        <v>11</v>
      </c>
      <c r="C13" s="51">
        <v>42643</v>
      </c>
      <c r="D13" s="61">
        <v>12157400000</v>
      </c>
      <c r="E13" s="61">
        <v>9502600000</v>
      </c>
      <c r="F13" s="61">
        <v>1100300000</v>
      </c>
      <c r="G13" s="61">
        <v>0</v>
      </c>
      <c r="H13" s="61">
        <v>0</v>
      </c>
      <c r="I13" t="s">
        <v>13</v>
      </c>
      <c r="J13" t="s">
        <v>195</v>
      </c>
      <c r="K13" s="61">
        <v>2654800000</v>
      </c>
      <c r="L13" s="61">
        <v>1100300000</v>
      </c>
      <c r="M13" s="61">
        <v>1554500000</v>
      </c>
      <c r="N13" t="str">
        <f t="shared" si="0"/>
        <v>10B - 20B</v>
      </c>
    </row>
    <row r="14" spans="1:14" x14ac:dyDescent="0.25">
      <c r="A14" t="s">
        <v>197</v>
      </c>
      <c r="B14" t="s">
        <v>11</v>
      </c>
      <c r="C14" s="51">
        <v>42644</v>
      </c>
      <c r="D14" s="61">
        <v>55632000000</v>
      </c>
      <c r="E14" s="61">
        <v>29993000000</v>
      </c>
      <c r="F14" s="61">
        <v>8754000000</v>
      </c>
      <c r="G14" s="61">
        <v>0</v>
      </c>
      <c r="H14" s="61">
        <v>2527000000</v>
      </c>
      <c r="I14" t="s">
        <v>13</v>
      </c>
      <c r="J14" t="s">
        <v>198</v>
      </c>
      <c r="K14" s="61">
        <v>25639000000</v>
      </c>
      <c r="L14" s="61">
        <v>11281000000</v>
      </c>
      <c r="M14" s="61">
        <v>14358000000</v>
      </c>
      <c r="N14" t="str">
        <f t="shared" si="0"/>
        <v>50B - 60B</v>
      </c>
    </row>
    <row r="15" spans="1:14" x14ac:dyDescent="0.25">
      <c r="A15" t="s">
        <v>199</v>
      </c>
      <c r="B15" t="s">
        <v>11</v>
      </c>
      <c r="C15" s="51">
        <v>42735</v>
      </c>
      <c r="D15" s="61">
        <v>6497000000</v>
      </c>
      <c r="E15" s="61">
        <v>2432000000</v>
      </c>
      <c r="F15" s="61">
        <v>1690000000</v>
      </c>
      <c r="G15" s="61">
        <v>0</v>
      </c>
      <c r="H15" s="61">
        <v>322000000</v>
      </c>
      <c r="I15" t="s">
        <v>13</v>
      </c>
      <c r="J15" t="s">
        <v>142</v>
      </c>
      <c r="K15" s="61">
        <v>4065000000</v>
      </c>
      <c r="L15" s="61">
        <v>2012000000</v>
      </c>
      <c r="M15" s="61">
        <v>2053000000</v>
      </c>
      <c r="N15" t="str">
        <f t="shared" si="0"/>
        <v>0B - 10B</v>
      </c>
    </row>
    <row r="16" spans="1:14" x14ac:dyDescent="0.25">
      <c r="A16" t="s">
        <v>200</v>
      </c>
      <c r="B16" t="s">
        <v>11</v>
      </c>
      <c r="C16" s="51">
        <v>42735</v>
      </c>
      <c r="D16" s="61">
        <v>6497000000</v>
      </c>
      <c r="E16" s="61">
        <v>2432000000</v>
      </c>
      <c r="F16" s="61">
        <v>1690000000</v>
      </c>
      <c r="G16" s="61">
        <v>0</v>
      </c>
      <c r="H16" s="61">
        <v>322000000</v>
      </c>
      <c r="I16" t="s">
        <v>13</v>
      </c>
      <c r="J16" t="s">
        <v>142</v>
      </c>
      <c r="K16" s="61">
        <v>4065000000</v>
      </c>
      <c r="L16" s="61">
        <v>2012000000</v>
      </c>
      <c r="M16" s="61">
        <v>2053000000</v>
      </c>
      <c r="N16" t="str">
        <f t="shared" si="0"/>
        <v>0B - 10B</v>
      </c>
    </row>
    <row r="17" spans="1:14" x14ac:dyDescent="0.25">
      <c r="A17" t="s">
        <v>201</v>
      </c>
      <c r="B17" t="s">
        <v>11</v>
      </c>
      <c r="C17" s="51">
        <v>42735</v>
      </c>
      <c r="D17" s="61">
        <v>16661000000</v>
      </c>
      <c r="E17" s="61">
        <v>13107000000</v>
      </c>
      <c r="F17" s="61">
        <v>1145000000</v>
      </c>
      <c r="G17" s="61">
        <v>0</v>
      </c>
      <c r="H17" s="61">
        <v>134000000</v>
      </c>
      <c r="I17" t="s">
        <v>13</v>
      </c>
      <c r="J17" t="s">
        <v>115</v>
      </c>
      <c r="K17" s="61">
        <v>3554000000</v>
      </c>
      <c r="L17" s="61">
        <v>1279000000</v>
      </c>
      <c r="M17" s="61">
        <v>2275000000</v>
      </c>
      <c r="N17" t="str">
        <f t="shared" si="0"/>
        <v>10B - 20B</v>
      </c>
    </row>
    <row r="18" spans="1:14" x14ac:dyDescent="0.25">
      <c r="A18" t="s">
        <v>203</v>
      </c>
      <c r="B18" t="s">
        <v>11</v>
      </c>
      <c r="C18" s="51">
        <v>42399</v>
      </c>
      <c r="D18" s="61">
        <v>15498400000</v>
      </c>
      <c r="E18" s="61">
        <v>10841700000</v>
      </c>
      <c r="F18" s="61">
        <v>3607000000</v>
      </c>
      <c r="G18" s="61">
        <v>0</v>
      </c>
      <c r="H18" s="61">
        <v>0</v>
      </c>
      <c r="I18" t="s">
        <v>13</v>
      </c>
      <c r="J18" t="s">
        <v>191</v>
      </c>
      <c r="K18" s="61">
        <v>4656700000</v>
      </c>
      <c r="L18" s="61">
        <v>3607000000</v>
      </c>
      <c r="M18" s="61">
        <v>1049700000</v>
      </c>
      <c r="N18" t="str">
        <f t="shared" si="0"/>
        <v>10B - 20B</v>
      </c>
    </row>
    <row r="19" spans="1:14" x14ac:dyDescent="0.25">
      <c r="A19" t="s">
        <v>209</v>
      </c>
      <c r="B19" t="s">
        <v>11</v>
      </c>
      <c r="C19" s="51">
        <v>42519</v>
      </c>
      <c r="D19" s="61">
        <v>6933500000</v>
      </c>
      <c r="E19" s="61">
        <v>5392400000</v>
      </c>
      <c r="F19" s="61">
        <v>622900000</v>
      </c>
      <c r="G19" s="61">
        <v>0</v>
      </c>
      <c r="H19" s="61">
        <v>290200000</v>
      </c>
      <c r="I19" t="s">
        <v>13</v>
      </c>
      <c r="J19" t="s">
        <v>149</v>
      </c>
      <c r="K19" s="61">
        <v>1541100000</v>
      </c>
      <c r="L19" s="61">
        <v>913100000</v>
      </c>
      <c r="M19" s="61">
        <v>628000000</v>
      </c>
      <c r="N19" t="str">
        <f t="shared" si="0"/>
        <v>0B - 10B</v>
      </c>
    </row>
    <row r="20" spans="1:14" x14ac:dyDescent="0.25">
      <c r="A20" t="s">
        <v>236</v>
      </c>
      <c r="B20" t="s">
        <v>11</v>
      </c>
      <c r="C20" s="51">
        <v>42735</v>
      </c>
      <c r="D20" s="61">
        <v>8773564000</v>
      </c>
      <c r="E20" s="61">
        <v>1596698000</v>
      </c>
      <c r="F20" s="61">
        <v>6280728000</v>
      </c>
      <c r="G20" s="61">
        <v>0</v>
      </c>
      <c r="H20" s="61">
        <v>317141000</v>
      </c>
      <c r="I20" t="s">
        <v>13</v>
      </c>
      <c r="J20" t="s">
        <v>71</v>
      </c>
      <c r="K20" s="61">
        <v>7176866000</v>
      </c>
      <c r="L20" s="61">
        <v>6597869000</v>
      </c>
      <c r="M20" s="61">
        <v>578997000</v>
      </c>
      <c r="N20" t="str">
        <f t="shared" si="0"/>
        <v>0B - 10B</v>
      </c>
    </row>
    <row r="21" spans="1:14" x14ac:dyDescent="0.25">
      <c r="A21" t="s">
        <v>238</v>
      </c>
      <c r="B21" t="s">
        <v>11</v>
      </c>
      <c r="C21" s="51">
        <v>42735</v>
      </c>
      <c r="D21" s="61">
        <v>151800000000</v>
      </c>
      <c r="E21" s="61">
        <v>135488000000</v>
      </c>
      <c r="F21" s="61">
        <v>12196000000</v>
      </c>
      <c r="G21" s="61">
        <v>0</v>
      </c>
      <c r="H21" s="61">
        <v>0</v>
      </c>
      <c r="I21" t="s">
        <v>13</v>
      </c>
      <c r="J21" t="s">
        <v>239</v>
      </c>
      <c r="K21" s="61">
        <v>16312000000</v>
      </c>
      <c r="L21" s="61">
        <v>12196000000</v>
      </c>
      <c r="M21" s="61">
        <v>4116000000</v>
      </c>
      <c r="N21" t="str">
        <f t="shared" si="0"/>
        <v>150B - 160B</v>
      </c>
    </row>
    <row r="22" spans="1:14" x14ac:dyDescent="0.25">
      <c r="A22" t="s">
        <v>250</v>
      </c>
      <c r="B22" t="s">
        <v>11</v>
      </c>
      <c r="C22" s="51">
        <v>42399</v>
      </c>
      <c r="D22" s="61">
        <v>7412000000</v>
      </c>
      <c r="E22" s="61">
        <v>4907000000</v>
      </c>
      <c r="F22" s="61">
        <v>1415000000</v>
      </c>
      <c r="G22" s="61">
        <v>0</v>
      </c>
      <c r="H22" s="61">
        <v>148000000</v>
      </c>
      <c r="I22" t="s">
        <v>13</v>
      </c>
      <c r="J22" t="s">
        <v>251</v>
      </c>
      <c r="K22" s="61">
        <v>2505000000</v>
      </c>
      <c r="L22" s="61">
        <v>1563000000</v>
      </c>
      <c r="M22" s="61">
        <v>942000000</v>
      </c>
      <c r="N22" t="str">
        <f t="shared" si="0"/>
        <v>0B - 10B</v>
      </c>
    </row>
    <row r="23" spans="1:14" x14ac:dyDescent="0.25">
      <c r="A23" t="s">
        <v>267</v>
      </c>
      <c r="B23" t="s">
        <v>11</v>
      </c>
      <c r="C23" s="51">
        <v>42735</v>
      </c>
      <c r="D23" s="61">
        <v>166380000000</v>
      </c>
      <c r="E23" s="61">
        <v>145125000000</v>
      </c>
      <c r="F23" s="61">
        <v>11710000000</v>
      </c>
      <c r="G23" s="61">
        <v>0</v>
      </c>
      <c r="H23" s="61">
        <v>0</v>
      </c>
      <c r="I23" t="s">
        <v>13</v>
      </c>
      <c r="J23" t="s">
        <v>239</v>
      </c>
      <c r="K23" s="61">
        <v>21255000000</v>
      </c>
      <c r="L23" s="61">
        <v>11710000000</v>
      </c>
      <c r="M23" s="61">
        <v>9545000000</v>
      </c>
      <c r="N23" t="str">
        <f t="shared" si="0"/>
        <v>160B - 170B</v>
      </c>
    </row>
    <row r="24" spans="1:14" x14ac:dyDescent="0.25">
      <c r="A24" t="s">
        <v>268</v>
      </c>
      <c r="B24" t="s">
        <v>11</v>
      </c>
      <c r="C24" s="51">
        <v>42369</v>
      </c>
      <c r="D24" s="61">
        <v>15280044000</v>
      </c>
      <c r="E24" s="61">
        <v>10724192000</v>
      </c>
      <c r="F24" s="61">
        <v>3277390000</v>
      </c>
      <c r="G24" s="61">
        <v>0</v>
      </c>
      <c r="H24" s="61">
        <v>141675000</v>
      </c>
      <c r="I24" t="s">
        <v>13</v>
      </c>
      <c r="J24" t="s">
        <v>73</v>
      </c>
      <c r="K24" s="61">
        <v>4555852000</v>
      </c>
      <c r="L24" s="61">
        <v>3419065000</v>
      </c>
      <c r="M24" s="61">
        <v>1136787000</v>
      </c>
      <c r="N24" t="str">
        <f t="shared" si="0"/>
        <v>10B - 20B</v>
      </c>
    </row>
    <row r="25" spans="1:14" x14ac:dyDescent="0.25">
      <c r="A25" t="s">
        <v>270</v>
      </c>
      <c r="B25" t="s">
        <v>11</v>
      </c>
      <c r="C25" s="51">
        <v>42399</v>
      </c>
      <c r="D25" s="61">
        <v>15797000000</v>
      </c>
      <c r="E25" s="61">
        <v>10077000000</v>
      </c>
      <c r="F25" s="61">
        <v>0</v>
      </c>
      <c r="G25" s="61">
        <v>0</v>
      </c>
      <c r="H25" s="61">
        <v>0</v>
      </c>
      <c r="I25" t="s">
        <v>13</v>
      </c>
      <c r="J25" t="s">
        <v>251</v>
      </c>
      <c r="K25" s="61">
        <v>5720000000</v>
      </c>
      <c r="L25" s="61">
        <v>0</v>
      </c>
      <c r="M25" s="61">
        <v>5720000000</v>
      </c>
      <c r="N25" t="str">
        <f t="shared" si="0"/>
        <v>10B - 20B</v>
      </c>
    </row>
    <row r="26" spans="1:14" x14ac:dyDescent="0.25">
      <c r="A26" t="s">
        <v>271</v>
      </c>
      <c r="B26" t="s">
        <v>11</v>
      </c>
      <c r="C26" s="51">
        <v>42364</v>
      </c>
      <c r="D26" s="61">
        <v>2820270000</v>
      </c>
      <c r="E26" s="61">
        <v>1281566000</v>
      </c>
      <c r="F26" s="61">
        <v>562080000</v>
      </c>
      <c r="G26" s="61">
        <v>427043000</v>
      </c>
      <c r="H26" s="61">
        <v>0</v>
      </c>
      <c r="I26" t="s">
        <v>13</v>
      </c>
      <c r="J26" t="s">
        <v>272</v>
      </c>
      <c r="K26" s="61">
        <v>1538704000</v>
      </c>
      <c r="L26" s="61">
        <v>989123000</v>
      </c>
      <c r="M26" s="61">
        <v>549581000</v>
      </c>
      <c r="N26" t="str">
        <f t="shared" si="0"/>
        <v>0B - 10B</v>
      </c>
    </row>
    <row r="27" spans="1:14" x14ac:dyDescent="0.25">
      <c r="A27" t="s">
        <v>273</v>
      </c>
      <c r="B27" t="s">
        <v>11</v>
      </c>
      <c r="C27" s="51">
        <v>42735</v>
      </c>
      <c r="D27" s="61">
        <v>15158000000</v>
      </c>
      <c r="E27" s="61">
        <v>10972000000</v>
      </c>
      <c r="F27" s="61">
        <v>2617000000</v>
      </c>
      <c r="G27" s="61">
        <v>0</v>
      </c>
      <c r="H27" s="61">
        <v>0</v>
      </c>
      <c r="I27" t="s">
        <v>13</v>
      </c>
      <c r="J27" t="s">
        <v>274</v>
      </c>
      <c r="K27" s="61">
        <v>4186000000</v>
      </c>
      <c r="L27" s="61">
        <v>2617000000</v>
      </c>
      <c r="M27" s="61">
        <v>1569000000</v>
      </c>
      <c r="N27" t="str">
        <f t="shared" si="0"/>
        <v>10B - 20B</v>
      </c>
    </row>
    <row r="28" spans="1:14" x14ac:dyDescent="0.25">
      <c r="A28" t="s">
        <v>278</v>
      </c>
      <c r="B28" t="s">
        <v>11</v>
      </c>
      <c r="C28" s="51">
        <v>42551</v>
      </c>
      <c r="D28" s="61">
        <v>6911676000</v>
      </c>
      <c r="E28" s="61">
        <v>4818585000</v>
      </c>
      <c r="F28" s="61">
        <v>1513064000</v>
      </c>
      <c r="G28" s="61">
        <v>0</v>
      </c>
      <c r="H28" s="61">
        <v>0</v>
      </c>
      <c r="I28" t="s">
        <v>13</v>
      </c>
      <c r="J28" t="s">
        <v>272</v>
      </c>
      <c r="K28" s="61">
        <v>2093091000</v>
      </c>
      <c r="L28" s="61">
        <v>1513064000</v>
      </c>
      <c r="M28" s="61">
        <v>580027000</v>
      </c>
      <c r="N28" t="str">
        <f t="shared" si="0"/>
        <v>0B - 10B</v>
      </c>
    </row>
    <row r="29" spans="1:14" x14ac:dyDescent="0.25">
      <c r="A29" t="s">
        <v>279</v>
      </c>
      <c r="B29" t="s">
        <v>11</v>
      </c>
      <c r="C29" s="51">
        <v>42365</v>
      </c>
      <c r="D29" s="61">
        <v>4447509000</v>
      </c>
      <c r="E29" s="61">
        <v>1677033000</v>
      </c>
      <c r="F29" s="61">
        <v>1370183000</v>
      </c>
      <c r="G29" s="61">
        <v>242944000</v>
      </c>
      <c r="H29" s="61">
        <v>86171000</v>
      </c>
      <c r="I29" t="s">
        <v>13</v>
      </c>
      <c r="J29" t="s">
        <v>280</v>
      </c>
      <c r="K29" s="61">
        <v>2770476000</v>
      </c>
      <c r="L29" s="61">
        <v>1699298000</v>
      </c>
      <c r="M29" s="61">
        <v>1071178000</v>
      </c>
      <c r="N29" t="str">
        <f t="shared" si="0"/>
        <v>0B - 10B</v>
      </c>
    </row>
    <row r="30" spans="1:14" x14ac:dyDescent="0.25">
      <c r="A30" t="s">
        <v>282</v>
      </c>
      <c r="B30" t="s">
        <v>11</v>
      </c>
      <c r="C30" s="51">
        <v>42735</v>
      </c>
      <c r="D30" s="61">
        <v>6028199000</v>
      </c>
      <c r="E30" s="61">
        <v>3752151000</v>
      </c>
      <c r="F30" s="61">
        <v>1500399000</v>
      </c>
      <c r="G30" s="61">
        <v>0</v>
      </c>
      <c r="H30" s="61">
        <v>0</v>
      </c>
      <c r="I30" t="s">
        <v>13</v>
      </c>
      <c r="J30" t="s">
        <v>283</v>
      </c>
      <c r="K30" s="61">
        <v>2276048000</v>
      </c>
      <c r="L30" s="61">
        <v>1500399000</v>
      </c>
      <c r="M30" s="61">
        <v>775649000</v>
      </c>
      <c r="N30" t="str">
        <f t="shared" si="0"/>
        <v>0B - 10B</v>
      </c>
    </row>
    <row r="31" spans="1:14" x14ac:dyDescent="0.25">
      <c r="A31" t="s">
        <v>287</v>
      </c>
      <c r="B31" t="s">
        <v>11</v>
      </c>
      <c r="C31" s="51">
        <v>42400</v>
      </c>
      <c r="D31" s="61">
        <v>88519000000</v>
      </c>
      <c r="E31" s="61">
        <v>58254000000</v>
      </c>
      <c r="F31" s="61">
        <v>16801000000</v>
      </c>
      <c r="G31" s="61">
        <v>0</v>
      </c>
      <c r="H31" s="61">
        <v>1690000000</v>
      </c>
      <c r="I31" t="s">
        <v>13</v>
      </c>
      <c r="J31" t="s">
        <v>288</v>
      </c>
      <c r="K31" s="61">
        <v>30265000000</v>
      </c>
      <c r="L31" s="61">
        <v>18491000000</v>
      </c>
      <c r="M31" s="61">
        <v>11774000000</v>
      </c>
      <c r="N31" t="str">
        <f t="shared" si="0"/>
        <v>80B - 90B</v>
      </c>
    </row>
    <row r="32" spans="1:14" x14ac:dyDescent="0.25">
      <c r="A32" t="s">
        <v>291</v>
      </c>
      <c r="B32" t="s">
        <v>11</v>
      </c>
      <c r="C32" s="51">
        <v>42369</v>
      </c>
      <c r="D32" s="61">
        <v>5995402000</v>
      </c>
      <c r="E32" s="61">
        <v>3619612000</v>
      </c>
      <c r="F32" s="61">
        <v>1220095000</v>
      </c>
      <c r="G32" s="61">
        <v>0</v>
      </c>
      <c r="H32" s="61">
        <v>0</v>
      </c>
      <c r="I32" t="s">
        <v>13</v>
      </c>
      <c r="J32" t="s">
        <v>292</v>
      </c>
      <c r="K32" s="61">
        <v>2375790000</v>
      </c>
      <c r="L32" s="61">
        <v>1220095000</v>
      </c>
      <c r="M32" s="61">
        <v>1155695000</v>
      </c>
      <c r="N32" t="str">
        <f t="shared" si="0"/>
        <v>0B - 10B</v>
      </c>
    </row>
    <row r="33" spans="1:14" x14ac:dyDescent="0.25">
      <c r="A33" t="s">
        <v>316</v>
      </c>
      <c r="B33" t="s">
        <v>11</v>
      </c>
      <c r="C33" s="51">
        <v>42369</v>
      </c>
      <c r="D33" s="61">
        <v>7613800000</v>
      </c>
      <c r="E33" s="61">
        <v>0</v>
      </c>
      <c r="F33" s="61">
        <v>6742700000</v>
      </c>
      <c r="G33" s="61">
        <v>0</v>
      </c>
      <c r="H33" s="61">
        <v>0</v>
      </c>
      <c r="I33" t="s">
        <v>13</v>
      </c>
      <c r="J33" t="s">
        <v>317</v>
      </c>
      <c r="K33" s="61">
        <v>7613800000</v>
      </c>
      <c r="L33" s="61">
        <v>6742700000</v>
      </c>
      <c r="M33" s="61">
        <v>871100000</v>
      </c>
      <c r="N33" t="str">
        <f t="shared" si="0"/>
        <v>0B - 10B</v>
      </c>
    </row>
    <row r="34" spans="1:14" x14ac:dyDescent="0.25">
      <c r="A34" t="s">
        <v>327</v>
      </c>
      <c r="B34" t="s">
        <v>11</v>
      </c>
      <c r="C34" s="51">
        <v>42399</v>
      </c>
      <c r="D34" s="61">
        <v>14437000000</v>
      </c>
      <c r="E34" s="61">
        <v>9168000000</v>
      </c>
      <c r="F34" s="61">
        <v>4168000000</v>
      </c>
      <c r="G34" s="61">
        <v>0</v>
      </c>
      <c r="H34" s="61">
        <v>0</v>
      </c>
      <c r="I34" t="s">
        <v>13</v>
      </c>
      <c r="J34" t="s">
        <v>328</v>
      </c>
      <c r="K34" s="61">
        <v>5269000000</v>
      </c>
      <c r="L34" s="61">
        <v>4168000000</v>
      </c>
      <c r="M34" s="61">
        <v>1101000000</v>
      </c>
      <c r="N34" t="str">
        <f t="shared" si="0"/>
        <v>10B - 20B</v>
      </c>
    </row>
    <row r="35" spans="1:14" x14ac:dyDescent="0.25">
      <c r="A35" t="s">
        <v>336</v>
      </c>
      <c r="B35" t="s">
        <v>11</v>
      </c>
      <c r="C35" s="51">
        <v>42429</v>
      </c>
      <c r="D35" s="61">
        <v>15149675000</v>
      </c>
      <c r="E35" s="61">
        <v>13130915000</v>
      </c>
      <c r="F35" s="61">
        <v>959899000</v>
      </c>
      <c r="G35" s="61">
        <v>0</v>
      </c>
      <c r="H35" s="61">
        <v>0</v>
      </c>
      <c r="I35" t="s">
        <v>13</v>
      </c>
      <c r="J35" t="s">
        <v>73</v>
      </c>
      <c r="K35" s="61">
        <v>2018760000</v>
      </c>
      <c r="L35" s="61">
        <v>959899000</v>
      </c>
      <c r="M35" s="61">
        <v>1058861000</v>
      </c>
      <c r="N35" t="str">
        <f t="shared" si="0"/>
        <v>10B - 20B</v>
      </c>
    </row>
    <row r="36" spans="1:14" x14ac:dyDescent="0.25">
      <c r="A36" t="s">
        <v>338</v>
      </c>
      <c r="B36" t="s">
        <v>11</v>
      </c>
      <c r="C36" s="51">
        <v>42462</v>
      </c>
      <c r="D36" s="61">
        <v>4712100000</v>
      </c>
      <c r="E36" s="61">
        <v>1914900000</v>
      </c>
      <c r="F36" s="61">
        <v>1428000000</v>
      </c>
      <c r="G36" s="61">
        <v>0</v>
      </c>
      <c r="H36" s="61">
        <v>183200000</v>
      </c>
      <c r="I36" t="s">
        <v>13</v>
      </c>
      <c r="J36" t="s">
        <v>283</v>
      </c>
      <c r="K36" s="61">
        <v>2797200000</v>
      </c>
      <c r="L36" s="61">
        <v>1611200000</v>
      </c>
      <c r="M36" s="61">
        <v>1186000000</v>
      </c>
      <c r="N36" t="str">
        <f t="shared" si="0"/>
        <v>0B - 10B</v>
      </c>
    </row>
    <row r="37" spans="1:14" x14ac:dyDescent="0.25">
      <c r="A37" t="s">
        <v>341</v>
      </c>
      <c r="B37" t="s">
        <v>11</v>
      </c>
      <c r="C37" s="51">
        <v>42399</v>
      </c>
      <c r="D37" s="61">
        <v>19204000000</v>
      </c>
      <c r="E37" s="61">
        <v>12265000000</v>
      </c>
      <c r="F37" s="61">
        <v>4452000000</v>
      </c>
      <c r="G37" s="61">
        <v>0</v>
      </c>
      <c r="H37" s="61">
        <v>934000000</v>
      </c>
      <c r="I37" t="s">
        <v>13</v>
      </c>
      <c r="J37" t="s">
        <v>191</v>
      </c>
      <c r="K37" s="61">
        <v>6939000000</v>
      </c>
      <c r="L37" s="61">
        <v>5386000000</v>
      </c>
      <c r="M37" s="61">
        <v>1553000000</v>
      </c>
      <c r="N37" t="str">
        <f t="shared" si="0"/>
        <v>10B - 20B</v>
      </c>
    </row>
    <row r="38" spans="1:14" x14ac:dyDescent="0.25">
      <c r="A38" t="s">
        <v>343</v>
      </c>
      <c r="B38" t="s">
        <v>11</v>
      </c>
      <c r="C38" s="51">
        <v>42399</v>
      </c>
      <c r="D38" s="61">
        <v>12154000000</v>
      </c>
      <c r="E38" s="61">
        <v>6950000000</v>
      </c>
      <c r="F38" s="61">
        <v>3012000000</v>
      </c>
      <c r="G38" s="61">
        <v>0</v>
      </c>
      <c r="H38" s="61">
        <v>0</v>
      </c>
      <c r="I38" t="s">
        <v>13</v>
      </c>
      <c r="J38" t="s">
        <v>251</v>
      </c>
      <c r="K38" s="61">
        <v>5204000000</v>
      </c>
      <c r="L38" s="61">
        <v>3012000000</v>
      </c>
      <c r="M38" s="61">
        <v>2192000000</v>
      </c>
      <c r="N38" t="str">
        <f t="shared" si="0"/>
        <v>10B - 20B</v>
      </c>
    </row>
    <row r="39" spans="1:14" x14ac:dyDescent="0.25">
      <c r="A39" t="s">
        <v>345</v>
      </c>
      <c r="B39" t="s">
        <v>11</v>
      </c>
      <c r="C39" s="51">
        <v>42704</v>
      </c>
      <c r="D39" s="61">
        <v>10949999000</v>
      </c>
      <c r="E39" s="61">
        <v>8923519000</v>
      </c>
      <c r="F39" s="61">
        <v>764117000</v>
      </c>
      <c r="G39" s="61">
        <v>0</v>
      </c>
      <c r="H39" s="61">
        <v>0</v>
      </c>
      <c r="I39" t="s">
        <v>13</v>
      </c>
      <c r="J39" t="s">
        <v>195</v>
      </c>
      <c r="K39" s="61">
        <v>2026480000</v>
      </c>
      <c r="L39" s="61">
        <v>764117000</v>
      </c>
      <c r="M39" s="61">
        <v>1262363000</v>
      </c>
      <c r="N39" t="str">
        <f t="shared" si="0"/>
        <v>10B - 20B</v>
      </c>
    </row>
    <row r="40" spans="1:14" x14ac:dyDescent="0.25">
      <c r="A40" t="s">
        <v>347</v>
      </c>
      <c r="B40" t="s">
        <v>11</v>
      </c>
      <c r="C40" s="51">
        <v>42369</v>
      </c>
      <c r="D40" s="61">
        <v>7192633000</v>
      </c>
      <c r="E40" s="61">
        <v>4359104000</v>
      </c>
      <c r="F40" s="61">
        <v>1987271000</v>
      </c>
      <c r="G40" s="61">
        <v>0</v>
      </c>
      <c r="H40" s="61">
        <v>122120000</v>
      </c>
      <c r="I40" t="s">
        <v>13</v>
      </c>
      <c r="J40" t="s">
        <v>348</v>
      </c>
      <c r="K40" s="61">
        <v>2833529000</v>
      </c>
      <c r="L40" s="61">
        <v>2109391000</v>
      </c>
      <c r="M40" s="61">
        <v>724138000</v>
      </c>
      <c r="N40" t="str">
        <f t="shared" si="0"/>
        <v>0B - 10B</v>
      </c>
    </row>
    <row r="41" spans="1:14" x14ac:dyDescent="0.25">
      <c r="A41" t="s">
        <v>354</v>
      </c>
      <c r="B41" t="s">
        <v>11</v>
      </c>
      <c r="C41" s="51">
        <v>42398</v>
      </c>
      <c r="D41" s="61">
        <v>59074000000</v>
      </c>
      <c r="E41" s="61">
        <v>38504000000</v>
      </c>
      <c r="F41" s="61">
        <v>14115000000</v>
      </c>
      <c r="G41" s="61">
        <v>0</v>
      </c>
      <c r="H41" s="61">
        <v>1484000000</v>
      </c>
      <c r="I41" t="s">
        <v>13</v>
      </c>
      <c r="J41" t="s">
        <v>288</v>
      </c>
      <c r="K41" s="61">
        <v>20570000000</v>
      </c>
      <c r="L41" s="61">
        <v>15599000000</v>
      </c>
      <c r="M41" s="61">
        <v>4971000000</v>
      </c>
      <c r="N41" t="str">
        <f t="shared" si="0"/>
        <v>50B - 60B</v>
      </c>
    </row>
    <row r="42" spans="1:14" x14ac:dyDescent="0.25">
      <c r="A42" t="s">
        <v>362</v>
      </c>
      <c r="B42" t="s">
        <v>11</v>
      </c>
      <c r="C42" s="51">
        <v>42399</v>
      </c>
      <c r="D42" s="61">
        <v>27079000000</v>
      </c>
      <c r="E42" s="61">
        <v>16496000000</v>
      </c>
      <c r="F42" s="61">
        <v>8256000000</v>
      </c>
      <c r="G42" s="61">
        <v>0</v>
      </c>
      <c r="H42" s="61">
        <v>0</v>
      </c>
      <c r="I42" t="s">
        <v>13</v>
      </c>
      <c r="J42" t="s">
        <v>328</v>
      </c>
      <c r="K42" s="61">
        <v>10583000000</v>
      </c>
      <c r="L42" s="61">
        <v>8256000000</v>
      </c>
      <c r="M42" s="61">
        <v>2327000000</v>
      </c>
      <c r="N42" t="str">
        <f t="shared" si="0"/>
        <v>20B - 30B</v>
      </c>
    </row>
    <row r="43" spans="1:14" x14ac:dyDescent="0.25">
      <c r="A43" t="s">
        <v>366</v>
      </c>
      <c r="B43" t="s">
        <v>11</v>
      </c>
      <c r="C43" s="51">
        <v>42369</v>
      </c>
      <c r="D43" s="61">
        <v>14486000000</v>
      </c>
      <c r="E43" s="61">
        <v>12363000000</v>
      </c>
      <c r="F43" s="61">
        <v>634000000</v>
      </c>
      <c r="G43" s="61">
        <v>0</v>
      </c>
      <c r="H43" s="61">
        <v>139000000</v>
      </c>
      <c r="I43" t="s">
        <v>13</v>
      </c>
      <c r="J43" t="s">
        <v>127</v>
      </c>
      <c r="K43" s="61">
        <v>2123000000</v>
      </c>
      <c r="L43" s="61">
        <v>773000000</v>
      </c>
      <c r="M43" s="61">
        <v>1350000000</v>
      </c>
      <c r="N43" t="str">
        <f t="shared" si="0"/>
        <v>10B - 20B</v>
      </c>
    </row>
    <row r="44" spans="1:14" x14ac:dyDescent="0.25">
      <c r="A44" t="s">
        <v>368</v>
      </c>
      <c r="B44" t="s">
        <v>11</v>
      </c>
      <c r="C44" s="51">
        <v>42369</v>
      </c>
      <c r="D44" s="61">
        <v>5702613000</v>
      </c>
      <c r="E44" s="61">
        <v>2896255000</v>
      </c>
      <c r="F44" s="61">
        <v>2265436000</v>
      </c>
      <c r="G44" s="61">
        <v>0</v>
      </c>
      <c r="H44" s="61">
        <v>0</v>
      </c>
      <c r="I44" t="s">
        <v>13</v>
      </c>
      <c r="J44" t="s">
        <v>280</v>
      </c>
      <c r="K44" s="61">
        <v>2806358000</v>
      </c>
      <c r="L44" s="61">
        <v>2265436000</v>
      </c>
      <c r="M44" s="61">
        <v>540922000</v>
      </c>
      <c r="N44" t="str">
        <f t="shared" si="0"/>
        <v>0B - 10B</v>
      </c>
    </row>
    <row r="45" spans="1:14" x14ac:dyDescent="0.25">
      <c r="A45" t="s">
        <v>369</v>
      </c>
      <c r="B45" t="s">
        <v>11</v>
      </c>
      <c r="C45" s="51">
        <v>42369</v>
      </c>
      <c r="D45" s="61">
        <v>25413000000</v>
      </c>
      <c r="E45" s="61">
        <v>15623800000</v>
      </c>
      <c r="F45" s="61">
        <v>2643700000</v>
      </c>
      <c r="G45" s="61">
        <v>0</v>
      </c>
      <c r="H45" s="61">
        <v>0</v>
      </c>
      <c r="I45" t="s">
        <v>13</v>
      </c>
      <c r="J45" t="s">
        <v>149</v>
      </c>
      <c r="K45" s="61">
        <v>9789200000</v>
      </c>
      <c r="L45" s="61">
        <v>2643700000</v>
      </c>
      <c r="M45" s="61">
        <v>7145500000</v>
      </c>
      <c r="N45" t="str">
        <f t="shared" si="0"/>
        <v>20B - 30B</v>
      </c>
    </row>
    <row r="46" spans="1:14" x14ac:dyDescent="0.25">
      <c r="A46" t="s">
        <v>376</v>
      </c>
      <c r="B46" t="s">
        <v>11</v>
      </c>
      <c r="C46" s="51">
        <v>42369</v>
      </c>
      <c r="D46" s="61">
        <v>8071563000</v>
      </c>
      <c r="E46" s="61">
        <v>5660877000</v>
      </c>
      <c r="F46" s="61">
        <v>1573120000</v>
      </c>
      <c r="G46" s="61">
        <v>0</v>
      </c>
      <c r="H46" s="61">
        <v>0</v>
      </c>
      <c r="I46" t="s">
        <v>13</v>
      </c>
      <c r="J46" t="s">
        <v>377</v>
      </c>
      <c r="K46" s="61">
        <v>2410686000</v>
      </c>
      <c r="L46" s="61">
        <v>1573120000</v>
      </c>
      <c r="M46" s="61">
        <v>837566000</v>
      </c>
      <c r="N46" t="str">
        <f t="shared" si="0"/>
        <v>0B - 10B</v>
      </c>
    </row>
    <row r="47" spans="1:14" x14ac:dyDescent="0.25">
      <c r="A47" t="s">
        <v>407</v>
      </c>
      <c r="B47" t="s">
        <v>11</v>
      </c>
      <c r="C47" s="51">
        <v>42521</v>
      </c>
      <c r="D47" s="61">
        <v>32376000000</v>
      </c>
      <c r="E47" s="61">
        <v>17405000000</v>
      </c>
      <c r="F47" s="61">
        <v>10469000000</v>
      </c>
      <c r="G47" s="61">
        <v>0</v>
      </c>
      <c r="H47" s="61">
        <v>0</v>
      </c>
      <c r="I47" t="s">
        <v>13</v>
      </c>
      <c r="J47" t="s">
        <v>283</v>
      </c>
      <c r="K47" s="61">
        <v>14971000000</v>
      </c>
      <c r="L47" s="61">
        <v>10469000000</v>
      </c>
      <c r="M47" s="61">
        <v>4502000000</v>
      </c>
      <c r="N47" t="str">
        <f t="shared" si="0"/>
        <v>30B - 40B</v>
      </c>
    </row>
    <row r="48" spans="1:14" x14ac:dyDescent="0.25">
      <c r="A48" t="s">
        <v>415</v>
      </c>
      <c r="B48" t="s">
        <v>11</v>
      </c>
      <c r="C48" s="51">
        <v>42369</v>
      </c>
      <c r="D48" s="61">
        <v>5915700000</v>
      </c>
      <c r="E48" s="61">
        <v>3611100000</v>
      </c>
      <c r="F48" s="61">
        <v>1626000000</v>
      </c>
      <c r="G48" s="61">
        <v>0</v>
      </c>
      <c r="H48" s="61">
        <v>0</v>
      </c>
      <c r="I48" t="s">
        <v>13</v>
      </c>
      <c r="J48" t="s">
        <v>416</v>
      </c>
      <c r="K48" s="61">
        <v>2304600000</v>
      </c>
      <c r="L48" s="61">
        <v>1626000000</v>
      </c>
      <c r="M48" s="61">
        <v>678600000</v>
      </c>
      <c r="N48" t="str">
        <f t="shared" si="0"/>
        <v>0B - 10B</v>
      </c>
    </row>
    <row r="49" spans="1:14" x14ac:dyDescent="0.25">
      <c r="A49" t="s">
        <v>420</v>
      </c>
      <c r="B49" t="s">
        <v>11</v>
      </c>
      <c r="C49" s="51">
        <v>42369</v>
      </c>
      <c r="D49" s="61">
        <v>7966674000</v>
      </c>
      <c r="E49" s="61">
        <v>3804031000</v>
      </c>
      <c r="F49" s="61">
        <v>2648622000</v>
      </c>
      <c r="G49" s="61">
        <v>0</v>
      </c>
      <c r="H49" s="61">
        <v>0</v>
      </c>
      <c r="I49" t="s">
        <v>13</v>
      </c>
      <c r="J49" t="s">
        <v>73</v>
      </c>
      <c r="K49" s="61">
        <v>4162643000</v>
      </c>
      <c r="L49" s="61">
        <v>2648622000</v>
      </c>
      <c r="M49" s="61">
        <v>1514021000</v>
      </c>
      <c r="N49" t="str">
        <f t="shared" si="0"/>
        <v>0B - 10B</v>
      </c>
    </row>
    <row r="50" spans="1:14" x14ac:dyDescent="0.25">
      <c r="A50" t="s">
        <v>428</v>
      </c>
      <c r="B50" t="s">
        <v>11</v>
      </c>
      <c r="C50" s="51">
        <v>42369</v>
      </c>
      <c r="D50" s="61">
        <v>9223987000</v>
      </c>
      <c r="E50" s="61">
        <v>632180000</v>
      </c>
      <c r="F50" s="61">
        <v>5060406000</v>
      </c>
      <c r="G50" s="61">
        <v>0</v>
      </c>
      <c r="H50" s="61">
        <v>272494000</v>
      </c>
      <c r="I50" t="s">
        <v>13</v>
      </c>
      <c r="J50" t="s">
        <v>71</v>
      </c>
      <c r="K50" s="61">
        <v>8591807000</v>
      </c>
      <c r="L50" s="61">
        <v>5332900000</v>
      </c>
      <c r="M50" s="61">
        <v>3258907000</v>
      </c>
      <c r="N50" t="str">
        <f t="shared" si="0"/>
        <v>0B - 10B</v>
      </c>
    </row>
    <row r="51" spans="1:14" x14ac:dyDescent="0.25">
      <c r="A51" t="s">
        <v>437</v>
      </c>
      <c r="B51" t="s">
        <v>11</v>
      </c>
      <c r="C51" s="51">
        <v>42735</v>
      </c>
      <c r="D51" s="61">
        <v>7668476000</v>
      </c>
      <c r="E51" s="61">
        <v>5728662000</v>
      </c>
      <c r="F51" s="61">
        <v>957150000</v>
      </c>
      <c r="G51" s="61">
        <v>0</v>
      </c>
      <c r="H51" s="61">
        <v>0</v>
      </c>
      <c r="I51" t="s">
        <v>13</v>
      </c>
      <c r="J51" t="s">
        <v>195</v>
      </c>
      <c r="K51" s="61">
        <v>1939814000</v>
      </c>
      <c r="L51" s="61">
        <v>957150000</v>
      </c>
      <c r="M51" s="61">
        <v>982664000</v>
      </c>
      <c r="N51" t="str">
        <f t="shared" si="0"/>
        <v>0B - 10B</v>
      </c>
    </row>
    <row r="52" spans="1:14" x14ac:dyDescent="0.25">
      <c r="A52" t="s">
        <v>447</v>
      </c>
      <c r="B52" t="s">
        <v>11</v>
      </c>
      <c r="C52" s="51">
        <v>42400</v>
      </c>
      <c r="D52" s="61">
        <v>8020300000</v>
      </c>
      <c r="E52" s="61">
        <v>3858700000</v>
      </c>
      <c r="F52" s="61">
        <v>3417700000</v>
      </c>
      <c r="G52" s="61">
        <v>0</v>
      </c>
      <c r="H52" s="61">
        <v>0</v>
      </c>
      <c r="I52" t="s">
        <v>13</v>
      </c>
      <c r="J52" t="s">
        <v>283</v>
      </c>
      <c r="K52" s="61">
        <v>4161600000</v>
      </c>
      <c r="L52" s="61">
        <v>3417700000</v>
      </c>
      <c r="M52" s="61">
        <v>743900000</v>
      </c>
      <c r="N52" t="str">
        <f t="shared" si="0"/>
        <v>0B - 10B</v>
      </c>
    </row>
    <row r="53" spans="1:14" x14ac:dyDescent="0.25">
      <c r="A53" t="s">
        <v>453</v>
      </c>
      <c r="B53" t="s">
        <v>11</v>
      </c>
      <c r="C53" s="51">
        <v>42369</v>
      </c>
      <c r="D53" s="61">
        <v>8299074000</v>
      </c>
      <c r="E53" s="61">
        <v>5099393000</v>
      </c>
      <c r="F53" s="61">
        <v>1086504000</v>
      </c>
      <c r="G53" s="61">
        <v>0</v>
      </c>
      <c r="H53" s="61">
        <v>827008000</v>
      </c>
      <c r="I53" t="s">
        <v>13</v>
      </c>
      <c r="J53" t="s">
        <v>127</v>
      </c>
      <c r="K53" s="61">
        <v>3199681000</v>
      </c>
      <c r="L53" s="61">
        <v>1913512000</v>
      </c>
      <c r="M53" s="61">
        <v>1286169000</v>
      </c>
      <c r="N53" t="str">
        <f t="shared" si="0"/>
        <v>0B - 10B</v>
      </c>
    </row>
    <row r="54" spans="1:14" x14ac:dyDescent="0.25">
      <c r="A54" t="s">
        <v>458</v>
      </c>
      <c r="B54" t="s">
        <v>11</v>
      </c>
      <c r="C54" s="51">
        <v>42462</v>
      </c>
      <c r="D54" s="61">
        <v>7405000000</v>
      </c>
      <c r="E54" s="61">
        <v>3218000000</v>
      </c>
      <c r="F54" s="61">
        <v>3389000000</v>
      </c>
      <c r="G54" s="61">
        <v>0</v>
      </c>
      <c r="H54" s="61">
        <v>24000000</v>
      </c>
      <c r="I54" t="s">
        <v>13</v>
      </c>
      <c r="J54" t="s">
        <v>283</v>
      </c>
      <c r="K54" s="61">
        <v>4187000000</v>
      </c>
      <c r="L54" s="61">
        <v>3413000000</v>
      </c>
      <c r="M54" s="61">
        <v>774000000</v>
      </c>
      <c r="N54" t="str">
        <f t="shared" si="0"/>
        <v>0B - 10B</v>
      </c>
    </row>
    <row r="55" spans="1:14" x14ac:dyDescent="0.25">
      <c r="A55" t="s">
        <v>461</v>
      </c>
      <c r="B55" t="s">
        <v>11</v>
      </c>
      <c r="C55" s="51">
        <v>42399</v>
      </c>
      <c r="D55" s="61">
        <v>11939999000</v>
      </c>
      <c r="E55" s="61">
        <v>8576873000</v>
      </c>
      <c r="F55" s="61">
        <v>1738755000</v>
      </c>
      <c r="G55" s="61">
        <v>0</v>
      </c>
      <c r="H55" s="61">
        <v>0</v>
      </c>
      <c r="I55" t="s">
        <v>13</v>
      </c>
      <c r="J55" t="s">
        <v>251</v>
      </c>
      <c r="K55" s="61">
        <v>3363126000</v>
      </c>
      <c r="L55" s="61">
        <v>1738755000</v>
      </c>
      <c r="M55" s="61">
        <v>1624371000</v>
      </c>
      <c r="N55" t="str">
        <f t="shared" si="0"/>
        <v>10B - 20B</v>
      </c>
    </row>
    <row r="56" spans="1:14" x14ac:dyDescent="0.25">
      <c r="A56" t="s">
        <v>464</v>
      </c>
      <c r="B56" t="s">
        <v>11</v>
      </c>
      <c r="C56" s="51">
        <v>42645</v>
      </c>
      <c r="D56" s="61">
        <v>21315900000</v>
      </c>
      <c r="E56" s="61">
        <v>8511100000</v>
      </c>
      <c r="F56" s="61">
        <v>7970300000</v>
      </c>
      <c r="G56" s="61">
        <v>0</v>
      </c>
      <c r="H56" s="61">
        <v>980800000</v>
      </c>
      <c r="I56" t="s">
        <v>13</v>
      </c>
      <c r="J56" t="s">
        <v>149</v>
      </c>
      <c r="K56" s="61">
        <v>12804800000</v>
      </c>
      <c r="L56" s="61">
        <v>8951100000</v>
      </c>
      <c r="M56" s="61">
        <v>3853700000</v>
      </c>
      <c r="N56" t="str">
        <f t="shared" si="0"/>
        <v>20B - 30B</v>
      </c>
    </row>
    <row r="57" spans="1:14" x14ac:dyDescent="0.25">
      <c r="A57" t="s">
        <v>469</v>
      </c>
      <c r="B57" t="s">
        <v>11</v>
      </c>
      <c r="C57" s="51">
        <v>42399</v>
      </c>
      <c r="D57" s="61">
        <v>6550200000</v>
      </c>
      <c r="E57" s="61">
        <v>4109800000</v>
      </c>
      <c r="F57" s="61">
        <v>1736700000</v>
      </c>
      <c r="G57" s="61">
        <v>0</v>
      </c>
      <c r="H57" s="61">
        <v>0</v>
      </c>
      <c r="I57" t="s">
        <v>13</v>
      </c>
      <c r="J57" t="s">
        <v>73</v>
      </c>
      <c r="K57" s="61">
        <v>2440400000</v>
      </c>
      <c r="L57" s="61">
        <v>1736700000</v>
      </c>
      <c r="M57" s="61">
        <v>703700000</v>
      </c>
      <c r="N57" t="str">
        <f t="shared" si="0"/>
        <v>0B - 10B</v>
      </c>
    </row>
    <row r="58" spans="1:14" x14ac:dyDescent="0.25">
      <c r="A58" t="s">
        <v>473</v>
      </c>
      <c r="B58" t="s">
        <v>11</v>
      </c>
      <c r="C58" s="51">
        <v>42735</v>
      </c>
      <c r="D58" s="61">
        <v>3711800000</v>
      </c>
      <c r="E58" s="61">
        <v>1803500000</v>
      </c>
      <c r="F58" s="61">
        <v>1054100000</v>
      </c>
      <c r="G58" s="61">
        <v>0</v>
      </c>
      <c r="H58" s="61">
        <v>0</v>
      </c>
      <c r="I58" t="s">
        <v>13</v>
      </c>
      <c r="J58" t="s">
        <v>474</v>
      </c>
      <c r="K58" s="61">
        <v>1908300000</v>
      </c>
      <c r="L58" s="61">
        <v>1054100000</v>
      </c>
      <c r="M58" s="61">
        <v>854200000</v>
      </c>
      <c r="N58" t="str">
        <f t="shared" si="0"/>
        <v>0B - 10B</v>
      </c>
    </row>
    <row r="59" spans="1:14" x14ac:dyDescent="0.25">
      <c r="A59" t="s">
        <v>475</v>
      </c>
      <c r="B59" t="s">
        <v>11</v>
      </c>
      <c r="C59" s="51">
        <v>42369</v>
      </c>
      <c r="D59" s="61">
        <v>3018227000</v>
      </c>
      <c r="E59" s="61">
        <v>987357000</v>
      </c>
      <c r="F59" s="61">
        <v>785179000</v>
      </c>
      <c r="G59" s="61">
        <v>0</v>
      </c>
      <c r="H59" s="61">
        <v>137596000</v>
      </c>
      <c r="I59" t="s">
        <v>13</v>
      </c>
      <c r="J59" t="s">
        <v>198</v>
      </c>
      <c r="K59" s="61">
        <v>2030870000</v>
      </c>
      <c r="L59" s="61">
        <v>922775000</v>
      </c>
      <c r="M59" s="61">
        <v>1108095000</v>
      </c>
      <c r="N59" t="str">
        <f t="shared" si="0"/>
        <v>0B - 10B</v>
      </c>
    </row>
    <row r="60" spans="1:14" x14ac:dyDescent="0.25">
      <c r="A60" t="s">
        <v>478</v>
      </c>
      <c r="B60" t="s">
        <v>11</v>
      </c>
      <c r="C60" s="51">
        <v>42399</v>
      </c>
      <c r="D60" s="61">
        <v>21059000000</v>
      </c>
      <c r="E60" s="61">
        <v>15545000000</v>
      </c>
      <c r="F60" s="61">
        <v>4600000000</v>
      </c>
      <c r="G60" s="61">
        <v>0</v>
      </c>
      <c r="H60" s="61">
        <v>67000000</v>
      </c>
      <c r="I60" t="s">
        <v>13</v>
      </c>
      <c r="J60" t="s">
        <v>73</v>
      </c>
      <c r="K60" s="61">
        <v>5514000000</v>
      </c>
      <c r="L60" s="61">
        <v>4667000000</v>
      </c>
      <c r="M60" s="61">
        <v>847000000</v>
      </c>
      <c r="N60" t="str">
        <f t="shared" si="0"/>
        <v>20B - 30B</v>
      </c>
    </row>
    <row r="61" spans="1:14" x14ac:dyDescent="0.25">
      <c r="A61" t="s">
        <v>486</v>
      </c>
      <c r="B61" t="s">
        <v>11</v>
      </c>
      <c r="C61" s="51">
        <v>42735</v>
      </c>
      <c r="D61" s="61">
        <v>11406900000</v>
      </c>
      <c r="E61" s="61">
        <v>7139700000</v>
      </c>
      <c r="F61" s="61">
        <v>2798900000</v>
      </c>
      <c r="G61" s="61">
        <v>0</v>
      </c>
      <c r="H61" s="61">
        <v>0</v>
      </c>
      <c r="I61" t="s">
        <v>13</v>
      </c>
      <c r="J61" t="s">
        <v>474</v>
      </c>
      <c r="K61" s="61">
        <v>4267200000</v>
      </c>
      <c r="L61" s="61">
        <v>2798900000</v>
      </c>
      <c r="M61" s="61">
        <v>1468300000</v>
      </c>
      <c r="N61" t="str">
        <f t="shared" si="0"/>
        <v>10B - 20B</v>
      </c>
    </row>
    <row r="62" spans="1:14" x14ac:dyDescent="0.25">
      <c r="A62" t="s">
        <v>501</v>
      </c>
      <c r="B62" t="s">
        <v>11</v>
      </c>
      <c r="C62" s="51">
        <v>42369</v>
      </c>
      <c r="D62" s="61">
        <v>3050945000</v>
      </c>
      <c r="E62" s="61">
        <v>923336000</v>
      </c>
      <c r="F62" s="61">
        <v>1068221000</v>
      </c>
      <c r="G62" s="61">
        <v>0</v>
      </c>
      <c r="H62" s="61">
        <v>205087000</v>
      </c>
      <c r="I62" t="s">
        <v>13</v>
      </c>
      <c r="J62" t="s">
        <v>502</v>
      </c>
      <c r="K62" s="61">
        <v>2127609000</v>
      </c>
      <c r="L62" s="61">
        <v>1273308000</v>
      </c>
      <c r="M62" s="61">
        <v>854301000</v>
      </c>
      <c r="N62" t="str">
        <f t="shared" si="0"/>
        <v>0B - 10B</v>
      </c>
    </row>
    <row r="63" spans="1:14" x14ac:dyDescent="0.25">
      <c r="A63" t="s">
        <v>503</v>
      </c>
      <c r="B63" t="s">
        <v>11</v>
      </c>
      <c r="C63" s="51">
        <v>42399</v>
      </c>
      <c r="D63" s="61">
        <v>73785000000</v>
      </c>
      <c r="E63" s="61">
        <v>51997000000</v>
      </c>
      <c r="F63" s="61">
        <v>14665000000</v>
      </c>
      <c r="G63" s="61">
        <v>0</v>
      </c>
      <c r="H63" s="61">
        <v>2213000000</v>
      </c>
      <c r="I63" t="s">
        <v>13</v>
      </c>
      <c r="J63" t="s">
        <v>191</v>
      </c>
      <c r="K63" s="61">
        <v>21788000000</v>
      </c>
      <c r="L63" s="61">
        <v>16878000000</v>
      </c>
      <c r="M63" s="61">
        <v>4910000000</v>
      </c>
      <c r="N63" t="str">
        <f t="shared" si="0"/>
        <v>70B - 80B</v>
      </c>
    </row>
    <row r="64" spans="1:14" x14ac:dyDescent="0.25">
      <c r="A64" t="s">
        <v>504</v>
      </c>
      <c r="B64" t="s">
        <v>11</v>
      </c>
      <c r="C64" s="51">
        <v>42400</v>
      </c>
      <c r="D64" s="61">
        <v>4104900000</v>
      </c>
      <c r="E64" s="61">
        <v>1613600000</v>
      </c>
      <c r="F64" s="61">
        <v>1731200000</v>
      </c>
      <c r="G64" s="61">
        <v>0</v>
      </c>
      <c r="H64" s="61">
        <v>0</v>
      </c>
      <c r="I64" t="s">
        <v>13</v>
      </c>
      <c r="J64" t="s">
        <v>283</v>
      </c>
      <c r="K64" s="61">
        <v>2491300000</v>
      </c>
      <c r="L64" s="61">
        <v>1731200000</v>
      </c>
      <c r="M64" s="61">
        <v>760100000</v>
      </c>
      <c r="N64" t="str">
        <f t="shared" si="0"/>
        <v>0B - 10B</v>
      </c>
    </row>
    <row r="65" spans="1:14" x14ac:dyDescent="0.25">
      <c r="A65" t="s">
        <v>505</v>
      </c>
      <c r="B65" t="s">
        <v>11</v>
      </c>
      <c r="C65" s="51">
        <v>42399</v>
      </c>
      <c r="D65" s="61">
        <v>30944938000</v>
      </c>
      <c r="E65" s="61">
        <v>22034523000</v>
      </c>
      <c r="F65" s="61">
        <v>5205715000</v>
      </c>
      <c r="G65" s="61">
        <v>0</v>
      </c>
      <c r="H65" s="61">
        <v>0</v>
      </c>
      <c r="I65" t="s">
        <v>13</v>
      </c>
      <c r="J65" t="s">
        <v>251</v>
      </c>
      <c r="K65" s="61">
        <v>8910415000</v>
      </c>
      <c r="L65" s="61">
        <v>5205715000</v>
      </c>
      <c r="M65" s="61">
        <v>3704700000</v>
      </c>
      <c r="N65" t="str">
        <f t="shared" si="0"/>
        <v>30B - 40B</v>
      </c>
    </row>
    <row r="66" spans="1:14" x14ac:dyDescent="0.25">
      <c r="A66" t="s">
        <v>508</v>
      </c>
      <c r="B66" t="s">
        <v>11</v>
      </c>
      <c r="C66" s="51">
        <v>42369</v>
      </c>
      <c r="D66" s="61">
        <v>1492000000</v>
      </c>
      <c r="E66" s="61">
        <v>58000000</v>
      </c>
      <c r="F66" s="61">
        <v>1109000000</v>
      </c>
      <c r="G66" s="61">
        <v>0</v>
      </c>
      <c r="H66" s="61">
        <v>93000000</v>
      </c>
      <c r="I66" t="s">
        <v>13</v>
      </c>
      <c r="J66" t="s">
        <v>71</v>
      </c>
      <c r="K66" s="61">
        <v>1434000000</v>
      </c>
      <c r="L66" s="61">
        <v>1202000000</v>
      </c>
      <c r="M66" s="61">
        <v>232000000</v>
      </c>
      <c r="N66" t="str">
        <f t="shared" si="0"/>
        <v>0B - 10B</v>
      </c>
    </row>
    <row r="67" spans="1:14" x14ac:dyDescent="0.25">
      <c r="A67" t="s">
        <v>510</v>
      </c>
      <c r="B67" t="s">
        <v>11</v>
      </c>
      <c r="C67" s="51">
        <v>42364</v>
      </c>
      <c r="D67" s="61">
        <v>6226507000</v>
      </c>
      <c r="E67" s="61">
        <v>4083333000</v>
      </c>
      <c r="F67" s="61">
        <v>1369097000</v>
      </c>
      <c r="G67" s="61">
        <v>0</v>
      </c>
      <c r="H67" s="61">
        <v>123569000</v>
      </c>
      <c r="I67" t="s">
        <v>13</v>
      </c>
      <c r="J67" t="s">
        <v>511</v>
      </c>
      <c r="K67" s="61">
        <v>2143174000</v>
      </c>
      <c r="L67" s="61">
        <v>1492666000</v>
      </c>
      <c r="M67" s="61">
        <v>650508000</v>
      </c>
      <c r="N67" t="str">
        <f t="shared" ref="N67:N77" si="1">TEXT(FLOOR(D67,10000000000),"0,,,")&amp;"B" &amp;" - "&amp; TEXT(FLOOR(D67,10000000000)+10000000000,"0,,,")&amp;"B"</f>
        <v>0B - 10B</v>
      </c>
    </row>
    <row r="68" spans="1:14" x14ac:dyDescent="0.25">
      <c r="A68" t="s">
        <v>517</v>
      </c>
      <c r="B68" t="s">
        <v>11</v>
      </c>
      <c r="C68" s="51">
        <v>42369</v>
      </c>
      <c r="D68" s="61">
        <v>3963313000</v>
      </c>
      <c r="E68" s="61">
        <v>2057766000</v>
      </c>
      <c r="F68" s="61">
        <v>1497000000</v>
      </c>
      <c r="G68" s="61">
        <v>0</v>
      </c>
      <c r="H68" s="61">
        <v>0</v>
      </c>
      <c r="I68" t="s">
        <v>13</v>
      </c>
      <c r="J68" t="s">
        <v>283</v>
      </c>
      <c r="K68" s="61">
        <v>1905547000</v>
      </c>
      <c r="L68" s="61">
        <v>1497000000</v>
      </c>
      <c r="M68" s="61">
        <v>408547000</v>
      </c>
      <c r="N68" t="str">
        <f t="shared" si="1"/>
        <v>0B - 10B</v>
      </c>
    </row>
    <row r="69" spans="1:14" x14ac:dyDescent="0.25">
      <c r="A69" t="s">
        <v>518</v>
      </c>
      <c r="B69" t="s">
        <v>11</v>
      </c>
      <c r="C69" s="51">
        <v>42369</v>
      </c>
      <c r="D69" s="61">
        <v>3963313000</v>
      </c>
      <c r="E69" s="61">
        <v>2057766000</v>
      </c>
      <c r="F69" s="61">
        <v>1497000000</v>
      </c>
      <c r="G69" s="61">
        <v>0</v>
      </c>
      <c r="H69" s="61">
        <v>0</v>
      </c>
      <c r="I69" t="s">
        <v>13</v>
      </c>
      <c r="J69" t="s">
        <v>283</v>
      </c>
      <c r="K69" s="61">
        <v>1905547000</v>
      </c>
      <c r="L69" s="61">
        <v>1497000000</v>
      </c>
      <c r="M69" s="61">
        <v>408547000</v>
      </c>
      <c r="N69" t="str">
        <f t="shared" si="1"/>
        <v>0B - 10B</v>
      </c>
    </row>
    <row r="70" spans="1:14" x14ac:dyDescent="0.25">
      <c r="A70" t="s">
        <v>521</v>
      </c>
      <c r="B70" t="s">
        <v>11</v>
      </c>
      <c r="C70" s="51">
        <v>42400</v>
      </c>
      <c r="D70" s="61">
        <v>3924116000</v>
      </c>
      <c r="E70" s="61">
        <v>2539783000</v>
      </c>
      <c r="F70" s="61">
        <v>863354000</v>
      </c>
      <c r="G70" s="61">
        <v>0</v>
      </c>
      <c r="H70" s="61">
        <v>0</v>
      </c>
      <c r="I70" t="s">
        <v>13</v>
      </c>
      <c r="J70" t="s">
        <v>73</v>
      </c>
      <c r="K70" s="61">
        <v>1384333000</v>
      </c>
      <c r="L70" s="61">
        <v>863354000</v>
      </c>
      <c r="M70" s="61">
        <v>520979000</v>
      </c>
      <c r="N70" t="str">
        <f t="shared" si="1"/>
        <v>0B - 10B</v>
      </c>
    </row>
    <row r="71" spans="1:14" x14ac:dyDescent="0.25">
      <c r="A71" t="s">
        <v>526</v>
      </c>
      <c r="B71" t="s">
        <v>11</v>
      </c>
      <c r="C71" s="51">
        <v>42400</v>
      </c>
      <c r="D71" s="61">
        <v>3445134000</v>
      </c>
      <c r="E71" s="61">
        <v>2243232000</v>
      </c>
      <c r="F71" s="61">
        <v>848323000</v>
      </c>
      <c r="G71" s="61">
        <v>0</v>
      </c>
      <c r="H71" s="61">
        <v>0</v>
      </c>
      <c r="I71" t="s">
        <v>13</v>
      </c>
      <c r="J71" t="s">
        <v>251</v>
      </c>
      <c r="K71" s="61">
        <v>1201902000</v>
      </c>
      <c r="L71" s="61">
        <v>848323000</v>
      </c>
      <c r="M71" s="61">
        <v>353579000</v>
      </c>
      <c r="N71" t="str">
        <f t="shared" si="1"/>
        <v>0B - 10B</v>
      </c>
    </row>
    <row r="72" spans="1:14" x14ac:dyDescent="0.25">
      <c r="A72" t="s">
        <v>531</v>
      </c>
      <c r="B72" t="s">
        <v>11</v>
      </c>
      <c r="C72" s="51">
        <v>42371</v>
      </c>
      <c r="D72" s="61">
        <v>12376744000</v>
      </c>
      <c r="E72" s="61">
        <v>6393800000</v>
      </c>
      <c r="F72" s="61">
        <v>4178386000</v>
      </c>
      <c r="G72" s="61">
        <v>0</v>
      </c>
      <c r="H72" s="61">
        <v>0</v>
      </c>
      <c r="I72" t="s">
        <v>13</v>
      </c>
      <c r="J72" t="s">
        <v>283</v>
      </c>
      <c r="K72" s="61">
        <v>5982944000</v>
      </c>
      <c r="L72" s="61">
        <v>4178386000</v>
      </c>
      <c r="M72" s="61">
        <v>1804558000</v>
      </c>
      <c r="N72" t="str">
        <f t="shared" si="1"/>
        <v>10B - 20B</v>
      </c>
    </row>
    <row r="73" spans="1:14" x14ac:dyDescent="0.25">
      <c r="A73" t="s">
        <v>532</v>
      </c>
      <c r="B73" t="s">
        <v>11</v>
      </c>
      <c r="C73" s="51">
        <v>42643</v>
      </c>
      <c r="D73" s="61">
        <v>12488000000</v>
      </c>
      <c r="E73" s="61">
        <v>6684000000</v>
      </c>
      <c r="F73" s="61">
        <v>2851000000</v>
      </c>
      <c r="G73" s="61">
        <v>0</v>
      </c>
      <c r="H73" s="61">
        <v>221000000</v>
      </c>
      <c r="I73" t="s">
        <v>13</v>
      </c>
      <c r="J73" t="s">
        <v>198</v>
      </c>
      <c r="K73" s="61">
        <v>5804000000</v>
      </c>
      <c r="L73" s="61">
        <v>3072000000</v>
      </c>
      <c r="M73" s="61">
        <v>2732000000</v>
      </c>
      <c r="N73" t="str">
        <f t="shared" si="1"/>
        <v>10B - 20B</v>
      </c>
    </row>
    <row r="74" spans="1:14" x14ac:dyDescent="0.25">
      <c r="A74" t="s">
        <v>546</v>
      </c>
      <c r="B74" t="s">
        <v>11</v>
      </c>
      <c r="C74" s="51">
        <v>42735</v>
      </c>
      <c r="D74" s="61">
        <v>20718000000</v>
      </c>
      <c r="E74" s="61">
        <v>17036000000</v>
      </c>
      <c r="F74" s="61">
        <v>2084000000</v>
      </c>
      <c r="G74" s="61">
        <v>0</v>
      </c>
      <c r="H74" s="61">
        <v>71000000</v>
      </c>
      <c r="I74" t="s">
        <v>13</v>
      </c>
      <c r="J74" t="s">
        <v>474</v>
      </c>
      <c r="K74" s="61">
        <v>3682000000</v>
      </c>
      <c r="L74" s="61">
        <v>2155000000</v>
      </c>
      <c r="M74" s="61">
        <v>1527000000</v>
      </c>
      <c r="N74" t="str">
        <f t="shared" si="1"/>
        <v>20B - 30B</v>
      </c>
    </row>
    <row r="75" spans="1:14" x14ac:dyDescent="0.25">
      <c r="A75" t="s">
        <v>554</v>
      </c>
      <c r="B75" t="s">
        <v>11</v>
      </c>
      <c r="C75" s="51">
        <v>42369</v>
      </c>
      <c r="D75" s="61">
        <v>5536000000</v>
      </c>
      <c r="E75" s="61">
        <v>2700000000</v>
      </c>
      <c r="F75" s="61">
        <v>1574000000</v>
      </c>
      <c r="G75" s="61">
        <v>0</v>
      </c>
      <c r="H75" s="61">
        <v>234000000</v>
      </c>
      <c r="I75" t="s">
        <v>13</v>
      </c>
      <c r="J75" t="s">
        <v>127</v>
      </c>
      <c r="K75" s="61">
        <v>2836000000</v>
      </c>
      <c r="L75" s="61">
        <v>1808000000</v>
      </c>
      <c r="M75" s="61">
        <v>1028000000</v>
      </c>
      <c r="N75" t="str">
        <f t="shared" si="1"/>
        <v>0B - 10B</v>
      </c>
    </row>
    <row r="76" spans="1:14" x14ac:dyDescent="0.25">
      <c r="A76" t="s">
        <v>555</v>
      </c>
      <c r="B76" t="s">
        <v>11</v>
      </c>
      <c r="C76" s="51">
        <v>42369</v>
      </c>
      <c r="D76" s="61">
        <v>4075883000</v>
      </c>
      <c r="E76" s="61">
        <v>2530374000</v>
      </c>
      <c r="F76" s="61">
        <v>475328000</v>
      </c>
      <c r="G76" s="61">
        <v>0</v>
      </c>
      <c r="H76" s="61">
        <v>322629000</v>
      </c>
      <c r="I76" t="s">
        <v>13</v>
      </c>
      <c r="J76" t="s">
        <v>556</v>
      </c>
      <c r="K76" s="61">
        <v>1545509000</v>
      </c>
      <c r="L76" s="61">
        <v>797957000</v>
      </c>
      <c r="M76" s="61">
        <v>747552000</v>
      </c>
      <c r="N76" t="str">
        <f t="shared" si="1"/>
        <v>0B - 10B</v>
      </c>
    </row>
    <row r="77" spans="1:14" x14ac:dyDescent="0.25">
      <c r="A77" t="s">
        <v>566</v>
      </c>
      <c r="B77" t="s">
        <v>11</v>
      </c>
      <c r="C77" s="51">
        <v>42364</v>
      </c>
      <c r="D77" s="61">
        <v>13105000000</v>
      </c>
      <c r="E77" s="61">
        <v>9359000000</v>
      </c>
      <c r="F77" s="61">
        <v>1746000000</v>
      </c>
      <c r="G77" s="61">
        <v>0</v>
      </c>
      <c r="H77" s="61">
        <v>0</v>
      </c>
      <c r="I77" t="s">
        <v>13</v>
      </c>
      <c r="J77" t="s">
        <v>149</v>
      </c>
      <c r="K77" s="61">
        <v>3746000000</v>
      </c>
      <c r="L77" s="61">
        <v>1746000000</v>
      </c>
      <c r="M77" s="61">
        <v>2000000000</v>
      </c>
      <c r="N77" t="str">
        <f t="shared" si="1"/>
        <v>10B - 20B</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8F9A1E-140D-42B2-891D-B44783F9CDB9}">
  <dimension ref="A1:N34"/>
  <sheetViews>
    <sheetView zoomScaleNormal="100" workbookViewId="0">
      <selection activeCell="N3" sqref="N3"/>
    </sheetView>
  </sheetViews>
  <sheetFormatPr defaultRowHeight="15" x14ac:dyDescent="0.25"/>
  <cols>
    <col min="1" max="1" width="13.7109375" bestFit="1" customWidth="1"/>
    <col min="2" max="2" width="6.28515625" bestFit="1" customWidth="1"/>
    <col min="3" max="3" width="13.5703125" bestFit="1" customWidth="1"/>
    <col min="4" max="5" width="20" bestFit="1" customWidth="1"/>
    <col min="6" max="6" width="25" bestFit="1" customWidth="1"/>
    <col min="7" max="7" width="26.5703125" bestFit="1" customWidth="1"/>
    <col min="8" max="8" width="21.5703125" bestFit="1" customWidth="1"/>
    <col min="9" max="9" width="17" bestFit="1" customWidth="1"/>
    <col min="10" max="10" width="27.85546875" bestFit="1" customWidth="1"/>
    <col min="11" max="11" width="20" bestFit="1" customWidth="1"/>
    <col min="12" max="12" width="23.42578125" bestFit="1" customWidth="1"/>
    <col min="13" max="13" width="19" bestFit="1" customWidth="1"/>
    <col min="14" max="14" width="18.42578125" bestFit="1" customWidth="1"/>
  </cols>
  <sheetData>
    <row r="1" spans="1:14" x14ac:dyDescent="0.25">
      <c r="A1" s="83" t="s">
        <v>0</v>
      </c>
      <c r="B1" s="83" t="s">
        <v>1</v>
      </c>
      <c r="C1" s="83" t="s">
        <v>2</v>
      </c>
      <c r="D1" s="83" t="s">
        <v>571</v>
      </c>
      <c r="E1" s="83" t="s">
        <v>578</v>
      </c>
      <c r="F1" s="83" t="s">
        <v>579</v>
      </c>
      <c r="G1" s="83" t="s">
        <v>580</v>
      </c>
      <c r="H1" s="83" t="s">
        <v>577</v>
      </c>
      <c r="I1" s="83" t="s">
        <v>3</v>
      </c>
      <c r="J1" s="83" t="s">
        <v>4</v>
      </c>
      <c r="K1" s="83" t="s">
        <v>570</v>
      </c>
      <c r="L1" s="83" t="s">
        <v>581</v>
      </c>
      <c r="M1" s="83" t="s">
        <v>589</v>
      </c>
      <c r="N1" s="83" t="s">
        <v>658</v>
      </c>
    </row>
    <row r="2" spans="1:14" x14ac:dyDescent="0.25">
      <c r="A2" t="s">
        <v>29</v>
      </c>
      <c r="B2" t="s">
        <v>11</v>
      </c>
      <c r="C2" s="51">
        <v>42369</v>
      </c>
      <c r="D2" s="61">
        <v>67702000000</v>
      </c>
      <c r="E2" s="61">
        <v>63682000000</v>
      </c>
      <c r="F2" s="61">
        <v>2010000000</v>
      </c>
      <c r="G2" s="61">
        <v>0</v>
      </c>
      <c r="H2" s="61">
        <v>0</v>
      </c>
      <c r="I2" t="s">
        <v>30</v>
      </c>
      <c r="J2" t="s">
        <v>31</v>
      </c>
      <c r="K2" s="61">
        <v>4020000000</v>
      </c>
      <c r="L2" s="61">
        <v>2010000000</v>
      </c>
      <c r="M2" s="61">
        <v>2010000000</v>
      </c>
      <c r="N2" t="str">
        <f>TEXT(FLOOR(D2,10000000000),"0,,,")&amp;"B" &amp;" - "&amp; TEXT(FLOOR(D2,10000000000)+10000000000,"0,,,")&amp;"B"</f>
        <v>60B - 70B</v>
      </c>
    </row>
    <row r="3" spans="1:14" x14ac:dyDescent="0.25">
      <c r="A3" t="s">
        <v>117</v>
      </c>
      <c r="B3" t="s">
        <v>11</v>
      </c>
      <c r="C3" s="51">
        <v>42519</v>
      </c>
      <c r="D3" s="61">
        <v>11642900000</v>
      </c>
      <c r="E3" s="61">
        <v>8552100000</v>
      </c>
      <c r="F3" s="61">
        <v>2209400000</v>
      </c>
      <c r="G3" s="61">
        <v>0</v>
      </c>
      <c r="H3" s="61">
        <v>0</v>
      </c>
      <c r="I3" t="s">
        <v>30</v>
      </c>
      <c r="J3" t="s">
        <v>118</v>
      </c>
      <c r="K3" s="61">
        <v>3090800000</v>
      </c>
      <c r="L3" s="61">
        <v>2209400000</v>
      </c>
      <c r="M3" s="61">
        <v>881400000</v>
      </c>
      <c r="N3" t="str">
        <f t="shared" ref="N3:N34" si="0">TEXT(FLOOR(D3,10000000000),"0,,,")&amp;"B" &amp;" - "&amp; TEXT(FLOOR(D3,10000000000)+10000000000,"0,,,")&amp;"B"</f>
        <v>10B - 20B</v>
      </c>
    </row>
    <row r="4" spans="1:14" x14ac:dyDescent="0.25">
      <c r="A4" t="s">
        <v>135</v>
      </c>
      <c r="B4" t="s">
        <v>11</v>
      </c>
      <c r="C4" s="51">
        <v>42369</v>
      </c>
      <c r="D4" s="61">
        <v>3394800000</v>
      </c>
      <c r="E4" s="61">
        <v>1883000000</v>
      </c>
      <c r="F4" s="61">
        <v>837600000</v>
      </c>
      <c r="G4" s="61">
        <v>0</v>
      </c>
      <c r="H4" s="61">
        <v>0</v>
      </c>
      <c r="I4" t="s">
        <v>30</v>
      </c>
      <c r="J4" t="s">
        <v>136</v>
      </c>
      <c r="K4" s="61">
        <v>1511800000</v>
      </c>
      <c r="L4" s="61">
        <v>837600000</v>
      </c>
      <c r="M4" s="61">
        <v>674200000</v>
      </c>
      <c r="N4" t="str">
        <f t="shared" si="0"/>
        <v>0B - 10B</v>
      </c>
    </row>
    <row r="5" spans="1:14" x14ac:dyDescent="0.25">
      <c r="A5" t="s">
        <v>145</v>
      </c>
      <c r="B5" t="s">
        <v>11</v>
      </c>
      <c r="C5" s="51">
        <v>42369</v>
      </c>
      <c r="D5" s="61">
        <v>16034000000</v>
      </c>
      <c r="E5" s="61">
        <v>6635000000</v>
      </c>
      <c r="F5" s="61">
        <v>6610000000</v>
      </c>
      <c r="G5" s="61">
        <v>0</v>
      </c>
      <c r="H5" s="61">
        <v>0</v>
      </c>
      <c r="I5" t="s">
        <v>30</v>
      </c>
      <c r="J5" t="s">
        <v>136</v>
      </c>
      <c r="K5" s="61">
        <v>9399000000</v>
      </c>
      <c r="L5" s="61">
        <v>6610000000</v>
      </c>
      <c r="M5" s="61">
        <v>2789000000</v>
      </c>
      <c r="N5" t="str">
        <f t="shared" si="0"/>
        <v>10B - 20B</v>
      </c>
    </row>
    <row r="6" spans="1:14" x14ac:dyDescent="0.25">
      <c r="A6" t="s">
        <v>146</v>
      </c>
      <c r="B6" t="s">
        <v>11</v>
      </c>
      <c r="C6" s="51">
        <v>42551</v>
      </c>
      <c r="D6" s="61">
        <v>5761000000</v>
      </c>
      <c r="E6" s="61">
        <v>3163000000</v>
      </c>
      <c r="F6" s="61">
        <v>1393000000</v>
      </c>
      <c r="G6" s="61">
        <v>141000000</v>
      </c>
      <c r="H6" s="61">
        <v>0</v>
      </c>
      <c r="I6" t="s">
        <v>30</v>
      </c>
      <c r="J6" t="s">
        <v>136</v>
      </c>
      <c r="K6" s="61">
        <v>2598000000</v>
      </c>
      <c r="L6" s="61">
        <v>1534000000</v>
      </c>
      <c r="M6" s="61">
        <v>1064000000</v>
      </c>
      <c r="N6" t="str">
        <f t="shared" si="0"/>
        <v>0B - 10B</v>
      </c>
    </row>
    <row r="7" spans="1:14" x14ac:dyDescent="0.25">
      <c r="A7" t="s">
        <v>161</v>
      </c>
      <c r="B7" t="s">
        <v>11</v>
      </c>
      <c r="C7" s="51">
        <v>42610</v>
      </c>
      <c r="D7" s="61">
        <v>118719000000</v>
      </c>
      <c r="E7" s="61">
        <v>102901000000</v>
      </c>
      <c r="F7" s="61">
        <v>12068000000</v>
      </c>
      <c r="G7" s="61">
        <v>0</v>
      </c>
      <c r="H7" s="61">
        <v>0</v>
      </c>
      <c r="I7" t="s">
        <v>30</v>
      </c>
      <c r="J7" t="s">
        <v>162</v>
      </c>
      <c r="K7" s="61">
        <v>15818000000</v>
      </c>
      <c r="L7" s="61">
        <v>12068000000</v>
      </c>
      <c r="M7" s="61">
        <v>3750000000</v>
      </c>
      <c r="N7" t="str">
        <f t="shared" si="0"/>
        <v>110B - 120B</v>
      </c>
    </row>
    <row r="8" spans="1:14" x14ac:dyDescent="0.25">
      <c r="A8" t="s">
        <v>163</v>
      </c>
      <c r="B8" t="s">
        <v>11</v>
      </c>
      <c r="C8" s="51">
        <v>39141</v>
      </c>
      <c r="D8" s="61">
        <v>99642000</v>
      </c>
      <c r="E8" s="61">
        <v>84477000</v>
      </c>
      <c r="F8" s="61">
        <v>25853000</v>
      </c>
      <c r="G8" s="61">
        <v>0</v>
      </c>
      <c r="H8" s="61">
        <v>0</v>
      </c>
      <c r="I8" t="s">
        <v>30</v>
      </c>
      <c r="J8" t="s">
        <v>164</v>
      </c>
      <c r="K8" s="61">
        <v>15165000</v>
      </c>
      <c r="L8" s="61">
        <v>25853000</v>
      </c>
      <c r="M8" s="61">
        <v>-10688000</v>
      </c>
      <c r="N8" t="str">
        <f t="shared" si="0"/>
        <v>0B - 10B</v>
      </c>
    </row>
    <row r="9" spans="1:14" x14ac:dyDescent="0.25">
      <c r="A9" t="s">
        <v>165</v>
      </c>
      <c r="B9" t="s">
        <v>11</v>
      </c>
      <c r="C9" s="51">
        <v>42582</v>
      </c>
      <c r="D9" s="61">
        <v>7961000000</v>
      </c>
      <c r="E9" s="61">
        <v>5181000000</v>
      </c>
      <c r="F9" s="61">
        <v>1665000000</v>
      </c>
      <c r="G9" s="61">
        <v>124000000</v>
      </c>
      <c r="H9" s="61">
        <v>0</v>
      </c>
      <c r="I9" t="s">
        <v>30</v>
      </c>
      <c r="J9" t="s">
        <v>118</v>
      </c>
      <c r="K9" s="61">
        <v>2780000000</v>
      </c>
      <c r="L9" s="61">
        <v>1789000000</v>
      </c>
      <c r="M9" s="61">
        <v>991000000</v>
      </c>
      <c r="N9" t="str">
        <f t="shared" si="0"/>
        <v>0B - 10B</v>
      </c>
    </row>
    <row r="10" spans="1:14" x14ac:dyDescent="0.25">
      <c r="A10" t="s">
        <v>180</v>
      </c>
      <c r="B10" t="s">
        <v>11</v>
      </c>
      <c r="C10" s="51">
        <v>42735</v>
      </c>
      <c r="D10" s="61">
        <v>177526000000</v>
      </c>
      <c r="E10" s="61">
        <v>148669000000</v>
      </c>
      <c r="F10" s="61">
        <v>0</v>
      </c>
      <c r="G10" s="61">
        <v>0</v>
      </c>
      <c r="H10" s="61">
        <v>0</v>
      </c>
      <c r="I10" t="s">
        <v>30</v>
      </c>
      <c r="J10" t="s">
        <v>181</v>
      </c>
      <c r="K10" s="61">
        <v>28857000000</v>
      </c>
      <c r="L10" s="61">
        <v>0</v>
      </c>
      <c r="M10" s="61">
        <v>28857000000</v>
      </c>
      <c r="N10" t="str">
        <f t="shared" si="0"/>
        <v>170B - 180B</v>
      </c>
    </row>
    <row r="11" spans="1:14" x14ac:dyDescent="0.25">
      <c r="A11" t="s">
        <v>207</v>
      </c>
      <c r="B11" t="s">
        <v>11</v>
      </c>
      <c r="C11" s="51">
        <v>42735</v>
      </c>
      <c r="D11" s="61">
        <v>6440000000</v>
      </c>
      <c r="E11" s="61">
        <v>2582000000</v>
      </c>
      <c r="F11" s="61">
        <v>2326000000</v>
      </c>
      <c r="G11" s="61">
        <v>0</v>
      </c>
      <c r="H11" s="61">
        <v>99000000</v>
      </c>
      <c r="I11" t="s">
        <v>30</v>
      </c>
      <c r="J11" t="s">
        <v>208</v>
      </c>
      <c r="K11" s="61">
        <v>3858000000</v>
      </c>
      <c r="L11" s="61">
        <v>2425000000</v>
      </c>
      <c r="M11" s="61">
        <v>1433000000</v>
      </c>
      <c r="N11" t="str">
        <f t="shared" si="0"/>
        <v>0B - 10B</v>
      </c>
    </row>
    <row r="12" spans="1:14" x14ac:dyDescent="0.25">
      <c r="A12" t="s">
        <v>219</v>
      </c>
      <c r="B12" t="s">
        <v>11</v>
      </c>
      <c r="C12" s="51">
        <v>42551</v>
      </c>
      <c r="D12" s="61">
        <v>11262300000</v>
      </c>
      <c r="E12" s="61">
        <v>2181100000</v>
      </c>
      <c r="F12" s="61">
        <v>7337800000</v>
      </c>
      <c r="G12" s="61">
        <v>0</v>
      </c>
      <c r="H12" s="61">
        <v>0</v>
      </c>
      <c r="I12" t="s">
        <v>30</v>
      </c>
      <c r="J12" t="s">
        <v>164</v>
      </c>
      <c r="K12" s="61">
        <v>9081200000</v>
      </c>
      <c r="L12" s="61">
        <v>7337800000</v>
      </c>
      <c r="M12" s="61">
        <v>1743400000</v>
      </c>
      <c r="N12" t="str">
        <f t="shared" si="0"/>
        <v>10B - 20B</v>
      </c>
    </row>
    <row r="13" spans="1:14" x14ac:dyDescent="0.25">
      <c r="A13" t="s">
        <v>265</v>
      </c>
      <c r="B13" t="s">
        <v>11</v>
      </c>
      <c r="C13" s="51">
        <v>42519</v>
      </c>
      <c r="D13" s="61">
        <v>16563100000</v>
      </c>
      <c r="E13" s="61">
        <v>10733600000</v>
      </c>
      <c r="F13" s="61">
        <v>3118900000</v>
      </c>
      <c r="G13" s="61">
        <v>0</v>
      </c>
      <c r="H13" s="61">
        <v>0</v>
      </c>
      <c r="I13" t="s">
        <v>30</v>
      </c>
      <c r="J13" t="s">
        <v>118</v>
      </c>
      <c r="K13" s="61">
        <v>5829500000</v>
      </c>
      <c r="L13" s="61">
        <v>3118900000</v>
      </c>
      <c r="M13" s="61">
        <v>2710600000</v>
      </c>
      <c r="N13" t="str">
        <f t="shared" si="0"/>
        <v>10B - 20B</v>
      </c>
    </row>
    <row r="14" spans="1:14" x14ac:dyDescent="0.25">
      <c r="A14" t="s">
        <v>301</v>
      </c>
      <c r="B14" t="s">
        <v>11</v>
      </c>
      <c r="C14" s="51">
        <v>42673</v>
      </c>
      <c r="D14" s="61">
        <v>9523224000</v>
      </c>
      <c r="E14" s="61">
        <v>7365049000</v>
      </c>
      <c r="F14" s="61">
        <v>871974000</v>
      </c>
      <c r="G14" s="61">
        <v>0</v>
      </c>
      <c r="H14" s="61">
        <v>0</v>
      </c>
      <c r="I14" t="s">
        <v>30</v>
      </c>
      <c r="J14" t="s">
        <v>118</v>
      </c>
      <c r="K14" s="61">
        <v>2158175000</v>
      </c>
      <c r="L14" s="61">
        <v>871974000</v>
      </c>
      <c r="M14" s="61">
        <v>1286201000</v>
      </c>
      <c r="N14" t="str">
        <f t="shared" si="0"/>
        <v>0B - 10B</v>
      </c>
    </row>
    <row r="15" spans="1:14" x14ac:dyDescent="0.25">
      <c r="A15" t="s">
        <v>306</v>
      </c>
      <c r="B15" t="s">
        <v>11</v>
      </c>
      <c r="C15" s="51">
        <v>42369</v>
      </c>
      <c r="D15" s="61">
        <v>7386626000</v>
      </c>
      <c r="E15" s="61">
        <v>4003951000</v>
      </c>
      <c r="F15" s="61">
        <v>1969308000</v>
      </c>
      <c r="G15" s="61">
        <v>0</v>
      </c>
      <c r="H15" s="61">
        <v>0</v>
      </c>
      <c r="I15" t="s">
        <v>30</v>
      </c>
      <c r="J15" t="s">
        <v>118</v>
      </c>
      <c r="K15" s="61">
        <v>3382675000</v>
      </c>
      <c r="L15" s="61">
        <v>1969308000</v>
      </c>
      <c r="M15" s="61">
        <v>1413367000</v>
      </c>
      <c r="N15" t="str">
        <f t="shared" si="0"/>
        <v>0B - 10B</v>
      </c>
    </row>
    <row r="16" spans="1:14" x14ac:dyDescent="0.25">
      <c r="A16" t="s">
        <v>329</v>
      </c>
      <c r="B16" t="s">
        <v>11</v>
      </c>
      <c r="C16" s="51">
        <v>42371</v>
      </c>
      <c r="D16" s="61">
        <v>13525000000</v>
      </c>
      <c r="E16" s="61">
        <v>8844000000</v>
      </c>
      <c r="F16" s="61">
        <v>3590000000</v>
      </c>
      <c r="G16" s="61">
        <v>0</v>
      </c>
      <c r="H16" s="61">
        <v>0</v>
      </c>
      <c r="I16" t="s">
        <v>30</v>
      </c>
      <c r="J16" t="s">
        <v>118</v>
      </c>
      <c r="K16" s="61">
        <v>4681000000</v>
      </c>
      <c r="L16" s="61">
        <v>3590000000</v>
      </c>
      <c r="M16" s="61">
        <v>1091000000</v>
      </c>
      <c r="N16" t="str">
        <f t="shared" si="0"/>
        <v>10B - 20B</v>
      </c>
    </row>
    <row r="17" spans="1:14" x14ac:dyDescent="0.25">
      <c r="A17" t="s">
        <v>333</v>
      </c>
      <c r="B17" t="s">
        <v>11</v>
      </c>
      <c r="C17" s="51">
        <v>42735</v>
      </c>
      <c r="D17" s="61">
        <v>18202000000</v>
      </c>
      <c r="E17" s="61">
        <v>11551000000</v>
      </c>
      <c r="F17" s="61">
        <v>3334000000</v>
      </c>
      <c r="G17" s="61">
        <v>0</v>
      </c>
      <c r="H17" s="61">
        <v>0</v>
      </c>
      <c r="I17" t="s">
        <v>30</v>
      </c>
      <c r="J17" t="s">
        <v>136</v>
      </c>
      <c r="K17" s="61">
        <v>6651000000</v>
      </c>
      <c r="L17" s="61">
        <v>3334000000</v>
      </c>
      <c r="M17" s="61">
        <v>3317000000</v>
      </c>
      <c r="N17" t="str">
        <f t="shared" si="0"/>
        <v>10B - 20B</v>
      </c>
    </row>
    <row r="18" spans="1:14" x14ac:dyDescent="0.25">
      <c r="A18" t="s">
        <v>337</v>
      </c>
      <c r="B18" t="s">
        <v>11</v>
      </c>
      <c r="C18" s="51">
        <v>42369</v>
      </c>
      <c r="D18" s="61">
        <v>44294000000</v>
      </c>
      <c r="E18" s="61">
        <v>17482000000</v>
      </c>
      <c r="F18" s="61">
        <v>18084000000</v>
      </c>
      <c r="G18" s="61">
        <v>0</v>
      </c>
      <c r="H18" s="61">
        <v>0</v>
      </c>
      <c r="I18" t="s">
        <v>30</v>
      </c>
      <c r="J18" t="s">
        <v>208</v>
      </c>
      <c r="K18" s="61">
        <v>26812000000</v>
      </c>
      <c r="L18" s="61">
        <v>18084000000</v>
      </c>
      <c r="M18" s="61">
        <v>8728000000</v>
      </c>
      <c r="N18" t="str">
        <f t="shared" si="0"/>
        <v>40B - 50B</v>
      </c>
    </row>
    <row r="19" spans="1:14" x14ac:dyDescent="0.25">
      <c r="A19" t="s">
        <v>339</v>
      </c>
      <c r="B19" t="s">
        <v>11</v>
      </c>
      <c r="C19" s="51">
        <v>42399</v>
      </c>
      <c r="D19" s="61">
        <v>109830000000</v>
      </c>
      <c r="E19" s="61">
        <v>85496000000</v>
      </c>
      <c r="F19" s="61">
        <v>18669000000</v>
      </c>
      <c r="G19" s="61">
        <v>0</v>
      </c>
      <c r="H19" s="61">
        <v>2089000000</v>
      </c>
      <c r="I19" t="s">
        <v>30</v>
      </c>
      <c r="J19" t="s">
        <v>340</v>
      </c>
      <c r="K19" s="61">
        <v>24334000000</v>
      </c>
      <c r="L19" s="61">
        <v>20758000000</v>
      </c>
      <c r="M19" s="61">
        <v>3576000000</v>
      </c>
      <c r="N19" t="str">
        <f t="shared" si="0"/>
        <v>100B - 110B</v>
      </c>
    </row>
    <row r="20" spans="1:14" x14ac:dyDescent="0.25">
      <c r="A20" t="s">
        <v>374</v>
      </c>
      <c r="B20" t="s">
        <v>11</v>
      </c>
      <c r="C20" s="51">
        <v>42369</v>
      </c>
      <c r="D20" s="61">
        <v>29636000000</v>
      </c>
      <c r="E20" s="61">
        <v>18124000000</v>
      </c>
      <c r="F20" s="61">
        <v>7577000000</v>
      </c>
      <c r="G20" s="61">
        <v>0</v>
      </c>
      <c r="H20" s="61">
        <v>181000000</v>
      </c>
      <c r="I20" t="s">
        <v>30</v>
      </c>
      <c r="J20" t="s">
        <v>118</v>
      </c>
      <c r="K20" s="61">
        <v>11512000000</v>
      </c>
      <c r="L20" s="61">
        <v>7758000000</v>
      </c>
      <c r="M20" s="61">
        <v>3754000000</v>
      </c>
      <c r="N20" t="str">
        <f t="shared" si="0"/>
        <v>20B - 30B</v>
      </c>
    </row>
    <row r="21" spans="1:14" x14ac:dyDescent="0.25">
      <c r="A21" t="s">
        <v>378</v>
      </c>
      <c r="B21" t="s">
        <v>11</v>
      </c>
      <c r="C21" s="51">
        <v>42369</v>
      </c>
      <c r="D21" s="61">
        <v>4071300000</v>
      </c>
      <c r="E21" s="61">
        <v>1455300000</v>
      </c>
      <c r="F21" s="61">
        <v>1532400000</v>
      </c>
      <c r="G21" s="61">
        <v>108400000</v>
      </c>
      <c r="H21" s="61">
        <v>0</v>
      </c>
      <c r="I21" t="s">
        <v>30</v>
      </c>
      <c r="J21" t="s">
        <v>118</v>
      </c>
      <c r="K21" s="61">
        <v>2616000000</v>
      </c>
      <c r="L21" s="61">
        <v>1640800000</v>
      </c>
      <c r="M21" s="61">
        <v>975200000</v>
      </c>
      <c r="N21" t="str">
        <f t="shared" si="0"/>
        <v>0B - 10B</v>
      </c>
    </row>
    <row r="22" spans="1:14" x14ac:dyDescent="0.25">
      <c r="A22" t="s">
        <v>379</v>
      </c>
      <c r="B22" t="s">
        <v>11</v>
      </c>
      <c r="C22" s="51">
        <v>42704</v>
      </c>
      <c r="D22" s="61">
        <v>4411500000</v>
      </c>
      <c r="E22" s="61">
        <v>2579800000</v>
      </c>
      <c r="F22" s="61">
        <v>1175000000</v>
      </c>
      <c r="G22" s="61">
        <v>0</v>
      </c>
      <c r="H22" s="61">
        <v>0</v>
      </c>
      <c r="I22" t="s">
        <v>30</v>
      </c>
      <c r="J22" t="s">
        <v>118</v>
      </c>
      <c r="K22" s="61">
        <v>1831700000</v>
      </c>
      <c r="L22" s="61">
        <v>1175000000</v>
      </c>
      <c r="M22" s="61">
        <v>656700000</v>
      </c>
      <c r="N22" t="str">
        <f t="shared" si="0"/>
        <v>0B - 10B</v>
      </c>
    </row>
    <row r="23" spans="1:14" x14ac:dyDescent="0.25">
      <c r="A23" t="s">
        <v>385</v>
      </c>
      <c r="B23" t="s">
        <v>11</v>
      </c>
      <c r="C23" s="51">
        <v>42369</v>
      </c>
      <c r="D23" s="61">
        <v>2722564000</v>
      </c>
      <c r="E23" s="61">
        <v>1090263000</v>
      </c>
      <c r="F23" s="61">
        <v>0</v>
      </c>
      <c r="G23" s="61">
        <v>0</v>
      </c>
      <c r="H23" s="61">
        <v>0</v>
      </c>
      <c r="I23" t="s">
        <v>30</v>
      </c>
      <c r="J23" t="s">
        <v>208</v>
      </c>
      <c r="K23" s="61">
        <v>1632301000</v>
      </c>
      <c r="L23" s="61">
        <v>0</v>
      </c>
      <c r="M23" s="61">
        <v>1632301000</v>
      </c>
      <c r="N23" t="str">
        <f t="shared" si="0"/>
        <v>0B - 10B</v>
      </c>
    </row>
    <row r="24" spans="1:14" x14ac:dyDescent="0.25">
      <c r="A24" t="s">
        <v>386</v>
      </c>
      <c r="B24" t="s">
        <v>11</v>
      </c>
      <c r="C24" s="51">
        <v>42369</v>
      </c>
      <c r="D24" s="61">
        <v>25434000000</v>
      </c>
      <c r="E24" s="61">
        <v>14320000000</v>
      </c>
      <c r="F24" s="61">
        <v>2749000000</v>
      </c>
      <c r="G24" s="61">
        <v>0</v>
      </c>
      <c r="H24" s="61">
        <v>0</v>
      </c>
      <c r="I24" t="s">
        <v>30</v>
      </c>
      <c r="J24" t="s">
        <v>387</v>
      </c>
      <c r="K24" s="61">
        <v>11114000000</v>
      </c>
      <c r="L24" s="61">
        <v>2749000000</v>
      </c>
      <c r="M24" s="61">
        <v>8365000000</v>
      </c>
      <c r="N24" t="str">
        <f t="shared" si="0"/>
        <v>20B - 30B</v>
      </c>
    </row>
    <row r="25" spans="1:14" x14ac:dyDescent="0.25">
      <c r="A25" t="s">
        <v>431</v>
      </c>
      <c r="B25" t="s">
        <v>11</v>
      </c>
      <c r="C25" s="51">
        <v>42735</v>
      </c>
      <c r="D25" s="61">
        <v>62799000000</v>
      </c>
      <c r="E25" s="61">
        <v>28209000000</v>
      </c>
      <c r="F25" s="61">
        <v>24735000000</v>
      </c>
      <c r="G25" s="61">
        <v>0</v>
      </c>
      <c r="H25" s="61">
        <v>70000000</v>
      </c>
      <c r="I25" t="s">
        <v>30</v>
      </c>
      <c r="J25" t="s">
        <v>208</v>
      </c>
      <c r="K25" s="61">
        <v>34590000000</v>
      </c>
      <c r="L25" s="61">
        <v>24805000000</v>
      </c>
      <c r="M25" s="61">
        <v>9785000000</v>
      </c>
      <c r="N25" t="str">
        <f t="shared" si="0"/>
        <v>60B - 70B</v>
      </c>
    </row>
    <row r="26" spans="1:14" x14ac:dyDescent="0.25">
      <c r="A26" t="s">
        <v>434</v>
      </c>
      <c r="B26" t="s">
        <v>11</v>
      </c>
      <c r="C26" s="51">
        <v>42735</v>
      </c>
      <c r="D26" s="61">
        <v>4860427000</v>
      </c>
      <c r="E26" s="61">
        <v>299694000</v>
      </c>
      <c r="F26" s="61">
        <v>1177697000</v>
      </c>
      <c r="G26" s="61">
        <v>2052295000</v>
      </c>
      <c r="H26" s="61">
        <v>0</v>
      </c>
      <c r="I26" t="s">
        <v>30</v>
      </c>
      <c r="J26" t="s">
        <v>164</v>
      </c>
      <c r="K26" s="61">
        <v>4560733000</v>
      </c>
      <c r="L26" s="61">
        <v>3229992000</v>
      </c>
      <c r="M26" s="61">
        <v>1330741000</v>
      </c>
      <c r="N26" t="str">
        <f t="shared" si="0"/>
        <v>0B - 10B</v>
      </c>
    </row>
    <row r="27" spans="1:14" x14ac:dyDescent="0.25">
      <c r="A27" t="s">
        <v>439</v>
      </c>
      <c r="B27" t="s">
        <v>11</v>
      </c>
      <c r="C27" s="51">
        <v>42735</v>
      </c>
      <c r="D27" s="61">
        <v>74953000000</v>
      </c>
      <c r="E27" s="61">
        <v>57659000000</v>
      </c>
      <c r="F27" s="61">
        <v>6405000000</v>
      </c>
      <c r="G27" s="61">
        <v>0</v>
      </c>
      <c r="H27" s="61">
        <v>74000000</v>
      </c>
      <c r="I27" t="s">
        <v>30</v>
      </c>
      <c r="J27" t="s">
        <v>387</v>
      </c>
      <c r="K27" s="61">
        <v>17294000000</v>
      </c>
      <c r="L27" s="61">
        <v>6479000000</v>
      </c>
      <c r="M27" s="61">
        <v>10815000000</v>
      </c>
      <c r="N27" t="str">
        <f t="shared" si="0"/>
        <v>70B - 80B</v>
      </c>
    </row>
    <row r="28" spans="1:14" x14ac:dyDescent="0.25">
      <c r="A28" t="s">
        <v>470</v>
      </c>
      <c r="B28" t="s">
        <v>11</v>
      </c>
      <c r="C28" s="51">
        <v>42490</v>
      </c>
      <c r="D28" s="61">
        <v>7811200000</v>
      </c>
      <c r="E28" s="61">
        <v>4843400000</v>
      </c>
      <c r="F28" s="61">
        <v>1614100000</v>
      </c>
      <c r="G28" s="61">
        <v>0</v>
      </c>
      <c r="H28" s="61">
        <v>208400000</v>
      </c>
      <c r="I28" t="s">
        <v>30</v>
      </c>
      <c r="J28" t="s">
        <v>118</v>
      </c>
      <c r="K28" s="61">
        <v>2967800000</v>
      </c>
      <c r="L28" s="61">
        <v>1822500000</v>
      </c>
      <c r="M28" s="61">
        <v>1145300000</v>
      </c>
      <c r="N28" t="str">
        <f t="shared" si="0"/>
        <v>0B - 10B</v>
      </c>
    </row>
    <row r="29" spans="1:14" x14ac:dyDescent="0.25">
      <c r="A29" t="s">
        <v>484</v>
      </c>
      <c r="B29" t="s">
        <v>11</v>
      </c>
      <c r="C29" s="51">
        <v>42429</v>
      </c>
      <c r="D29" s="61">
        <v>6548400000</v>
      </c>
      <c r="E29" s="61">
        <v>3606100000</v>
      </c>
      <c r="F29" s="61">
        <v>1177200000</v>
      </c>
      <c r="G29" s="61">
        <v>0</v>
      </c>
      <c r="H29" s="61">
        <v>0</v>
      </c>
      <c r="I29" t="s">
        <v>30</v>
      </c>
      <c r="J29" t="s">
        <v>485</v>
      </c>
      <c r="K29" s="61">
        <v>2942300000</v>
      </c>
      <c r="L29" s="61">
        <v>1177200000</v>
      </c>
      <c r="M29" s="61">
        <v>1765100000</v>
      </c>
      <c r="N29" t="str">
        <f t="shared" si="0"/>
        <v>0B - 10B</v>
      </c>
    </row>
    <row r="30" spans="1:14" x14ac:dyDescent="0.25">
      <c r="A30" t="s">
        <v>492</v>
      </c>
      <c r="B30" t="s">
        <v>11</v>
      </c>
      <c r="C30" s="51">
        <v>42553</v>
      </c>
      <c r="D30" s="61">
        <v>50366919000</v>
      </c>
      <c r="E30" s="61">
        <v>41326447000</v>
      </c>
      <c r="F30" s="61">
        <v>0</v>
      </c>
      <c r="G30" s="61">
        <v>0</v>
      </c>
      <c r="H30" s="61">
        <v>0</v>
      </c>
      <c r="I30" t="s">
        <v>30</v>
      </c>
      <c r="J30" t="s">
        <v>493</v>
      </c>
      <c r="K30" s="61">
        <v>9040472000</v>
      </c>
      <c r="L30" s="61">
        <v>0</v>
      </c>
      <c r="M30" s="61">
        <v>9040472000</v>
      </c>
      <c r="N30" t="str">
        <f t="shared" si="0"/>
        <v>50B - 60B</v>
      </c>
    </row>
    <row r="31" spans="1:14" x14ac:dyDescent="0.25">
      <c r="A31" t="s">
        <v>495</v>
      </c>
      <c r="B31" t="s">
        <v>11</v>
      </c>
      <c r="C31" s="51">
        <v>42735</v>
      </c>
      <c r="D31" s="61">
        <v>4885000000</v>
      </c>
      <c r="E31" s="61">
        <v>3003100000</v>
      </c>
      <c r="F31" s="61">
        <v>1597300000</v>
      </c>
      <c r="G31" s="61">
        <v>0</v>
      </c>
      <c r="H31" s="61">
        <v>0</v>
      </c>
      <c r="I31" t="s">
        <v>30</v>
      </c>
      <c r="J31" t="s">
        <v>496</v>
      </c>
      <c r="K31" s="61">
        <v>1881900000</v>
      </c>
      <c r="L31" s="61">
        <v>1597300000</v>
      </c>
      <c r="M31" s="61">
        <v>284600000</v>
      </c>
      <c r="N31" t="str">
        <f t="shared" si="0"/>
        <v>0B - 10B</v>
      </c>
    </row>
    <row r="32" spans="1:14" x14ac:dyDescent="0.25">
      <c r="A32" t="s">
        <v>512</v>
      </c>
      <c r="B32" t="s">
        <v>11</v>
      </c>
      <c r="C32" s="51">
        <v>42644</v>
      </c>
      <c r="D32" s="61">
        <v>36881000000</v>
      </c>
      <c r="E32" s="61">
        <v>32184000000</v>
      </c>
      <c r="F32" s="61">
        <v>1864000000</v>
      </c>
      <c r="G32" s="61">
        <v>0</v>
      </c>
      <c r="H32" s="61">
        <v>0</v>
      </c>
      <c r="I32" t="s">
        <v>30</v>
      </c>
      <c r="J32" t="s">
        <v>118</v>
      </c>
      <c r="K32" s="61">
        <v>4697000000</v>
      </c>
      <c r="L32" s="61">
        <v>1864000000</v>
      </c>
      <c r="M32" s="61">
        <v>2833000000</v>
      </c>
      <c r="N32" t="str">
        <f t="shared" si="0"/>
        <v>30B - 40B</v>
      </c>
    </row>
    <row r="33" spans="1:14" x14ac:dyDescent="0.25">
      <c r="A33" t="s">
        <v>545</v>
      </c>
      <c r="B33" t="s">
        <v>11</v>
      </c>
      <c r="C33" s="51">
        <v>42638</v>
      </c>
      <c r="D33" s="61">
        <v>15724000000</v>
      </c>
      <c r="E33" s="61">
        <v>10313000000</v>
      </c>
      <c r="F33" s="61">
        <v>4477000000</v>
      </c>
      <c r="G33" s="61">
        <v>0</v>
      </c>
      <c r="H33" s="61">
        <v>0</v>
      </c>
      <c r="I33" t="s">
        <v>30</v>
      </c>
      <c r="J33" t="s">
        <v>340</v>
      </c>
      <c r="K33" s="61">
        <v>5411000000</v>
      </c>
      <c r="L33" s="61">
        <v>4477000000</v>
      </c>
      <c r="M33" s="61">
        <v>934000000</v>
      </c>
      <c r="N33" t="str">
        <f t="shared" si="0"/>
        <v>10B - 20B</v>
      </c>
    </row>
    <row r="34" spans="1:14" x14ac:dyDescent="0.25">
      <c r="A34" t="s">
        <v>550</v>
      </c>
      <c r="B34" t="s">
        <v>11</v>
      </c>
      <c r="C34" s="51">
        <v>42400</v>
      </c>
      <c r="D34" s="61">
        <v>482130000000</v>
      </c>
      <c r="E34" s="61">
        <v>360984000000</v>
      </c>
      <c r="F34" s="61">
        <v>97041000000</v>
      </c>
      <c r="G34" s="61">
        <v>0</v>
      </c>
      <c r="H34" s="61">
        <v>0</v>
      </c>
      <c r="I34" t="s">
        <v>30</v>
      </c>
      <c r="J34" t="s">
        <v>162</v>
      </c>
      <c r="K34" s="61">
        <v>121146000000</v>
      </c>
      <c r="L34" s="61">
        <v>97041000000</v>
      </c>
      <c r="M34" s="61">
        <v>24105000000</v>
      </c>
      <c r="N34" t="str">
        <f t="shared" si="0"/>
        <v>480B - 490B</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5327C-2894-45E9-8D18-E476F6F321DE}">
  <dimension ref="A1:N231"/>
  <sheetViews>
    <sheetView topLeftCell="G1" zoomScaleNormal="100" workbookViewId="0">
      <selection activeCell="L227" sqref="L227"/>
    </sheetView>
  </sheetViews>
  <sheetFormatPr defaultRowHeight="15" x14ac:dyDescent="0.25"/>
  <cols>
    <col min="1" max="1" width="15.7109375" customWidth="1"/>
    <col min="2" max="2" width="8.140625" customWidth="1"/>
    <col min="3" max="3" width="15.5703125" customWidth="1"/>
    <col min="4" max="4" width="20" bestFit="1" customWidth="1"/>
    <col min="5" max="5" width="20.42578125" customWidth="1"/>
    <col min="6" max="6" width="26.5703125" customWidth="1"/>
    <col min="7" max="7" width="28" customWidth="1"/>
    <col min="8" max="8" width="23.140625" customWidth="1"/>
    <col min="9" max="9" width="22.28515625" bestFit="1" customWidth="1"/>
    <col min="10" max="10" width="40.85546875" bestFit="1" customWidth="1"/>
    <col min="11" max="11" width="19" bestFit="1" customWidth="1"/>
    <col min="12" max="12" width="25" customWidth="1"/>
    <col min="13" max="13" width="19" bestFit="1" customWidth="1"/>
    <col min="14" max="14" width="25.85546875" customWidth="1"/>
  </cols>
  <sheetData>
    <row r="1" spans="1:14" x14ac:dyDescent="0.25">
      <c r="A1" s="63" t="s">
        <v>0</v>
      </c>
      <c r="B1" s="63" t="s">
        <v>1</v>
      </c>
      <c r="C1" s="63" t="s">
        <v>2</v>
      </c>
      <c r="D1" s="63" t="s">
        <v>571</v>
      </c>
      <c r="E1" s="63" t="s">
        <v>578</v>
      </c>
      <c r="F1" s="63" t="s">
        <v>579</v>
      </c>
      <c r="G1" s="63" t="s">
        <v>580</v>
      </c>
      <c r="H1" s="63" t="s">
        <v>577</v>
      </c>
      <c r="I1" s="63" t="s">
        <v>3</v>
      </c>
      <c r="J1" s="63" t="s">
        <v>4</v>
      </c>
      <c r="K1" s="63" t="s">
        <v>570</v>
      </c>
      <c r="L1" s="63" t="s">
        <v>581</v>
      </c>
      <c r="M1" s="63" t="s">
        <v>589</v>
      </c>
      <c r="N1" s="64" t="s">
        <v>618</v>
      </c>
    </row>
    <row r="2" spans="1:14" x14ac:dyDescent="0.25">
      <c r="A2" t="s">
        <v>25</v>
      </c>
      <c r="B2" t="s">
        <v>6</v>
      </c>
      <c r="C2" s="51">
        <v>41607</v>
      </c>
      <c r="D2" s="61">
        <v>4055240000</v>
      </c>
      <c r="E2" s="61">
        <v>586557000</v>
      </c>
      <c r="F2" s="61">
        <v>2140578000</v>
      </c>
      <c r="G2" s="61">
        <v>826631000</v>
      </c>
      <c r="H2" s="61">
        <v>52254000</v>
      </c>
      <c r="I2" t="s">
        <v>16</v>
      </c>
      <c r="J2" t="s">
        <v>26</v>
      </c>
      <c r="K2" s="61">
        <v>3468683000</v>
      </c>
      <c r="L2" s="61">
        <v>3019463000</v>
      </c>
      <c r="M2" s="61">
        <v>449220000</v>
      </c>
      <c r="N2" s="43" t="str">
        <f t="shared" ref="N2:N65" si="0">"$" &amp; FLOOR(L2,5000000000)/1000000000 &amp; "-" &amp; FLOOR((L2+5000000000),5000000000)/1000000000 &amp; "B"</f>
        <v>$0-5B</v>
      </c>
    </row>
    <row r="3" spans="1:14" x14ac:dyDescent="0.25">
      <c r="A3" t="s">
        <v>25</v>
      </c>
      <c r="B3" t="s">
        <v>9</v>
      </c>
      <c r="C3" s="51">
        <v>41971</v>
      </c>
      <c r="D3" s="61">
        <v>4147065000</v>
      </c>
      <c r="E3" s="61">
        <v>622080000</v>
      </c>
      <c r="F3" s="61">
        <v>2195640000</v>
      </c>
      <c r="G3" s="61">
        <v>844353000</v>
      </c>
      <c r="H3" s="61">
        <v>52424000</v>
      </c>
      <c r="I3" t="s">
        <v>16</v>
      </c>
      <c r="J3" t="s">
        <v>26</v>
      </c>
      <c r="K3" s="61">
        <v>3524985000</v>
      </c>
      <c r="L3" s="61">
        <v>3092417000</v>
      </c>
      <c r="M3" s="61">
        <v>432568000</v>
      </c>
      <c r="N3" s="43" t="str">
        <f t="shared" si="0"/>
        <v>$0-5B</v>
      </c>
    </row>
    <row r="4" spans="1:14" x14ac:dyDescent="0.25">
      <c r="A4" t="s">
        <v>25</v>
      </c>
      <c r="B4" t="s">
        <v>10</v>
      </c>
      <c r="C4" s="51">
        <v>42335</v>
      </c>
      <c r="D4" s="61">
        <v>4795511000</v>
      </c>
      <c r="E4" s="61">
        <v>744317000</v>
      </c>
      <c r="F4" s="61">
        <v>2215161000</v>
      </c>
      <c r="G4" s="61">
        <v>862730000</v>
      </c>
      <c r="H4" s="61">
        <v>68649000</v>
      </c>
      <c r="I4" t="s">
        <v>16</v>
      </c>
      <c r="J4" t="s">
        <v>26</v>
      </c>
      <c r="K4" s="61">
        <v>4051194000</v>
      </c>
      <c r="L4" s="61">
        <v>3146540000</v>
      </c>
      <c r="M4" s="61">
        <v>904654000</v>
      </c>
      <c r="N4" s="43" t="str">
        <f t="shared" si="0"/>
        <v>$0-5B</v>
      </c>
    </row>
    <row r="5" spans="1:14" x14ac:dyDescent="0.25">
      <c r="A5" t="s">
        <v>25</v>
      </c>
      <c r="B5" t="s">
        <v>11</v>
      </c>
      <c r="C5" s="51">
        <v>42706</v>
      </c>
      <c r="D5" s="61">
        <v>5854430000</v>
      </c>
      <c r="E5" s="61">
        <v>819908000</v>
      </c>
      <c r="F5" s="61">
        <v>2487907000</v>
      </c>
      <c r="G5" s="61">
        <v>975987000</v>
      </c>
      <c r="H5" s="61">
        <v>78534000</v>
      </c>
      <c r="I5" t="s">
        <v>16</v>
      </c>
      <c r="J5" t="s">
        <v>26</v>
      </c>
      <c r="K5" s="61">
        <v>5034522000</v>
      </c>
      <c r="L5" s="61">
        <v>3542428000</v>
      </c>
      <c r="M5" s="61">
        <v>1492094000</v>
      </c>
      <c r="N5" s="43" t="str">
        <f t="shared" si="0"/>
        <v>$0-5B</v>
      </c>
    </row>
    <row r="6" spans="1:14" x14ac:dyDescent="0.25">
      <c r="A6" t="s">
        <v>34</v>
      </c>
      <c r="B6" t="s">
        <v>6</v>
      </c>
      <c r="C6" s="51">
        <v>41305</v>
      </c>
      <c r="D6" s="61">
        <v>2312200000</v>
      </c>
      <c r="E6" s="61">
        <v>238500000</v>
      </c>
      <c r="F6" s="61">
        <v>1081800000</v>
      </c>
      <c r="G6" s="61">
        <v>600000000</v>
      </c>
      <c r="H6" s="61">
        <v>42100000</v>
      </c>
      <c r="I6" t="s">
        <v>16</v>
      </c>
      <c r="J6" t="s">
        <v>26</v>
      </c>
      <c r="K6" s="61">
        <v>2073700000</v>
      </c>
      <c r="L6" s="61">
        <v>1723900000</v>
      </c>
      <c r="M6" s="61">
        <v>349800000</v>
      </c>
      <c r="N6" s="43" t="str">
        <f t="shared" si="0"/>
        <v>$0-5B</v>
      </c>
    </row>
    <row r="7" spans="1:14" x14ac:dyDescent="0.25">
      <c r="A7" t="s">
        <v>34</v>
      </c>
      <c r="B7" t="s">
        <v>9</v>
      </c>
      <c r="C7" s="51">
        <v>41670</v>
      </c>
      <c r="D7" s="61">
        <v>2273900000</v>
      </c>
      <c r="E7" s="61">
        <v>274300000</v>
      </c>
      <c r="F7" s="61">
        <v>1054400000</v>
      </c>
      <c r="G7" s="61">
        <v>611100000</v>
      </c>
      <c r="H7" s="61">
        <v>36500000</v>
      </c>
      <c r="I7" t="s">
        <v>16</v>
      </c>
      <c r="J7" t="s">
        <v>26</v>
      </c>
      <c r="K7" s="61">
        <v>1999600000</v>
      </c>
      <c r="L7" s="61">
        <v>1702000000</v>
      </c>
      <c r="M7" s="61">
        <v>297600000</v>
      </c>
      <c r="N7" s="43" t="str">
        <f t="shared" si="0"/>
        <v>$0-5B</v>
      </c>
    </row>
    <row r="8" spans="1:14" x14ac:dyDescent="0.25">
      <c r="A8" t="s">
        <v>34</v>
      </c>
      <c r="B8" t="s">
        <v>10</v>
      </c>
      <c r="C8" s="51">
        <v>42035</v>
      </c>
      <c r="D8" s="61">
        <v>2512200000</v>
      </c>
      <c r="E8" s="61">
        <v>342100000</v>
      </c>
      <c r="F8" s="61">
        <v>1281300000</v>
      </c>
      <c r="G8" s="61">
        <v>725200000</v>
      </c>
      <c r="H8" s="61">
        <v>39800000</v>
      </c>
      <c r="I8" t="s">
        <v>16</v>
      </c>
      <c r="J8" t="s">
        <v>26</v>
      </c>
      <c r="K8" s="61">
        <v>2170100000</v>
      </c>
      <c r="L8" s="61">
        <v>2046300000</v>
      </c>
      <c r="M8" s="61">
        <v>123800000</v>
      </c>
      <c r="N8" s="43" t="str">
        <f t="shared" si="0"/>
        <v>$0-5B</v>
      </c>
    </row>
    <row r="9" spans="1:14" x14ac:dyDescent="0.25">
      <c r="A9" t="s">
        <v>34</v>
      </c>
      <c r="B9" t="s">
        <v>11</v>
      </c>
      <c r="C9" s="51">
        <v>42400</v>
      </c>
      <c r="D9" s="61">
        <v>2504100000</v>
      </c>
      <c r="E9" s="61">
        <v>370700000</v>
      </c>
      <c r="F9" s="61">
        <v>1308900000</v>
      </c>
      <c r="G9" s="61">
        <v>790000000</v>
      </c>
      <c r="H9" s="61">
        <v>33200000</v>
      </c>
      <c r="I9" t="s">
        <v>16</v>
      </c>
      <c r="J9" t="s">
        <v>26</v>
      </c>
      <c r="K9" s="61">
        <v>2133400000</v>
      </c>
      <c r="L9" s="61">
        <v>2132100000</v>
      </c>
      <c r="M9" s="61">
        <v>1300000</v>
      </c>
      <c r="N9" s="43" t="str">
        <f t="shared" si="0"/>
        <v>$0-5B</v>
      </c>
    </row>
    <row r="10" spans="1:14" x14ac:dyDescent="0.25">
      <c r="A10" t="s">
        <v>491</v>
      </c>
      <c r="B10" t="s">
        <v>6</v>
      </c>
      <c r="C10" s="51">
        <v>41362</v>
      </c>
      <c r="D10" s="61">
        <v>6906000000</v>
      </c>
      <c r="E10" s="61">
        <v>1175000000</v>
      </c>
      <c r="F10" s="61">
        <v>3236000000</v>
      </c>
      <c r="G10" s="61">
        <v>1026000000</v>
      </c>
      <c r="H10" s="61">
        <v>286000000</v>
      </c>
      <c r="I10" t="s">
        <v>16</v>
      </c>
      <c r="J10" t="s">
        <v>26</v>
      </c>
      <c r="K10" s="61">
        <v>5731000000</v>
      </c>
      <c r="L10" s="61">
        <v>4548000000</v>
      </c>
      <c r="M10" s="61">
        <v>1183000000</v>
      </c>
      <c r="N10" s="43" t="str">
        <f t="shared" si="0"/>
        <v>$0-5B</v>
      </c>
    </row>
    <row r="11" spans="1:14" x14ac:dyDescent="0.25">
      <c r="A11" t="s">
        <v>491</v>
      </c>
      <c r="B11" t="s">
        <v>9</v>
      </c>
      <c r="C11" s="51">
        <v>41726</v>
      </c>
      <c r="D11" s="61">
        <v>4183000000</v>
      </c>
      <c r="E11" s="61">
        <v>791000000</v>
      </c>
      <c r="F11" s="61">
        <v>2186000000</v>
      </c>
      <c r="G11" s="61">
        <v>722000000</v>
      </c>
      <c r="H11" s="61">
        <v>93000000</v>
      </c>
      <c r="I11" t="s">
        <v>16</v>
      </c>
      <c r="J11" t="s">
        <v>26</v>
      </c>
      <c r="K11" s="61">
        <v>3392000000</v>
      </c>
      <c r="L11" s="61">
        <v>3001000000</v>
      </c>
      <c r="M11" s="61">
        <v>391000000</v>
      </c>
      <c r="N11" s="43" t="str">
        <f t="shared" si="0"/>
        <v>$0-5B</v>
      </c>
    </row>
    <row r="12" spans="1:14" x14ac:dyDescent="0.25">
      <c r="A12" t="s">
        <v>491</v>
      </c>
      <c r="B12" t="s">
        <v>10</v>
      </c>
      <c r="C12" s="51">
        <v>42097</v>
      </c>
      <c r="D12" s="61">
        <v>3956000000</v>
      </c>
      <c r="E12" s="61">
        <v>727000000</v>
      </c>
      <c r="F12" s="61">
        <v>2012000000</v>
      </c>
      <c r="G12" s="61">
        <v>812000000</v>
      </c>
      <c r="H12" s="61">
        <v>87000000</v>
      </c>
      <c r="I12" t="s">
        <v>16</v>
      </c>
      <c r="J12" t="s">
        <v>26</v>
      </c>
      <c r="K12" s="61">
        <v>3229000000</v>
      </c>
      <c r="L12" s="61">
        <v>2911000000</v>
      </c>
      <c r="M12" s="61">
        <v>318000000</v>
      </c>
      <c r="N12" s="43" t="str">
        <f t="shared" si="0"/>
        <v>$0-5B</v>
      </c>
    </row>
    <row r="13" spans="1:14" x14ac:dyDescent="0.25">
      <c r="A13" t="s">
        <v>491</v>
      </c>
      <c r="B13" t="s">
        <v>11</v>
      </c>
      <c r="C13" s="51">
        <v>42461</v>
      </c>
      <c r="D13" s="61">
        <v>3600000000</v>
      </c>
      <c r="E13" s="61">
        <v>615000000</v>
      </c>
      <c r="F13" s="61">
        <v>1587000000</v>
      </c>
      <c r="G13" s="61">
        <v>748000000</v>
      </c>
      <c r="H13" s="61">
        <v>57000000</v>
      </c>
      <c r="I13" t="s">
        <v>16</v>
      </c>
      <c r="J13" t="s">
        <v>26</v>
      </c>
      <c r="K13" s="61">
        <v>2985000000</v>
      </c>
      <c r="L13" s="61">
        <v>2392000000</v>
      </c>
      <c r="M13" s="61">
        <v>593000000</v>
      </c>
      <c r="N13" s="43" t="str">
        <f t="shared" si="0"/>
        <v>$0-5B</v>
      </c>
    </row>
    <row r="14" spans="1:14" x14ac:dyDescent="0.25">
      <c r="A14" t="s">
        <v>497</v>
      </c>
      <c r="B14" t="s">
        <v>6</v>
      </c>
      <c r="C14" s="51">
        <v>41274</v>
      </c>
      <c r="D14" s="61">
        <v>2665000000</v>
      </c>
      <c r="E14" s="61">
        <v>1174000000</v>
      </c>
      <c r="F14" s="61">
        <v>728000000</v>
      </c>
      <c r="G14" s="61">
        <v>183000000</v>
      </c>
      <c r="H14" s="61">
        <v>0</v>
      </c>
      <c r="I14" t="s">
        <v>16</v>
      </c>
      <c r="J14" t="s">
        <v>26</v>
      </c>
      <c r="K14" s="61">
        <v>1491000000</v>
      </c>
      <c r="L14" s="61">
        <v>911000000</v>
      </c>
      <c r="M14" s="61">
        <v>580000000</v>
      </c>
      <c r="N14" s="43" t="str">
        <f t="shared" si="0"/>
        <v>$0-5B</v>
      </c>
    </row>
    <row r="15" spans="1:14" x14ac:dyDescent="0.25">
      <c r="A15" t="s">
        <v>497</v>
      </c>
      <c r="B15" t="s">
        <v>9</v>
      </c>
      <c r="C15" s="51">
        <v>41639</v>
      </c>
      <c r="D15" s="61">
        <v>2692000000</v>
      </c>
      <c r="E15" s="61">
        <v>1219000000</v>
      </c>
      <c r="F15" s="61">
        <v>757000000</v>
      </c>
      <c r="G15" s="61">
        <v>184000000</v>
      </c>
      <c r="H15" s="61">
        <v>0</v>
      </c>
      <c r="I15" t="s">
        <v>16</v>
      </c>
      <c r="J15" t="s">
        <v>26</v>
      </c>
      <c r="K15" s="61">
        <v>1473000000</v>
      </c>
      <c r="L15" s="61">
        <v>941000000</v>
      </c>
      <c r="M15" s="61">
        <v>532000000</v>
      </c>
      <c r="N15" s="43" t="str">
        <f t="shared" si="0"/>
        <v>$0-5B</v>
      </c>
    </row>
    <row r="16" spans="1:14" x14ac:dyDescent="0.25">
      <c r="A16" t="s">
        <v>497</v>
      </c>
      <c r="B16" t="s">
        <v>10</v>
      </c>
      <c r="C16" s="51">
        <v>42004</v>
      </c>
      <c r="D16" s="61">
        <v>2732000000</v>
      </c>
      <c r="E16" s="61">
        <v>1253000000</v>
      </c>
      <c r="F16" s="61">
        <v>770000000</v>
      </c>
      <c r="G16" s="61">
        <v>206000000</v>
      </c>
      <c r="H16" s="61">
        <v>0</v>
      </c>
      <c r="I16" t="s">
        <v>16</v>
      </c>
      <c r="J16" t="s">
        <v>26</v>
      </c>
      <c r="K16" s="61">
        <v>1479000000</v>
      </c>
      <c r="L16" s="61">
        <v>976000000</v>
      </c>
      <c r="M16" s="61">
        <v>503000000</v>
      </c>
      <c r="N16" s="43" t="str">
        <f t="shared" si="0"/>
        <v>$0-5B</v>
      </c>
    </row>
    <row r="17" spans="1:14" x14ac:dyDescent="0.25">
      <c r="A17" t="s">
        <v>497</v>
      </c>
      <c r="B17" t="s">
        <v>11</v>
      </c>
      <c r="C17" s="51">
        <v>42369</v>
      </c>
      <c r="D17" s="61">
        <v>2530000000</v>
      </c>
      <c r="E17" s="61">
        <v>1254000000</v>
      </c>
      <c r="F17" s="61">
        <v>765000000</v>
      </c>
      <c r="G17" s="61">
        <v>228000000</v>
      </c>
      <c r="H17" s="61">
        <v>0</v>
      </c>
      <c r="I17" t="s">
        <v>16</v>
      </c>
      <c r="J17" t="s">
        <v>26</v>
      </c>
      <c r="K17" s="61">
        <v>1276000000</v>
      </c>
      <c r="L17" s="61">
        <v>993000000</v>
      </c>
      <c r="M17" s="61">
        <v>283000000</v>
      </c>
      <c r="N17" s="43" t="str">
        <f t="shared" si="0"/>
        <v>$0-5B</v>
      </c>
    </row>
    <row r="18" spans="1:14" x14ac:dyDescent="0.25">
      <c r="A18" t="s">
        <v>15</v>
      </c>
      <c r="B18" t="s">
        <v>6</v>
      </c>
      <c r="C18" s="51">
        <v>41545</v>
      </c>
      <c r="D18" s="61">
        <v>170910000000</v>
      </c>
      <c r="E18" s="61">
        <v>106606000000</v>
      </c>
      <c r="F18" s="61">
        <v>10830000000</v>
      </c>
      <c r="G18" s="61">
        <v>4475000000</v>
      </c>
      <c r="H18" s="61">
        <v>0</v>
      </c>
      <c r="I18" t="s">
        <v>16</v>
      </c>
      <c r="J18" t="s">
        <v>17</v>
      </c>
      <c r="K18" s="61">
        <v>64304000000</v>
      </c>
      <c r="L18" s="61">
        <v>15305000000</v>
      </c>
      <c r="M18" s="61">
        <v>48999000000</v>
      </c>
      <c r="N18" s="43" t="str">
        <f t="shared" si="0"/>
        <v>$15-20B</v>
      </c>
    </row>
    <row r="19" spans="1:14" x14ac:dyDescent="0.25">
      <c r="A19" t="s">
        <v>15</v>
      </c>
      <c r="B19" t="s">
        <v>9</v>
      </c>
      <c r="C19" s="51">
        <v>41909</v>
      </c>
      <c r="D19" s="61">
        <v>182795000000</v>
      </c>
      <c r="E19" s="61">
        <v>112258000000</v>
      </c>
      <c r="F19" s="61">
        <v>11993000000</v>
      </c>
      <c r="G19" s="61">
        <v>6041000000</v>
      </c>
      <c r="H19" s="61">
        <v>0</v>
      </c>
      <c r="I19" t="s">
        <v>16</v>
      </c>
      <c r="J19" t="s">
        <v>17</v>
      </c>
      <c r="K19" s="61">
        <v>70537000000</v>
      </c>
      <c r="L19" s="61">
        <v>18034000000</v>
      </c>
      <c r="M19" s="61">
        <v>52503000000</v>
      </c>
      <c r="N19" s="43" t="str">
        <f t="shared" si="0"/>
        <v>$15-20B</v>
      </c>
    </row>
    <row r="20" spans="1:14" x14ac:dyDescent="0.25">
      <c r="A20" t="s">
        <v>15</v>
      </c>
      <c r="B20" t="s">
        <v>10</v>
      </c>
      <c r="C20" s="51">
        <v>42273</v>
      </c>
      <c r="D20" s="61">
        <v>233715000000</v>
      </c>
      <c r="E20" s="61">
        <v>140089000000</v>
      </c>
      <c r="F20" s="61">
        <v>14329000000</v>
      </c>
      <c r="G20" s="61">
        <v>8067000000</v>
      </c>
      <c r="H20" s="61">
        <v>0</v>
      </c>
      <c r="I20" t="s">
        <v>16</v>
      </c>
      <c r="J20" t="s">
        <v>17</v>
      </c>
      <c r="K20" s="61">
        <v>93626000000</v>
      </c>
      <c r="L20" s="61">
        <v>22396000000</v>
      </c>
      <c r="M20" s="61">
        <v>71230000000</v>
      </c>
      <c r="N20" s="43" t="str">
        <f t="shared" si="0"/>
        <v>$20-25B</v>
      </c>
    </row>
    <row r="21" spans="1:14" x14ac:dyDescent="0.25">
      <c r="A21" t="s">
        <v>15</v>
      </c>
      <c r="B21" t="s">
        <v>11</v>
      </c>
      <c r="C21" s="51">
        <v>42637</v>
      </c>
      <c r="D21" s="61">
        <v>215639000000</v>
      </c>
      <c r="E21" s="61">
        <v>131376000000</v>
      </c>
      <c r="F21" s="61">
        <v>14194000000</v>
      </c>
      <c r="G21" s="61">
        <v>10045000000</v>
      </c>
      <c r="H21" s="61">
        <v>0</v>
      </c>
      <c r="I21" t="s">
        <v>16</v>
      </c>
      <c r="J21" t="s">
        <v>17</v>
      </c>
      <c r="K21" s="61">
        <v>84263000000</v>
      </c>
      <c r="L21" s="61">
        <v>24239000000</v>
      </c>
      <c r="M21" s="61">
        <v>60024000000</v>
      </c>
      <c r="N21" s="43" t="str">
        <f t="shared" si="0"/>
        <v>$20-25B</v>
      </c>
    </row>
    <row r="22" spans="1:14" x14ac:dyDescent="0.25">
      <c r="A22" t="s">
        <v>299</v>
      </c>
      <c r="B22" t="s">
        <v>6</v>
      </c>
      <c r="C22" s="51">
        <v>41578</v>
      </c>
      <c r="D22" s="61">
        <v>112298000000</v>
      </c>
      <c r="E22" s="61">
        <v>86380000000</v>
      </c>
      <c r="F22" s="61">
        <v>13267000000</v>
      </c>
      <c r="G22" s="61">
        <v>3135000000</v>
      </c>
      <c r="H22" s="61">
        <v>1373000000</v>
      </c>
      <c r="I22" t="s">
        <v>16</v>
      </c>
      <c r="J22" t="s">
        <v>17</v>
      </c>
      <c r="K22" s="61">
        <v>25918000000</v>
      </c>
      <c r="L22" s="61">
        <v>17775000000</v>
      </c>
      <c r="M22" s="61">
        <v>8143000000</v>
      </c>
      <c r="N22" s="43" t="str">
        <f t="shared" si="0"/>
        <v>$15-20B</v>
      </c>
    </row>
    <row r="23" spans="1:14" x14ac:dyDescent="0.25">
      <c r="A23" t="s">
        <v>299</v>
      </c>
      <c r="B23" t="s">
        <v>9</v>
      </c>
      <c r="C23" s="51">
        <v>41943</v>
      </c>
      <c r="D23" s="61">
        <v>56651000000</v>
      </c>
      <c r="E23" s="61">
        <v>45431000000</v>
      </c>
      <c r="F23" s="61">
        <v>5361000000</v>
      </c>
      <c r="G23" s="61">
        <v>1298000000</v>
      </c>
      <c r="H23" s="61">
        <v>129000000</v>
      </c>
      <c r="I23" t="s">
        <v>16</v>
      </c>
      <c r="J23" t="s">
        <v>17</v>
      </c>
      <c r="K23" s="61">
        <v>11220000000</v>
      </c>
      <c r="L23" s="61">
        <v>6788000000</v>
      </c>
      <c r="M23" s="61">
        <v>4432000000</v>
      </c>
      <c r="N23" s="43" t="str">
        <f t="shared" si="0"/>
        <v>$5-10B</v>
      </c>
    </row>
    <row r="24" spans="1:14" x14ac:dyDescent="0.25">
      <c r="A24" t="s">
        <v>299</v>
      </c>
      <c r="B24" t="s">
        <v>10</v>
      </c>
      <c r="C24" s="51">
        <v>42308</v>
      </c>
      <c r="D24" s="61">
        <v>51463000000</v>
      </c>
      <c r="E24" s="61">
        <v>41524000000</v>
      </c>
      <c r="F24" s="61">
        <v>4663000000</v>
      </c>
      <c r="G24" s="61">
        <v>1191000000</v>
      </c>
      <c r="H24" s="61">
        <v>102000000</v>
      </c>
      <c r="I24" t="s">
        <v>16</v>
      </c>
      <c r="J24" t="s">
        <v>17</v>
      </c>
      <c r="K24" s="61">
        <v>9939000000</v>
      </c>
      <c r="L24" s="61">
        <v>5956000000</v>
      </c>
      <c r="M24" s="61">
        <v>3983000000</v>
      </c>
      <c r="N24" s="43" t="str">
        <f t="shared" si="0"/>
        <v>$5-10B</v>
      </c>
    </row>
    <row r="25" spans="1:14" x14ac:dyDescent="0.25">
      <c r="A25" t="s">
        <v>299</v>
      </c>
      <c r="B25" t="s">
        <v>11</v>
      </c>
      <c r="C25" s="51">
        <v>42674</v>
      </c>
      <c r="D25" s="61">
        <v>48238000000</v>
      </c>
      <c r="E25" s="61">
        <v>39240000000</v>
      </c>
      <c r="F25" s="61">
        <v>4019000000</v>
      </c>
      <c r="G25" s="61">
        <v>1209000000</v>
      </c>
      <c r="H25" s="61">
        <v>16000000</v>
      </c>
      <c r="I25" t="s">
        <v>16</v>
      </c>
      <c r="J25" t="s">
        <v>17</v>
      </c>
      <c r="K25" s="61">
        <v>8998000000</v>
      </c>
      <c r="L25" s="61">
        <v>5244000000</v>
      </c>
      <c r="M25" s="61">
        <v>3754000000</v>
      </c>
      <c r="N25" s="43" t="str">
        <f t="shared" si="0"/>
        <v>$5-10B</v>
      </c>
    </row>
    <row r="26" spans="1:14" x14ac:dyDescent="0.25">
      <c r="A26" t="s">
        <v>482</v>
      </c>
      <c r="B26" t="s">
        <v>6</v>
      </c>
      <c r="C26" s="51">
        <v>41453</v>
      </c>
      <c r="D26" s="61">
        <v>14351000000</v>
      </c>
      <c r="E26" s="61">
        <v>10411000000</v>
      </c>
      <c r="F26" s="61">
        <v>635000000</v>
      </c>
      <c r="G26" s="61">
        <v>1133000000</v>
      </c>
      <c r="H26" s="61">
        <v>79000000</v>
      </c>
      <c r="I26" t="s">
        <v>16</v>
      </c>
      <c r="J26" t="s">
        <v>483</v>
      </c>
      <c r="K26" s="61">
        <v>3940000000</v>
      </c>
      <c r="L26" s="61">
        <v>1847000000</v>
      </c>
      <c r="M26" s="61">
        <v>2093000000</v>
      </c>
      <c r="N26" s="43" t="str">
        <f t="shared" si="0"/>
        <v>$0-5B</v>
      </c>
    </row>
    <row r="27" spans="1:14" x14ac:dyDescent="0.25">
      <c r="A27" t="s">
        <v>482</v>
      </c>
      <c r="B27" t="s">
        <v>9</v>
      </c>
      <c r="C27" s="51">
        <v>41817</v>
      </c>
      <c r="D27" s="61">
        <v>13724000000</v>
      </c>
      <c r="E27" s="61">
        <v>9878000000</v>
      </c>
      <c r="F27" s="61">
        <v>722000000</v>
      </c>
      <c r="G27" s="61">
        <v>1226000000</v>
      </c>
      <c r="H27" s="61">
        <v>98000000</v>
      </c>
      <c r="I27" t="s">
        <v>16</v>
      </c>
      <c r="J27" t="s">
        <v>483</v>
      </c>
      <c r="K27" s="61">
        <v>3846000000</v>
      </c>
      <c r="L27" s="61">
        <v>2046000000</v>
      </c>
      <c r="M27" s="61">
        <v>1800000000</v>
      </c>
      <c r="N27" s="43" t="str">
        <f t="shared" si="0"/>
        <v>$0-5B</v>
      </c>
    </row>
    <row r="28" spans="1:14" x14ac:dyDescent="0.25">
      <c r="A28" t="s">
        <v>482</v>
      </c>
      <c r="B28" t="s">
        <v>10</v>
      </c>
      <c r="C28" s="51">
        <v>42188</v>
      </c>
      <c r="D28" s="61">
        <v>13739000000</v>
      </c>
      <c r="E28" s="61">
        <v>9930000000</v>
      </c>
      <c r="F28" s="61">
        <v>237000000</v>
      </c>
      <c r="G28" s="61">
        <v>1353000000</v>
      </c>
      <c r="H28" s="61">
        <v>129000000</v>
      </c>
      <c r="I28" t="s">
        <v>16</v>
      </c>
      <c r="J28" t="s">
        <v>483</v>
      </c>
      <c r="K28" s="61">
        <v>3809000000</v>
      </c>
      <c r="L28" s="61">
        <v>1719000000</v>
      </c>
      <c r="M28" s="61">
        <v>2090000000</v>
      </c>
      <c r="N28" s="43" t="str">
        <f t="shared" si="0"/>
        <v>$0-5B</v>
      </c>
    </row>
    <row r="29" spans="1:14" x14ac:dyDescent="0.25">
      <c r="A29" t="s">
        <v>482</v>
      </c>
      <c r="B29" t="s">
        <v>11</v>
      </c>
      <c r="C29" s="51">
        <v>42552</v>
      </c>
      <c r="D29" s="61">
        <v>11160000000</v>
      </c>
      <c r="E29" s="61">
        <v>8545000000</v>
      </c>
      <c r="F29" s="61">
        <v>635000000</v>
      </c>
      <c r="G29" s="61">
        <v>1237000000</v>
      </c>
      <c r="H29" s="61">
        <v>123000000</v>
      </c>
      <c r="I29" t="s">
        <v>16</v>
      </c>
      <c r="J29" t="s">
        <v>483</v>
      </c>
      <c r="K29" s="61">
        <v>2615000000</v>
      </c>
      <c r="L29" s="61">
        <v>1995000000</v>
      </c>
      <c r="M29" s="61">
        <v>620000000</v>
      </c>
      <c r="N29" s="43" t="str">
        <f t="shared" si="0"/>
        <v>$0-5B</v>
      </c>
    </row>
    <row r="30" spans="1:14" x14ac:dyDescent="0.25">
      <c r="A30" t="s">
        <v>542</v>
      </c>
      <c r="B30" t="s">
        <v>6</v>
      </c>
      <c r="C30" s="51">
        <v>41453</v>
      </c>
      <c r="D30" s="61">
        <v>15351000000</v>
      </c>
      <c r="E30" s="61">
        <v>10988000000</v>
      </c>
      <c r="F30" s="61">
        <v>1525000000</v>
      </c>
      <c r="G30" s="61">
        <v>1572000000</v>
      </c>
      <c r="H30" s="61">
        <v>0</v>
      </c>
      <c r="I30" t="s">
        <v>16</v>
      </c>
      <c r="J30" t="s">
        <v>483</v>
      </c>
      <c r="K30" s="61">
        <v>4363000000</v>
      </c>
      <c r="L30" s="61">
        <v>3097000000</v>
      </c>
      <c r="M30" s="61">
        <v>1266000000</v>
      </c>
      <c r="N30" s="43" t="str">
        <f t="shared" si="0"/>
        <v>$0-5B</v>
      </c>
    </row>
    <row r="31" spans="1:14" x14ac:dyDescent="0.25">
      <c r="A31" t="s">
        <v>542</v>
      </c>
      <c r="B31" t="s">
        <v>9</v>
      </c>
      <c r="C31" s="51">
        <v>41817</v>
      </c>
      <c r="D31" s="61">
        <v>15130000000</v>
      </c>
      <c r="E31" s="61">
        <v>10770000000</v>
      </c>
      <c r="F31" s="61">
        <v>908000000</v>
      </c>
      <c r="G31" s="61">
        <v>1661000000</v>
      </c>
      <c r="H31" s="61">
        <v>0</v>
      </c>
      <c r="I31" t="s">
        <v>16</v>
      </c>
      <c r="J31" t="s">
        <v>483</v>
      </c>
      <c r="K31" s="61">
        <v>4360000000</v>
      </c>
      <c r="L31" s="61">
        <v>2569000000</v>
      </c>
      <c r="M31" s="61">
        <v>1791000000</v>
      </c>
      <c r="N31" s="43" t="str">
        <f t="shared" si="0"/>
        <v>$0-5B</v>
      </c>
    </row>
    <row r="32" spans="1:14" x14ac:dyDescent="0.25">
      <c r="A32" t="s">
        <v>542</v>
      </c>
      <c r="B32" t="s">
        <v>10</v>
      </c>
      <c r="C32" s="51">
        <v>42188</v>
      </c>
      <c r="D32" s="61">
        <v>14572000000</v>
      </c>
      <c r="E32" s="61">
        <v>10351000000</v>
      </c>
      <c r="F32" s="61">
        <v>964000000</v>
      </c>
      <c r="G32" s="61">
        <v>1646000000</v>
      </c>
      <c r="H32" s="61">
        <v>0</v>
      </c>
      <c r="I32" t="s">
        <v>16</v>
      </c>
      <c r="J32" t="s">
        <v>483</v>
      </c>
      <c r="K32" s="61">
        <v>4221000000</v>
      </c>
      <c r="L32" s="61">
        <v>2610000000</v>
      </c>
      <c r="M32" s="61">
        <v>1611000000</v>
      </c>
      <c r="N32" s="43" t="str">
        <f t="shared" si="0"/>
        <v>$0-5B</v>
      </c>
    </row>
    <row r="33" spans="1:14" x14ac:dyDescent="0.25">
      <c r="A33" t="s">
        <v>542</v>
      </c>
      <c r="B33" t="s">
        <v>11</v>
      </c>
      <c r="C33" s="51">
        <v>42552</v>
      </c>
      <c r="D33" s="61">
        <v>12994000000</v>
      </c>
      <c r="E33" s="61">
        <v>9559000000</v>
      </c>
      <c r="F33" s="61">
        <v>1342000000</v>
      </c>
      <c r="G33" s="61">
        <v>1627000000</v>
      </c>
      <c r="H33" s="61">
        <v>0</v>
      </c>
      <c r="I33" t="s">
        <v>16</v>
      </c>
      <c r="J33" t="s">
        <v>483</v>
      </c>
      <c r="K33" s="61">
        <v>3435000000</v>
      </c>
      <c r="L33" s="61">
        <v>2969000000</v>
      </c>
      <c r="M33" s="61">
        <v>466000000</v>
      </c>
      <c r="N33" s="43" t="str">
        <f t="shared" si="0"/>
        <v>$0-5B</v>
      </c>
    </row>
    <row r="34" spans="1:14" x14ac:dyDescent="0.25">
      <c r="A34" t="s">
        <v>32</v>
      </c>
      <c r="B34" t="s">
        <v>6</v>
      </c>
      <c r="C34" s="51">
        <v>41274</v>
      </c>
      <c r="D34" s="61">
        <v>3641390000</v>
      </c>
      <c r="E34" s="61">
        <v>2392091000</v>
      </c>
      <c r="F34" s="61">
        <v>108059000</v>
      </c>
      <c r="G34" s="61">
        <v>0</v>
      </c>
      <c r="H34" s="61">
        <v>166876000</v>
      </c>
      <c r="I34" t="s">
        <v>16</v>
      </c>
      <c r="J34" t="s">
        <v>33</v>
      </c>
      <c r="K34" s="61">
        <v>1249299000</v>
      </c>
      <c r="L34" s="61">
        <v>274935000</v>
      </c>
      <c r="M34" s="61">
        <v>974364000</v>
      </c>
      <c r="N34" s="43" t="str">
        <f t="shared" si="0"/>
        <v>$0-5B</v>
      </c>
    </row>
    <row r="35" spans="1:14" x14ac:dyDescent="0.25">
      <c r="A35" t="s">
        <v>32</v>
      </c>
      <c r="B35" t="s">
        <v>9</v>
      </c>
      <c r="C35" s="51">
        <v>41639</v>
      </c>
      <c r="D35" s="61">
        <v>4319063000</v>
      </c>
      <c r="E35" s="61">
        <v>2894917000</v>
      </c>
      <c r="F35" s="61">
        <v>109115000</v>
      </c>
      <c r="G35" s="61">
        <v>0</v>
      </c>
      <c r="H35" s="61">
        <v>216119000</v>
      </c>
      <c r="I35" t="s">
        <v>16</v>
      </c>
      <c r="J35" t="s">
        <v>33</v>
      </c>
      <c r="K35" s="61">
        <v>1424146000</v>
      </c>
      <c r="L35" s="61">
        <v>325234000</v>
      </c>
      <c r="M35" s="61">
        <v>1098912000</v>
      </c>
      <c r="N35" s="43" t="str">
        <f t="shared" si="0"/>
        <v>$0-5B</v>
      </c>
    </row>
    <row r="36" spans="1:14" x14ac:dyDescent="0.25">
      <c r="A36" t="s">
        <v>32</v>
      </c>
      <c r="B36" t="s">
        <v>10</v>
      </c>
      <c r="C36" s="51">
        <v>42004</v>
      </c>
      <c r="D36" s="61">
        <v>5302940000</v>
      </c>
      <c r="E36" s="61">
        <v>3643979000</v>
      </c>
      <c r="F36" s="61">
        <v>247412000</v>
      </c>
      <c r="G36" s="61">
        <v>0</v>
      </c>
      <c r="H36" s="61">
        <v>313082000</v>
      </c>
      <c r="I36" t="s">
        <v>16</v>
      </c>
      <c r="J36" t="s">
        <v>33</v>
      </c>
      <c r="K36" s="61">
        <v>1658961000</v>
      </c>
      <c r="L36" s="61">
        <v>560494000</v>
      </c>
      <c r="M36" s="61">
        <v>1098467000</v>
      </c>
      <c r="N36" s="43" t="str">
        <f t="shared" si="0"/>
        <v>$0-5B</v>
      </c>
    </row>
    <row r="37" spans="1:14" x14ac:dyDescent="0.25">
      <c r="A37" t="s">
        <v>32</v>
      </c>
      <c r="B37" t="s">
        <v>11</v>
      </c>
      <c r="C37" s="51">
        <v>42369</v>
      </c>
      <c r="D37" s="61">
        <v>6439746000</v>
      </c>
      <c r="E37" s="61">
        <v>4482700000</v>
      </c>
      <c r="F37" s="61">
        <v>203046000</v>
      </c>
      <c r="G37" s="61">
        <v>0</v>
      </c>
      <c r="H37" s="61">
        <v>492140000</v>
      </c>
      <c r="I37" t="s">
        <v>16</v>
      </c>
      <c r="J37" t="s">
        <v>33</v>
      </c>
      <c r="K37" s="61">
        <v>1957046000</v>
      </c>
      <c r="L37" s="61">
        <v>695186000</v>
      </c>
      <c r="M37" s="61">
        <v>1261860000</v>
      </c>
      <c r="N37" s="43" t="str">
        <f t="shared" si="0"/>
        <v>$0-5B</v>
      </c>
    </row>
    <row r="38" spans="1:14" x14ac:dyDescent="0.25">
      <c r="A38" t="s">
        <v>269</v>
      </c>
      <c r="B38" t="s">
        <v>6</v>
      </c>
      <c r="C38" s="51">
        <v>41425</v>
      </c>
      <c r="D38" s="61">
        <v>2375923000</v>
      </c>
      <c r="E38" s="61">
        <v>862075000</v>
      </c>
      <c r="F38" s="61">
        <v>1156635000</v>
      </c>
      <c r="G38" s="61">
        <v>0</v>
      </c>
      <c r="H38" s="61">
        <v>0</v>
      </c>
      <c r="I38" t="s">
        <v>16</v>
      </c>
      <c r="J38" t="s">
        <v>33</v>
      </c>
      <c r="K38" s="61">
        <v>1513848000</v>
      </c>
      <c r="L38" s="61">
        <v>1156635000</v>
      </c>
      <c r="M38" s="61">
        <v>357213000</v>
      </c>
      <c r="N38" s="43" t="str">
        <f t="shared" si="0"/>
        <v>$0-5B</v>
      </c>
    </row>
    <row r="39" spans="1:14" x14ac:dyDescent="0.25">
      <c r="A39" t="s">
        <v>269</v>
      </c>
      <c r="B39" t="s">
        <v>9</v>
      </c>
      <c r="C39" s="51">
        <v>41790</v>
      </c>
      <c r="D39" s="61">
        <v>2554236000</v>
      </c>
      <c r="E39" s="61">
        <v>952225000</v>
      </c>
      <c r="F39" s="61">
        <v>1196512000</v>
      </c>
      <c r="G39" s="61">
        <v>0</v>
      </c>
      <c r="H39" s="61">
        <v>0</v>
      </c>
      <c r="I39" t="s">
        <v>16</v>
      </c>
      <c r="J39" t="s">
        <v>33</v>
      </c>
      <c r="K39" s="61">
        <v>1602011000</v>
      </c>
      <c r="L39" s="61">
        <v>1196512000</v>
      </c>
      <c r="M39" s="61">
        <v>405499000</v>
      </c>
      <c r="N39" s="43" t="str">
        <f t="shared" si="0"/>
        <v>$0-5B</v>
      </c>
    </row>
    <row r="40" spans="1:14" x14ac:dyDescent="0.25">
      <c r="A40" t="s">
        <v>269</v>
      </c>
      <c r="B40" t="s">
        <v>10</v>
      </c>
      <c r="C40" s="51">
        <v>42155</v>
      </c>
      <c r="D40" s="61">
        <v>2773718000</v>
      </c>
      <c r="E40" s="61">
        <v>1022107000</v>
      </c>
      <c r="F40" s="61">
        <v>1295014000</v>
      </c>
      <c r="G40" s="61">
        <v>0</v>
      </c>
      <c r="H40" s="61">
        <v>0</v>
      </c>
      <c r="I40" t="s">
        <v>16</v>
      </c>
      <c r="J40" t="s">
        <v>33</v>
      </c>
      <c r="K40" s="61">
        <v>1751611000</v>
      </c>
      <c r="L40" s="61">
        <v>1295014000</v>
      </c>
      <c r="M40" s="61">
        <v>456597000</v>
      </c>
      <c r="N40" s="43" t="str">
        <f t="shared" si="0"/>
        <v>$0-5B</v>
      </c>
    </row>
    <row r="41" spans="1:14" x14ac:dyDescent="0.25">
      <c r="A41" t="s">
        <v>269</v>
      </c>
      <c r="B41" t="s">
        <v>11</v>
      </c>
      <c r="C41" s="51">
        <v>42521</v>
      </c>
      <c r="D41" s="61">
        <v>2898150000</v>
      </c>
      <c r="E41" s="61">
        <v>1147639000</v>
      </c>
      <c r="F41" s="61">
        <v>1325567000</v>
      </c>
      <c r="G41" s="61">
        <v>0</v>
      </c>
      <c r="H41" s="61">
        <v>0</v>
      </c>
      <c r="I41" t="s">
        <v>16</v>
      </c>
      <c r="J41" t="s">
        <v>33</v>
      </c>
      <c r="K41" s="61">
        <v>1750511000</v>
      </c>
      <c r="L41" s="61">
        <v>1325567000</v>
      </c>
      <c r="M41" s="61">
        <v>424944000</v>
      </c>
      <c r="N41" s="43" t="str">
        <f t="shared" si="0"/>
        <v>$0-5B</v>
      </c>
    </row>
    <row r="42" spans="1:14" x14ac:dyDescent="0.25">
      <c r="A42" t="s">
        <v>82</v>
      </c>
      <c r="B42" t="s">
        <v>6</v>
      </c>
      <c r="C42" s="51">
        <v>41274</v>
      </c>
      <c r="D42" s="61">
        <v>4292100000</v>
      </c>
      <c r="E42" s="61">
        <v>2948900000</v>
      </c>
      <c r="F42" s="61">
        <v>512900000</v>
      </c>
      <c r="G42" s="61">
        <v>0</v>
      </c>
      <c r="H42" s="61">
        <v>0</v>
      </c>
      <c r="I42" t="s">
        <v>16</v>
      </c>
      <c r="J42" t="s">
        <v>83</v>
      </c>
      <c r="K42" s="61">
        <v>1343200000</v>
      </c>
      <c r="L42" s="61">
        <v>512900000</v>
      </c>
      <c r="M42" s="61">
        <v>830300000</v>
      </c>
      <c r="N42" s="43" t="str">
        <f t="shared" si="0"/>
        <v>$0-5B</v>
      </c>
    </row>
    <row r="43" spans="1:14" x14ac:dyDescent="0.25">
      <c r="A43" t="s">
        <v>82</v>
      </c>
      <c r="B43" t="s">
        <v>9</v>
      </c>
      <c r="C43" s="51">
        <v>41639</v>
      </c>
      <c r="D43" s="61">
        <v>4614700000</v>
      </c>
      <c r="E43" s="61">
        <v>3163900000</v>
      </c>
      <c r="F43" s="61">
        <v>548000000</v>
      </c>
      <c r="G43" s="61">
        <v>0</v>
      </c>
      <c r="H43" s="61">
        <v>0</v>
      </c>
      <c r="I43" t="s">
        <v>16</v>
      </c>
      <c r="J43" t="s">
        <v>83</v>
      </c>
      <c r="K43" s="61">
        <v>1450800000</v>
      </c>
      <c r="L43" s="61">
        <v>548000000</v>
      </c>
      <c r="M43" s="61">
        <v>902800000</v>
      </c>
      <c r="N43" s="43" t="str">
        <f t="shared" si="0"/>
        <v>$0-5B</v>
      </c>
    </row>
    <row r="44" spans="1:14" x14ac:dyDescent="0.25">
      <c r="A44" t="s">
        <v>82</v>
      </c>
      <c r="B44" t="s">
        <v>10</v>
      </c>
      <c r="C44" s="51">
        <v>42004</v>
      </c>
      <c r="D44" s="61">
        <v>5345500000</v>
      </c>
      <c r="E44" s="61">
        <v>3651700000</v>
      </c>
      <c r="F44" s="61">
        <v>645100000</v>
      </c>
      <c r="G44" s="61">
        <v>0</v>
      </c>
      <c r="H44" s="61">
        <v>0</v>
      </c>
      <c r="I44" t="s">
        <v>16</v>
      </c>
      <c r="J44" t="s">
        <v>83</v>
      </c>
      <c r="K44" s="61">
        <v>1693800000</v>
      </c>
      <c r="L44" s="61">
        <v>645100000</v>
      </c>
      <c r="M44" s="61">
        <v>1048700000</v>
      </c>
      <c r="N44" s="43" t="str">
        <f t="shared" si="0"/>
        <v>$0-5B</v>
      </c>
    </row>
    <row r="45" spans="1:14" x14ac:dyDescent="0.25">
      <c r="A45" t="s">
        <v>82</v>
      </c>
      <c r="B45" t="s">
        <v>11</v>
      </c>
      <c r="C45" s="51">
        <v>42369</v>
      </c>
      <c r="D45" s="61">
        <v>5568700000</v>
      </c>
      <c r="E45" s="61">
        <v>3789200000</v>
      </c>
      <c r="F45" s="61">
        <v>669100000</v>
      </c>
      <c r="G45" s="61">
        <v>0</v>
      </c>
      <c r="H45" s="61">
        <v>0</v>
      </c>
      <c r="I45" t="s">
        <v>16</v>
      </c>
      <c r="J45" t="s">
        <v>83</v>
      </c>
      <c r="K45" s="61">
        <v>1779500000</v>
      </c>
      <c r="L45" s="61">
        <v>669100000</v>
      </c>
      <c r="M45" s="61">
        <v>1110400000</v>
      </c>
      <c r="N45" s="43" t="str">
        <f t="shared" si="0"/>
        <v>$0-5B</v>
      </c>
    </row>
    <row r="46" spans="1:14" x14ac:dyDescent="0.25">
      <c r="A46" t="s">
        <v>266</v>
      </c>
      <c r="B46" t="s">
        <v>6</v>
      </c>
      <c r="C46" s="51">
        <v>41639</v>
      </c>
      <c r="D46" s="61">
        <v>7819000000</v>
      </c>
      <c r="E46" s="61">
        <v>4495000000</v>
      </c>
      <c r="F46" s="61">
        <v>1126000000</v>
      </c>
      <c r="G46" s="61">
        <v>710000000</v>
      </c>
      <c r="H46" s="61">
        <v>31000000</v>
      </c>
      <c r="I46" t="s">
        <v>16</v>
      </c>
      <c r="J46" t="s">
        <v>83</v>
      </c>
      <c r="K46" s="61">
        <v>3324000000</v>
      </c>
      <c r="L46" s="61">
        <v>1867000000</v>
      </c>
      <c r="M46" s="61">
        <v>1457000000</v>
      </c>
      <c r="N46" s="43" t="str">
        <f t="shared" si="0"/>
        <v>$0-5B</v>
      </c>
    </row>
    <row r="47" spans="1:14" x14ac:dyDescent="0.25">
      <c r="A47" t="s">
        <v>266</v>
      </c>
      <c r="B47" t="s">
        <v>9</v>
      </c>
      <c r="C47" s="51">
        <v>42004</v>
      </c>
      <c r="D47" s="61">
        <v>9715000000</v>
      </c>
      <c r="E47" s="61">
        <v>5663000000</v>
      </c>
      <c r="F47" s="61">
        <v>1202000000</v>
      </c>
      <c r="G47" s="61">
        <v>815000000</v>
      </c>
      <c r="H47" s="61">
        <v>33000000</v>
      </c>
      <c r="I47" t="s">
        <v>16</v>
      </c>
      <c r="J47" t="s">
        <v>83</v>
      </c>
      <c r="K47" s="61">
        <v>4052000000</v>
      </c>
      <c r="L47" s="61">
        <v>2050000000</v>
      </c>
      <c r="M47" s="61">
        <v>2002000000</v>
      </c>
      <c r="N47" s="43" t="str">
        <f t="shared" si="0"/>
        <v>$0-5B</v>
      </c>
    </row>
    <row r="48" spans="1:14" x14ac:dyDescent="0.25">
      <c r="A48" t="s">
        <v>266</v>
      </c>
      <c r="B48" t="s">
        <v>10</v>
      </c>
      <c r="C48" s="51">
        <v>42369</v>
      </c>
      <c r="D48" s="61">
        <v>9111000000</v>
      </c>
      <c r="E48" s="61">
        <v>5458000000</v>
      </c>
      <c r="F48" s="61">
        <v>1508000000</v>
      </c>
      <c r="G48" s="61">
        <v>769000000</v>
      </c>
      <c r="H48" s="61">
        <v>54000000</v>
      </c>
      <c r="I48" t="s">
        <v>16</v>
      </c>
      <c r="J48" t="s">
        <v>83</v>
      </c>
      <c r="K48" s="61">
        <v>3653000000</v>
      </c>
      <c r="L48" s="61">
        <v>2331000000</v>
      </c>
      <c r="M48" s="61">
        <v>1322000000</v>
      </c>
      <c r="N48" s="43" t="str">
        <f t="shared" si="0"/>
        <v>$0-5B</v>
      </c>
    </row>
    <row r="49" spans="1:14" x14ac:dyDescent="0.25">
      <c r="A49" t="s">
        <v>266</v>
      </c>
      <c r="B49" t="s">
        <v>11</v>
      </c>
      <c r="C49" s="51">
        <v>42735</v>
      </c>
      <c r="D49" s="61">
        <v>9390000000</v>
      </c>
      <c r="E49" s="61">
        <v>5644000000</v>
      </c>
      <c r="F49" s="61">
        <v>1472000000</v>
      </c>
      <c r="G49" s="61">
        <v>742000000</v>
      </c>
      <c r="H49" s="61">
        <v>64000000</v>
      </c>
      <c r="I49" t="s">
        <v>16</v>
      </c>
      <c r="J49" t="s">
        <v>83</v>
      </c>
      <c r="K49" s="61">
        <v>3746000000</v>
      </c>
      <c r="L49" s="61">
        <v>2278000000</v>
      </c>
      <c r="M49" s="61">
        <v>1468000000</v>
      </c>
      <c r="N49" s="43" t="str">
        <f t="shared" si="0"/>
        <v>$0-5B</v>
      </c>
    </row>
    <row r="50" spans="1:14" x14ac:dyDescent="0.25">
      <c r="A50" t="s">
        <v>252</v>
      </c>
      <c r="B50" t="s">
        <v>6</v>
      </c>
      <c r="C50" s="51">
        <v>41274</v>
      </c>
      <c r="D50" s="61">
        <v>1405358000</v>
      </c>
      <c r="E50" s="61">
        <v>670174000</v>
      </c>
      <c r="F50" s="61">
        <v>292500000</v>
      </c>
      <c r="G50" s="61">
        <v>137354000</v>
      </c>
      <c r="H50" s="61">
        <v>0</v>
      </c>
      <c r="I50" t="s">
        <v>16</v>
      </c>
      <c r="J50" t="s">
        <v>253</v>
      </c>
      <c r="K50" s="61">
        <v>735184000</v>
      </c>
      <c r="L50" s="61">
        <v>429854000</v>
      </c>
      <c r="M50" s="61">
        <v>305330000</v>
      </c>
      <c r="N50" s="43" t="str">
        <f t="shared" si="0"/>
        <v>$0-5B</v>
      </c>
    </row>
    <row r="51" spans="1:14" x14ac:dyDescent="0.25">
      <c r="A51" t="s">
        <v>252</v>
      </c>
      <c r="B51" t="s">
        <v>9</v>
      </c>
      <c r="C51" s="51">
        <v>41639</v>
      </c>
      <c r="D51" s="61">
        <v>1496372000</v>
      </c>
      <c r="E51" s="61">
        <v>759362000</v>
      </c>
      <c r="F51" s="61">
        <v>322739000</v>
      </c>
      <c r="G51" s="61">
        <v>147696000</v>
      </c>
      <c r="H51" s="61">
        <v>0</v>
      </c>
      <c r="I51" t="s">
        <v>16</v>
      </c>
      <c r="J51" t="s">
        <v>253</v>
      </c>
      <c r="K51" s="61">
        <v>737010000</v>
      </c>
      <c r="L51" s="61">
        <v>470435000</v>
      </c>
      <c r="M51" s="61">
        <v>266575000</v>
      </c>
      <c r="N51" s="43" t="str">
        <f t="shared" si="0"/>
        <v>$0-5B</v>
      </c>
    </row>
    <row r="52" spans="1:14" x14ac:dyDescent="0.25">
      <c r="A52" t="s">
        <v>252</v>
      </c>
      <c r="B52" t="s">
        <v>10</v>
      </c>
      <c r="C52" s="51">
        <v>42004</v>
      </c>
      <c r="D52" s="61">
        <v>1530654000</v>
      </c>
      <c r="E52" s="61">
        <v>780281000</v>
      </c>
      <c r="F52" s="61">
        <v>331995000</v>
      </c>
      <c r="G52" s="61">
        <v>142751000</v>
      </c>
      <c r="H52" s="61">
        <v>0</v>
      </c>
      <c r="I52" t="s">
        <v>16</v>
      </c>
      <c r="J52" t="s">
        <v>253</v>
      </c>
      <c r="K52" s="61">
        <v>750373000</v>
      </c>
      <c r="L52" s="61">
        <v>474746000</v>
      </c>
      <c r="M52" s="61">
        <v>275627000</v>
      </c>
      <c r="N52" s="43" t="str">
        <f t="shared" si="0"/>
        <v>$0-5B</v>
      </c>
    </row>
    <row r="53" spans="1:14" x14ac:dyDescent="0.25">
      <c r="A53" t="s">
        <v>252</v>
      </c>
      <c r="B53" t="s">
        <v>11</v>
      </c>
      <c r="C53" s="51">
        <v>42369</v>
      </c>
      <c r="D53" s="61">
        <v>1557067000</v>
      </c>
      <c r="E53" s="61">
        <v>803506000</v>
      </c>
      <c r="F53" s="61">
        <v>313544000</v>
      </c>
      <c r="G53" s="61">
        <v>132892000</v>
      </c>
      <c r="H53" s="61">
        <v>0</v>
      </c>
      <c r="I53" t="s">
        <v>16</v>
      </c>
      <c r="J53" t="s">
        <v>253</v>
      </c>
      <c r="K53" s="61">
        <v>753561000</v>
      </c>
      <c r="L53" s="61">
        <v>446436000</v>
      </c>
      <c r="M53" s="61">
        <v>307125000</v>
      </c>
      <c r="N53" s="43" t="str">
        <f t="shared" si="0"/>
        <v>$0-5B</v>
      </c>
    </row>
    <row r="54" spans="1:14" x14ac:dyDescent="0.25">
      <c r="A54" t="s">
        <v>499</v>
      </c>
      <c r="B54" t="s">
        <v>6</v>
      </c>
      <c r="C54" s="51">
        <v>41544</v>
      </c>
      <c r="D54" s="61">
        <v>11390000000</v>
      </c>
      <c r="E54" s="61">
        <v>7739000000</v>
      </c>
      <c r="F54" s="61">
        <v>1440000000</v>
      </c>
      <c r="G54" s="61">
        <v>590000000</v>
      </c>
      <c r="H54" s="61">
        <v>0</v>
      </c>
      <c r="I54" t="s">
        <v>16</v>
      </c>
      <c r="J54" t="s">
        <v>500</v>
      </c>
      <c r="K54" s="61">
        <v>3651000000</v>
      </c>
      <c r="L54" s="61">
        <v>2030000000</v>
      </c>
      <c r="M54" s="61">
        <v>1621000000</v>
      </c>
      <c r="N54" s="43" t="str">
        <f t="shared" si="0"/>
        <v>$0-5B</v>
      </c>
    </row>
    <row r="55" spans="1:14" x14ac:dyDescent="0.25">
      <c r="A55" t="s">
        <v>499</v>
      </c>
      <c r="B55" t="s">
        <v>9</v>
      </c>
      <c r="C55" s="51">
        <v>41908</v>
      </c>
      <c r="D55" s="61">
        <v>11973000000</v>
      </c>
      <c r="E55" s="61">
        <v>8001000000</v>
      </c>
      <c r="F55" s="61">
        <v>1534000000</v>
      </c>
      <c r="G55" s="61">
        <v>583000000</v>
      </c>
      <c r="H55" s="61">
        <v>0</v>
      </c>
      <c r="I55" t="s">
        <v>16</v>
      </c>
      <c r="J55" t="s">
        <v>500</v>
      </c>
      <c r="K55" s="61">
        <v>3972000000</v>
      </c>
      <c r="L55" s="61">
        <v>2117000000</v>
      </c>
      <c r="M55" s="61">
        <v>1855000000</v>
      </c>
      <c r="N55" s="43" t="str">
        <f t="shared" si="0"/>
        <v>$0-5B</v>
      </c>
    </row>
    <row r="56" spans="1:14" x14ac:dyDescent="0.25">
      <c r="A56" t="s">
        <v>499</v>
      </c>
      <c r="B56" t="s">
        <v>10</v>
      </c>
      <c r="C56" s="51">
        <v>42272</v>
      </c>
      <c r="D56" s="61">
        <v>12233000000</v>
      </c>
      <c r="E56" s="61">
        <v>8146000000</v>
      </c>
      <c r="F56" s="61">
        <v>1504000000</v>
      </c>
      <c r="G56" s="61">
        <v>627000000</v>
      </c>
      <c r="H56" s="61">
        <v>0</v>
      </c>
      <c r="I56" t="s">
        <v>16</v>
      </c>
      <c r="J56" t="s">
        <v>500</v>
      </c>
      <c r="K56" s="61">
        <v>4087000000</v>
      </c>
      <c r="L56" s="61">
        <v>2131000000</v>
      </c>
      <c r="M56" s="61">
        <v>1956000000</v>
      </c>
      <c r="N56" s="43" t="str">
        <f t="shared" si="0"/>
        <v>$0-5B</v>
      </c>
    </row>
    <row r="57" spans="1:14" x14ac:dyDescent="0.25">
      <c r="A57" t="s">
        <v>499</v>
      </c>
      <c r="B57" t="s">
        <v>11</v>
      </c>
      <c r="C57" s="51">
        <v>42643</v>
      </c>
      <c r="D57" s="61">
        <v>12238000000</v>
      </c>
      <c r="E57" s="61">
        <v>8205000000</v>
      </c>
      <c r="F57" s="61">
        <v>1463000000</v>
      </c>
      <c r="G57" s="61">
        <v>644000000</v>
      </c>
      <c r="H57" s="61">
        <v>0</v>
      </c>
      <c r="I57" t="s">
        <v>16</v>
      </c>
      <c r="J57" t="s">
        <v>500</v>
      </c>
      <c r="K57" s="61">
        <v>4033000000</v>
      </c>
      <c r="L57" s="61">
        <v>2107000000</v>
      </c>
      <c r="M57" s="61">
        <v>1926000000</v>
      </c>
      <c r="N57" s="43" t="str">
        <f t="shared" si="0"/>
        <v>$0-5B</v>
      </c>
    </row>
    <row r="58" spans="1:14" x14ac:dyDescent="0.25">
      <c r="A58" t="s">
        <v>86</v>
      </c>
      <c r="B58" t="s">
        <v>6</v>
      </c>
      <c r="C58" s="51">
        <v>41274</v>
      </c>
      <c r="D58" s="61">
        <v>4856000000</v>
      </c>
      <c r="E58" s="61">
        <v>1662000000</v>
      </c>
      <c r="F58" s="61">
        <v>1139000000</v>
      </c>
      <c r="G58" s="61">
        <v>604000000</v>
      </c>
      <c r="H58" s="61">
        <v>0</v>
      </c>
      <c r="I58" t="s">
        <v>16</v>
      </c>
      <c r="J58" t="s">
        <v>87</v>
      </c>
      <c r="K58" s="61">
        <v>3194000000</v>
      </c>
      <c r="L58" s="61">
        <v>1743000000</v>
      </c>
      <c r="M58" s="61">
        <v>1451000000</v>
      </c>
      <c r="N58" s="43" t="str">
        <f t="shared" si="0"/>
        <v>$0-5B</v>
      </c>
    </row>
    <row r="59" spans="1:14" x14ac:dyDescent="0.25">
      <c r="A59" t="s">
        <v>86</v>
      </c>
      <c r="B59" t="s">
        <v>9</v>
      </c>
      <c r="C59" s="51">
        <v>41639</v>
      </c>
      <c r="D59" s="61">
        <v>4583000000</v>
      </c>
      <c r="E59" s="61">
        <v>1531000000</v>
      </c>
      <c r="F59" s="61">
        <v>1096000000</v>
      </c>
      <c r="G59" s="61">
        <v>584000000</v>
      </c>
      <c r="H59" s="61">
        <v>0</v>
      </c>
      <c r="I59" t="s">
        <v>16</v>
      </c>
      <c r="J59" t="s">
        <v>87</v>
      </c>
      <c r="K59" s="61">
        <v>3052000000</v>
      </c>
      <c r="L59" s="61">
        <v>1680000000</v>
      </c>
      <c r="M59" s="61">
        <v>1372000000</v>
      </c>
      <c r="N59" s="43" t="str">
        <f t="shared" si="0"/>
        <v>$0-5B</v>
      </c>
    </row>
    <row r="60" spans="1:14" x14ac:dyDescent="0.25">
      <c r="A60" t="s">
        <v>86</v>
      </c>
      <c r="B60" t="s">
        <v>10</v>
      </c>
      <c r="C60" s="51">
        <v>42004</v>
      </c>
      <c r="D60" s="61">
        <v>4408000000</v>
      </c>
      <c r="E60" s="61">
        <v>1525000000</v>
      </c>
      <c r="F60" s="61">
        <v>1129000000</v>
      </c>
      <c r="G60" s="61">
        <v>571000000</v>
      </c>
      <c r="H60" s="61">
        <v>0</v>
      </c>
      <c r="I60" t="s">
        <v>16</v>
      </c>
      <c r="J60" t="s">
        <v>87</v>
      </c>
      <c r="K60" s="61">
        <v>2883000000</v>
      </c>
      <c r="L60" s="61">
        <v>1700000000</v>
      </c>
      <c r="M60" s="61">
        <v>1183000000</v>
      </c>
      <c r="N60" s="43" t="str">
        <f t="shared" si="0"/>
        <v>$0-5B</v>
      </c>
    </row>
    <row r="61" spans="1:14" x14ac:dyDescent="0.25">
      <c r="A61" t="s">
        <v>86</v>
      </c>
      <c r="B61" t="s">
        <v>11</v>
      </c>
      <c r="C61" s="51">
        <v>42369</v>
      </c>
      <c r="D61" s="61">
        <v>4664000000</v>
      </c>
      <c r="E61" s="61">
        <v>1585000000</v>
      </c>
      <c r="F61" s="61">
        <v>1114000000</v>
      </c>
      <c r="G61" s="61">
        <v>646000000</v>
      </c>
      <c r="H61" s="61">
        <v>0</v>
      </c>
      <c r="I61" t="s">
        <v>16</v>
      </c>
      <c r="J61" t="s">
        <v>87</v>
      </c>
      <c r="K61" s="61">
        <v>3079000000</v>
      </c>
      <c r="L61" s="61">
        <v>1760000000</v>
      </c>
      <c r="M61" s="61">
        <v>1319000000</v>
      </c>
      <c r="N61" s="43" t="str">
        <f t="shared" si="0"/>
        <v>$0-5B</v>
      </c>
    </row>
    <row r="62" spans="1:14" x14ac:dyDescent="0.25">
      <c r="A62" t="s">
        <v>213</v>
      </c>
      <c r="B62" t="s">
        <v>6</v>
      </c>
      <c r="C62" s="51">
        <v>41364</v>
      </c>
      <c r="D62" s="61">
        <v>3797000000</v>
      </c>
      <c r="E62" s="61">
        <v>1388000000</v>
      </c>
      <c r="F62" s="61">
        <v>1078000000</v>
      </c>
      <c r="G62" s="61">
        <v>1153000000</v>
      </c>
      <c r="H62" s="61">
        <v>30000000</v>
      </c>
      <c r="I62" t="s">
        <v>16</v>
      </c>
      <c r="J62" t="s">
        <v>87</v>
      </c>
      <c r="K62" s="61">
        <v>2409000000</v>
      </c>
      <c r="L62" s="61">
        <v>2261000000</v>
      </c>
      <c r="M62" s="61">
        <v>148000000</v>
      </c>
      <c r="N62" s="43" t="str">
        <f t="shared" si="0"/>
        <v>$0-5B</v>
      </c>
    </row>
    <row r="63" spans="1:14" x14ac:dyDescent="0.25">
      <c r="A63" t="s">
        <v>213</v>
      </c>
      <c r="B63" t="s">
        <v>9</v>
      </c>
      <c r="C63" s="51">
        <v>41729</v>
      </c>
      <c r="D63" s="61">
        <v>3575000000</v>
      </c>
      <c r="E63" s="61">
        <v>1347000000</v>
      </c>
      <c r="F63" s="61">
        <v>1055000000</v>
      </c>
      <c r="G63" s="61">
        <v>1125000000</v>
      </c>
      <c r="H63" s="61">
        <v>16000000</v>
      </c>
      <c r="I63" t="s">
        <v>16</v>
      </c>
      <c r="J63" t="s">
        <v>87</v>
      </c>
      <c r="K63" s="61">
        <v>2228000000</v>
      </c>
      <c r="L63" s="61">
        <v>2196000000</v>
      </c>
      <c r="M63" s="61">
        <v>32000000</v>
      </c>
      <c r="N63" s="43" t="str">
        <f t="shared" si="0"/>
        <v>$0-5B</v>
      </c>
    </row>
    <row r="64" spans="1:14" x14ac:dyDescent="0.25">
      <c r="A64" t="s">
        <v>213</v>
      </c>
      <c r="B64" t="s">
        <v>10</v>
      </c>
      <c r="C64" s="51">
        <v>42094</v>
      </c>
      <c r="D64" s="61">
        <v>4515000000</v>
      </c>
      <c r="E64" s="61">
        <v>1429000000</v>
      </c>
      <c r="F64" s="61">
        <v>1030000000</v>
      </c>
      <c r="G64" s="61">
        <v>1094000000</v>
      </c>
      <c r="H64" s="61">
        <v>14000000</v>
      </c>
      <c r="I64" t="s">
        <v>16</v>
      </c>
      <c r="J64" t="s">
        <v>87</v>
      </c>
      <c r="K64" s="61">
        <v>3086000000</v>
      </c>
      <c r="L64" s="61">
        <v>2138000000</v>
      </c>
      <c r="M64" s="61">
        <v>948000000</v>
      </c>
      <c r="N64" s="43" t="str">
        <f t="shared" si="0"/>
        <v>$0-5B</v>
      </c>
    </row>
    <row r="65" spans="1:14" x14ac:dyDescent="0.25">
      <c r="A65" t="s">
        <v>213</v>
      </c>
      <c r="B65" t="s">
        <v>11</v>
      </c>
      <c r="C65" s="51">
        <v>42460</v>
      </c>
      <c r="D65" s="61">
        <v>4396000000</v>
      </c>
      <c r="E65" s="61">
        <v>1354000000</v>
      </c>
      <c r="F65" s="61">
        <v>1028000000</v>
      </c>
      <c r="G65" s="61">
        <v>1109000000</v>
      </c>
      <c r="H65" s="61">
        <v>7000000</v>
      </c>
      <c r="I65" t="s">
        <v>16</v>
      </c>
      <c r="J65" t="s">
        <v>87</v>
      </c>
      <c r="K65" s="61">
        <v>3042000000</v>
      </c>
      <c r="L65" s="61">
        <v>2144000000</v>
      </c>
      <c r="M65" s="61">
        <v>898000000</v>
      </c>
      <c r="N65" s="43" t="str">
        <f t="shared" si="0"/>
        <v>$0-5B</v>
      </c>
    </row>
    <row r="66" spans="1:14" x14ac:dyDescent="0.25">
      <c r="A66" t="s">
        <v>50</v>
      </c>
      <c r="B66" t="s">
        <v>6</v>
      </c>
      <c r="C66" s="51">
        <v>41274</v>
      </c>
      <c r="D66" s="61">
        <v>1373947000</v>
      </c>
      <c r="E66" s="61">
        <v>529900000</v>
      </c>
      <c r="F66" s="61">
        <v>433448000</v>
      </c>
      <c r="G66" s="61">
        <v>74744000</v>
      </c>
      <c r="H66" s="61">
        <v>20962000</v>
      </c>
      <c r="I66" t="s">
        <v>16</v>
      </c>
      <c r="J66" t="s">
        <v>51</v>
      </c>
      <c r="K66" s="61">
        <v>844047000</v>
      </c>
      <c r="L66" s="61">
        <v>529154000</v>
      </c>
      <c r="M66" s="61">
        <v>314893000</v>
      </c>
      <c r="N66" s="43" t="str">
        <f t="shared" ref="N66:N129" si="1">"$" &amp; FLOOR(L66,5000000000)/1000000000 &amp; "-" &amp; FLOOR((L66+5000000000),5000000000)/1000000000 &amp; "B"</f>
        <v>$0-5B</v>
      </c>
    </row>
    <row r="67" spans="1:14" x14ac:dyDescent="0.25">
      <c r="A67" t="s">
        <v>50</v>
      </c>
      <c r="B67" t="s">
        <v>9</v>
      </c>
      <c r="C67" s="51">
        <v>41639</v>
      </c>
      <c r="D67" s="61">
        <v>1577922000</v>
      </c>
      <c r="E67" s="61">
        <v>511087000</v>
      </c>
      <c r="F67" s="61">
        <v>535598000</v>
      </c>
      <c r="G67" s="61">
        <v>93879000</v>
      </c>
      <c r="H67" s="61">
        <v>21547000</v>
      </c>
      <c r="I67" t="s">
        <v>16</v>
      </c>
      <c r="J67" t="s">
        <v>51</v>
      </c>
      <c r="K67" s="61">
        <v>1066835000</v>
      </c>
      <c r="L67" s="61">
        <v>651024000</v>
      </c>
      <c r="M67" s="61">
        <v>415811000</v>
      </c>
      <c r="N67" s="43" t="str">
        <f t="shared" si="1"/>
        <v>$0-5B</v>
      </c>
    </row>
    <row r="68" spans="1:14" x14ac:dyDescent="0.25">
      <c r="A68" t="s">
        <v>50</v>
      </c>
      <c r="B68" t="s">
        <v>10</v>
      </c>
      <c r="C68" s="51">
        <v>42004</v>
      </c>
      <c r="D68" s="61">
        <v>1963874000</v>
      </c>
      <c r="E68" s="61">
        <v>610943000</v>
      </c>
      <c r="F68" s="61">
        <v>704880000</v>
      </c>
      <c r="G68" s="61">
        <v>125286000</v>
      </c>
      <c r="H68" s="61">
        <v>32057000</v>
      </c>
      <c r="I68" t="s">
        <v>16</v>
      </c>
      <c r="J68" t="s">
        <v>51</v>
      </c>
      <c r="K68" s="61">
        <v>1352931000</v>
      </c>
      <c r="L68" s="61">
        <v>862223000</v>
      </c>
      <c r="M68" s="61">
        <v>490708000</v>
      </c>
      <c r="N68" s="43" t="str">
        <f t="shared" si="1"/>
        <v>$0-5B</v>
      </c>
    </row>
    <row r="69" spans="1:14" x14ac:dyDescent="0.25">
      <c r="A69" t="s">
        <v>50</v>
      </c>
      <c r="B69" t="s">
        <v>11</v>
      </c>
      <c r="C69" s="51">
        <v>42369</v>
      </c>
      <c r="D69" s="61">
        <v>2197448000</v>
      </c>
      <c r="E69" s="61">
        <v>725620000</v>
      </c>
      <c r="F69" s="61">
        <v>829253000</v>
      </c>
      <c r="G69" s="61">
        <v>148591000</v>
      </c>
      <c r="H69" s="61">
        <v>27067000</v>
      </c>
      <c r="I69" t="s">
        <v>16</v>
      </c>
      <c r="J69" t="s">
        <v>51</v>
      </c>
      <c r="K69" s="61">
        <v>1471828000</v>
      </c>
      <c r="L69" s="61">
        <v>1004911000</v>
      </c>
      <c r="M69" s="61">
        <v>466917000</v>
      </c>
      <c r="N69" s="43" t="str">
        <f t="shared" si="1"/>
        <v>$0-5B</v>
      </c>
    </row>
    <row r="70" spans="1:14" x14ac:dyDescent="0.25">
      <c r="A70" t="s">
        <v>166</v>
      </c>
      <c r="B70" t="s">
        <v>6</v>
      </c>
      <c r="C70" s="51">
        <v>41305</v>
      </c>
      <c r="D70" s="61">
        <v>3050195000</v>
      </c>
      <c r="E70" s="61">
        <v>683579000</v>
      </c>
      <c r="F70" s="61">
        <v>2047847000</v>
      </c>
      <c r="G70" s="61">
        <v>429479000</v>
      </c>
      <c r="H70" s="61">
        <v>0</v>
      </c>
      <c r="I70" t="s">
        <v>16</v>
      </c>
      <c r="J70" t="s">
        <v>51</v>
      </c>
      <c r="K70" s="61">
        <v>2366616000</v>
      </c>
      <c r="L70" s="61">
        <v>2477326000</v>
      </c>
      <c r="M70" s="61">
        <v>-110710000</v>
      </c>
      <c r="N70" s="43" t="str">
        <f t="shared" si="1"/>
        <v>$0-5B</v>
      </c>
    </row>
    <row r="71" spans="1:14" x14ac:dyDescent="0.25">
      <c r="A71" t="s">
        <v>166</v>
      </c>
      <c r="B71" t="s">
        <v>9</v>
      </c>
      <c r="C71" s="51">
        <v>41670</v>
      </c>
      <c r="D71" s="61">
        <v>4071003000</v>
      </c>
      <c r="E71" s="61">
        <v>968428000</v>
      </c>
      <c r="F71" s="61">
        <v>2764851000</v>
      </c>
      <c r="G71" s="61">
        <v>623798000</v>
      </c>
      <c r="H71" s="61">
        <v>0</v>
      </c>
      <c r="I71" t="s">
        <v>16</v>
      </c>
      <c r="J71" t="s">
        <v>51</v>
      </c>
      <c r="K71" s="61">
        <v>3102575000</v>
      </c>
      <c r="L71" s="61">
        <v>3388649000</v>
      </c>
      <c r="M71" s="61">
        <v>-286074000</v>
      </c>
      <c r="N71" s="43" t="str">
        <f t="shared" si="1"/>
        <v>$0-5B</v>
      </c>
    </row>
    <row r="72" spans="1:14" x14ac:dyDescent="0.25">
      <c r="A72" t="s">
        <v>166</v>
      </c>
      <c r="B72" t="s">
        <v>10</v>
      </c>
      <c r="C72" s="51">
        <v>42035</v>
      </c>
      <c r="D72" s="61">
        <v>5373586000</v>
      </c>
      <c r="E72" s="61">
        <v>1289270000</v>
      </c>
      <c r="F72" s="61">
        <v>3437032000</v>
      </c>
      <c r="G72" s="61">
        <v>792917000</v>
      </c>
      <c r="H72" s="61">
        <v>0</v>
      </c>
      <c r="I72" t="s">
        <v>16</v>
      </c>
      <c r="J72" t="s">
        <v>51</v>
      </c>
      <c r="K72" s="61">
        <v>4084316000</v>
      </c>
      <c r="L72" s="61">
        <v>4229949000</v>
      </c>
      <c r="M72" s="61">
        <v>-145633000</v>
      </c>
      <c r="N72" s="43" t="str">
        <f t="shared" si="1"/>
        <v>$0-5B</v>
      </c>
    </row>
    <row r="73" spans="1:14" x14ac:dyDescent="0.25">
      <c r="A73" t="s">
        <v>166</v>
      </c>
      <c r="B73" t="s">
        <v>11</v>
      </c>
      <c r="C73" s="51">
        <v>42400</v>
      </c>
      <c r="D73" s="61">
        <v>6667216000</v>
      </c>
      <c r="E73" s="61">
        <v>1654548000</v>
      </c>
      <c r="F73" s="61">
        <v>3951445000</v>
      </c>
      <c r="G73" s="61">
        <v>946300000</v>
      </c>
      <c r="H73" s="61">
        <v>0</v>
      </c>
      <c r="I73" t="s">
        <v>16</v>
      </c>
      <c r="J73" t="s">
        <v>51</v>
      </c>
      <c r="K73" s="61">
        <v>5012668000</v>
      </c>
      <c r="L73" s="61">
        <v>4897745000</v>
      </c>
      <c r="M73" s="61">
        <v>114923000</v>
      </c>
      <c r="N73" s="43" t="str">
        <f t="shared" si="1"/>
        <v>$0-5B</v>
      </c>
    </row>
    <row r="74" spans="1:14" x14ac:dyDescent="0.25">
      <c r="A74" t="s">
        <v>179</v>
      </c>
      <c r="B74" t="s">
        <v>6</v>
      </c>
      <c r="C74" s="51">
        <v>41639</v>
      </c>
      <c r="D74" s="61">
        <v>2918434000</v>
      </c>
      <c r="E74" s="61">
        <v>502795000</v>
      </c>
      <c r="F74" s="61">
        <v>1476916000</v>
      </c>
      <c r="G74" s="61">
        <v>516338000</v>
      </c>
      <c r="H74" s="61">
        <v>41668000</v>
      </c>
      <c r="I74" t="s">
        <v>16</v>
      </c>
      <c r="J74" t="s">
        <v>51</v>
      </c>
      <c r="K74" s="61">
        <v>2415639000</v>
      </c>
      <c r="L74" s="61">
        <v>2034922000</v>
      </c>
      <c r="M74" s="61">
        <v>380717000</v>
      </c>
      <c r="N74" s="43" t="str">
        <f t="shared" si="1"/>
        <v>$0-5B</v>
      </c>
    </row>
    <row r="75" spans="1:14" x14ac:dyDescent="0.25">
      <c r="A75" t="s">
        <v>179</v>
      </c>
      <c r="B75" t="s">
        <v>9</v>
      </c>
      <c r="C75" s="51">
        <v>42004</v>
      </c>
      <c r="D75" s="61">
        <v>3142856000</v>
      </c>
      <c r="E75" s="61">
        <v>620219000</v>
      </c>
      <c r="F75" s="61">
        <v>1600187000</v>
      </c>
      <c r="G75" s="61">
        <v>553817000</v>
      </c>
      <c r="H75" s="61">
        <v>39577000</v>
      </c>
      <c r="I75" t="s">
        <v>16</v>
      </c>
      <c r="J75" t="s">
        <v>51</v>
      </c>
      <c r="K75" s="61">
        <v>2522637000</v>
      </c>
      <c r="L75" s="61">
        <v>2193581000</v>
      </c>
      <c r="M75" s="61">
        <v>329056000</v>
      </c>
      <c r="N75" s="43" t="str">
        <f t="shared" si="1"/>
        <v>$0-5B</v>
      </c>
    </row>
    <row r="76" spans="1:14" x14ac:dyDescent="0.25">
      <c r="A76" t="s">
        <v>179</v>
      </c>
      <c r="B76" t="s">
        <v>10</v>
      </c>
      <c r="C76" s="51">
        <v>42369</v>
      </c>
      <c r="D76" s="61">
        <v>3275594000</v>
      </c>
      <c r="E76" s="61">
        <v>614364000</v>
      </c>
      <c r="F76" s="61">
        <v>1538027000</v>
      </c>
      <c r="G76" s="61">
        <v>563975000</v>
      </c>
      <c r="H76" s="61">
        <v>41595000</v>
      </c>
      <c r="I76" t="s">
        <v>16</v>
      </c>
      <c r="J76" t="s">
        <v>51</v>
      </c>
      <c r="K76" s="61">
        <v>2661230000</v>
      </c>
      <c r="L76" s="61">
        <v>2143597000</v>
      </c>
      <c r="M76" s="61">
        <v>517633000</v>
      </c>
      <c r="N76" s="43" t="str">
        <f t="shared" si="1"/>
        <v>$0-5B</v>
      </c>
    </row>
    <row r="77" spans="1:14" x14ac:dyDescent="0.25">
      <c r="A77" t="s">
        <v>179</v>
      </c>
      <c r="B77" t="s">
        <v>11</v>
      </c>
      <c r="C77" s="51">
        <v>42735</v>
      </c>
      <c r="D77" s="61">
        <v>3418265000</v>
      </c>
      <c r="E77" s="61">
        <v>559541000</v>
      </c>
      <c r="F77" s="61">
        <v>1620006000</v>
      </c>
      <c r="G77" s="61">
        <v>489265000</v>
      </c>
      <c r="H77" s="61">
        <v>29173000</v>
      </c>
      <c r="I77" t="s">
        <v>16</v>
      </c>
      <c r="J77" t="s">
        <v>51</v>
      </c>
      <c r="K77" s="61">
        <v>2858724000</v>
      </c>
      <c r="L77" s="61">
        <v>2138444000</v>
      </c>
      <c r="M77" s="61">
        <v>720280000</v>
      </c>
      <c r="N77" s="43" t="str">
        <f t="shared" si="1"/>
        <v>$0-5B</v>
      </c>
    </row>
    <row r="78" spans="1:14" x14ac:dyDescent="0.25">
      <c r="A78" t="s">
        <v>214</v>
      </c>
      <c r="B78" t="s">
        <v>6</v>
      </c>
      <c r="C78" s="51">
        <v>41639</v>
      </c>
      <c r="D78" s="61">
        <v>8257000000</v>
      </c>
      <c r="E78" s="61">
        <v>1492000000</v>
      </c>
      <c r="F78" s="61">
        <v>3260000000</v>
      </c>
      <c r="G78" s="61">
        <v>915000000</v>
      </c>
      <c r="H78" s="61">
        <v>136000000</v>
      </c>
      <c r="I78" t="s">
        <v>16</v>
      </c>
      <c r="J78" t="s">
        <v>51</v>
      </c>
      <c r="K78" s="61">
        <v>6765000000</v>
      </c>
      <c r="L78" s="61">
        <v>4311000000</v>
      </c>
      <c r="M78" s="61">
        <v>2454000000</v>
      </c>
      <c r="N78" s="43" t="str">
        <f t="shared" si="1"/>
        <v>$0-5B</v>
      </c>
    </row>
    <row r="79" spans="1:14" x14ac:dyDescent="0.25">
      <c r="A79" t="s">
        <v>214</v>
      </c>
      <c r="B79" t="s">
        <v>9</v>
      </c>
      <c r="C79" s="51">
        <v>42004</v>
      </c>
      <c r="D79" s="61">
        <v>8790000000</v>
      </c>
      <c r="E79" s="61">
        <v>1663000000</v>
      </c>
      <c r="F79" s="61">
        <v>3593000000</v>
      </c>
      <c r="G79" s="61">
        <v>983000000</v>
      </c>
      <c r="H79" s="61">
        <v>75000000</v>
      </c>
      <c r="I79" t="s">
        <v>16</v>
      </c>
      <c r="J79" t="s">
        <v>51</v>
      </c>
      <c r="K79" s="61">
        <v>7127000000</v>
      </c>
      <c r="L79" s="61">
        <v>4651000000</v>
      </c>
      <c r="M79" s="61">
        <v>2476000000</v>
      </c>
      <c r="N79" s="43" t="str">
        <f t="shared" si="1"/>
        <v>$0-5B</v>
      </c>
    </row>
    <row r="80" spans="1:14" x14ac:dyDescent="0.25">
      <c r="A80" t="s">
        <v>214</v>
      </c>
      <c r="B80" t="s">
        <v>10</v>
      </c>
      <c r="C80" s="51">
        <v>42369</v>
      </c>
      <c r="D80" s="61">
        <v>8592000000</v>
      </c>
      <c r="E80" s="61">
        <v>1771000000</v>
      </c>
      <c r="F80" s="61">
        <v>3660000000</v>
      </c>
      <c r="G80" s="61">
        <v>923000000</v>
      </c>
      <c r="H80" s="61">
        <v>41000000</v>
      </c>
      <c r="I80" t="s">
        <v>16</v>
      </c>
      <c r="J80" t="s">
        <v>51</v>
      </c>
      <c r="K80" s="61">
        <v>6821000000</v>
      </c>
      <c r="L80" s="61">
        <v>4624000000</v>
      </c>
      <c r="M80" s="61">
        <v>2197000000</v>
      </c>
      <c r="N80" s="43" t="str">
        <f t="shared" si="1"/>
        <v>$0-5B</v>
      </c>
    </row>
    <row r="81" spans="1:14" x14ac:dyDescent="0.25">
      <c r="A81" t="s">
        <v>214</v>
      </c>
      <c r="B81" t="s">
        <v>11</v>
      </c>
      <c r="C81" s="51">
        <v>42735</v>
      </c>
      <c r="D81" s="61">
        <v>8979000000</v>
      </c>
      <c r="E81" s="61">
        <v>2007000000</v>
      </c>
      <c r="F81" s="61">
        <v>3499000000</v>
      </c>
      <c r="G81" s="61">
        <v>1114000000</v>
      </c>
      <c r="H81" s="61">
        <v>34000000</v>
      </c>
      <c r="I81" t="s">
        <v>16</v>
      </c>
      <c r="J81" t="s">
        <v>51</v>
      </c>
      <c r="K81" s="61">
        <v>6972000000</v>
      </c>
      <c r="L81" s="61">
        <v>4647000000</v>
      </c>
      <c r="M81" s="61">
        <v>2325000000</v>
      </c>
      <c r="N81" s="43" t="str">
        <f t="shared" si="1"/>
        <v>$0-5B</v>
      </c>
    </row>
    <row r="82" spans="1:14" x14ac:dyDescent="0.25">
      <c r="A82" t="s">
        <v>241</v>
      </c>
      <c r="B82" t="s">
        <v>6</v>
      </c>
      <c r="C82" s="51">
        <v>41639</v>
      </c>
      <c r="D82" s="61">
        <v>7872000000</v>
      </c>
      <c r="E82" s="61">
        <v>1875000000</v>
      </c>
      <c r="F82" s="61">
        <v>1778000000</v>
      </c>
      <c r="G82" s="61">
        <v>1415000000</v>
      </c>
      <c r="H82" s="61">
        <v>0</v>
      </c>
      <c r="I82" t="s">
        <v>16</v>
      </c>
      <c r="J82" t="s">
        <v>51</v>
      </c>
      <c r="K82" s="61">
        <v>5997000000</v>
      </c>
      <c r="L82" s="61">
        <v>3193000000</v>
      </c>
      <c r="M82" s="61">
        <v>2804000000</v>
      </c>
      <c r="N82" s="43" t="str">
        <f t="shared" si="1"/>
        <v>$0-5B</v>
      </c>
    </row>
    <row r="83" spans="1:14" x14ac:dyDescent="0.25">
      <c r="A83" t="s">
        <v>241</v>
      </c>
      <c r="B83" t="s">
        <v>9</v>
      </c>
      <c r="C83" s="51">
        <v>42004</v>
      </c>
      <c r="D83" s="61">
        <v>12466000000</v>
      </c>
      <c r="E83" s="61">
        <v>2153000000</v>
      </c>
      <c r="F83" s="61">
        <v>2653000000</v>
      </c>
      <c r="G83" s="61">
        <v>2666000000</v>
      </c>
      <c r="H83" s="61">
        <v>0</v>
      </c>
      <c r="I83" t="s">
        <v>16</v>
      </c>
      <c r="J83" t="s">
        <v>51</v>
      </c>
      <c r="K83" s="61">
        <v>10313000000</v>
      </c>
      <c r="L83" s="61">
        <v>5319000000</v>
      </c>
      <c r="M83" s="61">
        <v>4994000000</v>
      </c>
      <c r="N83" s="43" t="str">
        <f t="shared" si="1"/>
        <v>$5-10B</v>
      </c>
    </row>
    <row r="84" spans="1:14" x14ac:dyDescent="0.25">
      <c r="A84" t="s">
        <v>241</v>
      </c>
      <c r="B84" t="s">
        <v>10</v>
      </c>
      <c r="C84" s="51">
        <v>42369</v>
      </c>
      <c r="D84" s="61">
        <v>17928000000</v>
      </c>
      <c r="E84" s="61">
        <v>2867000000</v>
      </c>
      <c r="F84" s="61">
        <v>4020000000</v>
      </c>
      <c r="G84" s="61">
        <v>4816000000</v>
      </c>
      <c r="H84" s="61">
        <v>0</v>
      </c>
      <c r="I84" t="s">
        <v>16</v>
      </c>
      <c r="J84" t="s">
        <v>51</v>
      </c>
      <c r="K84" s="61">
        <v>15061000000</v>
      </c>
      <c r="L84" s="61">
        <v>8836000000</v>
      </c>
      <c r="M84" s="61">
        <v>6225000000</v>
      </c>
      <c r="N84" s="43" t="str">
        <f t="shared" si="1"/>
        <v>$5-10B</v>
      </c>
    </row>
    <row r="85" spans="1:14" x14ac:dyDescent="0.25">
      <c r="A85" t="s">
        <v>241</v>
      </c>
      <c r="B85" t="s">
        <v>11</v>
      </c>
      <c r="C85" s="51">
        <v>42735</v>
      </c>
      <c r="D85" s="61">
        <v>27638000000</v>
      </c>
      <c r="E85" s="61">
        <v>3789000000</v>
      </c>
      <c r="F85" s="61">
        <v>5503000000</v>
      </c>
      <c r="G85" s="61">
        <v>5919000000</v>
      </c>
      <c r="H85" s="61">
        <v>0</v>
      </c>
      <c r="I85" t="s">
        <v>16</v>
      </c>
      <c r="J85" t="s">
        <v>51</v>
      </c>
      <c r="K85" s="61">
        <v>23849000000</v>
      </c>
      <c r="L85" s="61">
        <v>11422000000</v>
      </c>
      <c r="M85" s="61">
        <v>12427000000</v>
      </c>
      <c r="N85" s="43" t="str">
        <f t="shared" si="1"/>
        <v>$10-15B</v>
      </c>
    </row>
    <row r="86" spans="1:14" x14ac:dyDescent="0.25">
      <c r="A86" t="s">
        <v>248</v>
      </c>
      <c r="B86" t="s">
        <v>6</v>
      </c>
      <c r="C86" s="51">
        <v>41274</v>
      </c>
      <c r="D86" s="61">
        <v>5795800000</v>
      </c>
      <c r="E86" s="61">
        <v>3956200000</v>
      </c>
      <c r="F86" s="61">
        <v>763300000</v>
      </c>
      <c r="G86" s="61">
        <v>0</v>
      </c>
      <c r="H86" s="61">
        <v>0</v>
      </c>
      <c r="I86" t="s">
        <v>16</v>
      </c>
      <c r="J86" t="s">
        <v>51</v>
      </c>
      <c r="K86" s="61">
        <v>1839600000</v>
      </c>
      <c r="L86" s="61">
        <v>763300000</v>
      </c>
      <c r="M86" s="61">
        <v>1076300000</v>
      </c>
      <c r="N86" s="43" t="str">
        <f t="shared" si="1"/>
        <v>$0-5B</v>
      </c>
    </row>
    <row r="87" spans="1:14" x14ac:dyDescent="0.25">
      <c r="A87" t="s">
        <v>248</v>
      </c>
      <c r="B87" t="s">
        <v>9</v>
      </c>
      <c r="C87" s="51">
        <v>41639</v>
      </c>
      <c r="D87" s="61">
        <v>6063400000</v>
      </c>
      <c r="E87" s="61">
        <v>4092700000</v>
      </c>
      <c r="F87" s="61">
        <v>907800000</v>
      </c>
      <c r="G87" s="61">
        <v>0</v>
      </c>
      <c r="H87" s="61">
        <v>0</v>
      </c>
      <c r="I87" t="s">
        <v>16</v>
      </c>
      <c r="J87" t="s">
        <v>51</v>
      </c>
      <c r="K87" s="61">
        <v>1970700000</v>
      </c>
      <c r="L87" s="61">
        <v>907800000</v>
      </c>
      <c r="M87" s="61">
        <v>1062900000</v>
      </c>
      <c r="N87" s="43" t="str">
        <f t="shared" si="1"/>
        <v>$0-5B</v>
      </c>
    </row>
    <row r="88" spans="1:14" x14ac:dyDescent="0.25">
      <c r="A88" t="s">
        <v>248</v>
      </c>
      <c r="B88" t="s">
        <v>10</v>
      </c>
      <c r="C88" s="51">
        <v>42004</v>
      </c>
      <c r="D88" s="61">
        <v>6413800000</v>
      </c>
      <c r="E88" s="61">
        <v>4328300000</v>
      </c>
      <c r="F88" s="61">
        <v>814900000</v>
      </c>
      <c r="G88" s="61">
        <v>0</v>
      </c>
      <c r="H88" s="61">
        <v>0</v>
      </c>
      <c r="I88" t="s">
        <v>16</v>
      </c>
      <c r="J88" t="s">
        <v>51</v>
      </c>
      <c r="K88" s="61">
        <v>2085500000</v>
      </c>
      <c r="L88" s="61">
        <v>814900000</v>
      </c>
      <c r="M88" s="61">
        <v>1270600000</v>
      </c>
      <c r="N88" s="43" t="str">
        <f t="shared" si="1"/>
        <v>$0-5B</v>
      </c>
    </row>
    <row r="89" spans="1:14" x14ac:dyDescent="0.25">
      <c r="A89" t="s">
        <v>248</v>
      </c>
      <c r="B89" t="s">
        <v>11</v>
      </c>
      <c r="C89" s="51">
        <v>42369</v>
      </c>
      <c r="D89" s="61">
        <v>6595200000</v>
      </c>
      <c r="E89" s="61">
        <v>4393200000</v>
      </c>
      <c r="F89" s="61">
        <v>1102800000</v>
      </c>
      <c r="G89" s="61">
        <v>0</v>
      </c>
      <c r="H89" s="61">
        <v>0</v>
      </c>
      <c r="I89" t="s">
        <v>16</v>
      </c>
      <c r="J89" t="s">
        <v>51</v>
      </c>
      <c r="K89" s="61">
        <v>2202000000</v>
      </c>
      <c r="L89" s="61">
        <v>1102800000</v>
      </c>
      <c r="M89" s="61">
        <v>1099200000</v>
      </c>
      <c r="N89" s="43" t="str">
        <f t="shared" si="1"/>
        <v>$0-5B</v>
      </c>
    </row>
    <row r="90" spans="1:14" x14ac:dyDescent="0.25">
      <c r="A90" t="s">
        <v>249</v>
      </c>
      <c r="B90" t="s">
        <v>6</v>
      </c>
      <c r="C90" s="51">
        <v>41274</v>
      </c>
      <c r="D90" s="61">
        <v>4436000000</v>
      </c>
      <c r="E90" s="61">
        <v>2564000000</v>
      </c>
      <c r="F90" s="61">
        <v>824000000</v>
      </c>
      <c r="G90" s="61">
        <v>0</v>
      </c>
      <c r="H90" s="61">
        <v>0</v>
      </c>
      <c r="I90" t="s">
        <v>16</v>
      </c>
      <c r="J90" t="s">
        <v>51</v>
      </c>
      <c r="K90" s="61">
        <v>1872000000</v>
      </c>
      <c r="L90" s="61">
        <v>824000000</v>
      </c>
      <c r="M90" s="61">
        <v>1048000000</v>
      </c>
      <c r="N90" s="43" t="str">
        <f t="shared" si="1"/>
        <v>$0-5B</v>
      </c>
    </row>
    <row r="91" spans="1:14" x14ac:dyDescent="0.25">
      <c r="A91" t="s">
        <v>249</v>
      </c>
      <c r="B91" t="s">
        <v>9</v>
      </c>
      <c r="C91" s="51">
        <v>41639</v>
      </c>
      <c r="D91" s="61">
        <v>4814000000</v>
      </c>
      <c r="E91" s="61">
        <v>2776000000</v>
      </c>
      <c r="F91" s="61">
        <v>977000000</v>
      </c>
      <c r="G91" s="61">
        <v>0</v>
      </c>
      <c r="H91" s="61">
        <v>0</v>
      </c>
      <c r="I91" t="s">
        <v>16</v>
      </c>
      <c r="J91" t="s">
        <v>51</v>
      </c>
      <c r="K91" s="61">
        <v>2038000000</v>
      </c>
      <c r="L91" s="61">
        <v>977000000</v>
      </c>
      <c r="M91" s="61">
        <v>1061000000</v>
      </c>
      <c r="N91" s="43" t="str">
        <f t="shared" si="1"/>
        <v>$0-5B</v>
      </c>
    </row>
    <row r="92" spans="1:14" x14ac:dyDescent="0.25">
      <c r="A92" t="s">
        <v>249</v>
      </c>
      <c r="B92" t="s">
        <v>10</v>
      </c>
      <c r="C92" s="51">
        <v>42004</v>
      </c>
      <c r="D92" s="61">
        <v>5066000000</v>
      </c>
      <c r="E92" s="61">
        <v>2881000000</v>
      </c>
      <c r="F92" s="61">
        <v>975000000</v>
      </c>
      <c r="G92" s="61">
        <v>0</v>
      </c>
      <c r="H92" s="61">
        <v>0</v>
      </c>
      <c r="I92" t="s">
        <v>16</v>
      </c>
      <c r="J92" t="s">
        <v>51</v>
      </c>
      <c r="K92" s="61">
        <v>2185000000</v>
      </c>
      <c r="L92" s="61">
        <v>975000000</v>
      </c>
      <c r="M92" s="61">
        <v>1210000000</v>
      </c>
      <c r="N92" s="43" t="str">
        <f t="shared" si="1"/>
        <v>$0-5B</v>
      </c>
    </row>
    <row r="93" spans="1:14" x14ac:dyDescent="0.25">
      <c r="A93" t="s">
        <v>249</v>
      </c>
      <c r="B93" t="s">
        <v>11</v>
      </c>
      <c r="C93" s="51">
        <v>42369</v>
      </c>
      <c r="D93" s="61">
        <v>5254000000</v>
      </c>
      <c r="E93" s="61">
        <v>2909000000</v>
      </c>
      <c r="F93" s="61">
        <v>1034000000</v>
      </c>
      <c r="G93" s="61">
        <v>0</v>
      </c>
      <c r="H93" s="61">
        <v>0</v>
      </c>
      <c r="I93" t="s">
        <v>16</v>
      </c>
      <c r="J93" t="s">
        <v>51</v>
      </c>
      <c r="K93" s="61">
        <v>2345000000</v>
      </c>
      <c r="L93" s="61">
        <v>1034000000</v>
      </c>
      <c r="M93" s="61">
        <v>1311000000</v>
      </c>
      <c r="N93" s="43" t="str">
        <f t="shared" si="1"/>
        <v>$0-5B</v>
      </c>
    </row>
    <row r="94" spans="1:14" x14ac:dyDescent="0.25">
      <c r="A94" t="s">
        <v>314</v>
      </c>
      <c r="B94" t="s">
        <v>6</v>
      </c>
      <c r="C94" s="51">
        <v>41486</v>
      </c>
      <c r="D94" s="61">
        <v>3946000000</v>
      </c>
      <c r="E94" s="61">
        <v>527000000</v>
      </c>
      <c r="F94" s="61">
        <v>1534000000</v>
      </c>
      <c r="G94" s="61">
        <v>647000000</v>
      </c>
      <c r="H94" s="61">
        <v>30000000</v>
      </c>
      <c r="I94" t="s">
        <v>16</v>
      </c>
      <c r="J94" t="s">
        <v>51</v>
      </c>
      <c r="K94" s="61">
        <v>3419000000</v>
      </c>
      <c r="L94" s="61">
        <v>2211000000</v>
      </c>
      <c r="M94" s="61">
        <v>1208000000</v>
      </c>
      <c r="N94" s="43" t="str">
        <f t="shared" si="1"/>
        <v>$0-5B</v>
      </c>
    </row>
    <row r="95" spans="1:14" x14ac:dyDescent="0.25">
      <c r="A95" t="s">
        <v>314</v>
      </c>
      <c r="B95" t="s">
        <v>9</v>
      </c>
      <c r="C95" s="51">
        <v>41851</v>
      </c>
      <c r="D95" s="61">
        <v>4243000000</v>
      </c>
      <c r="E95" s="61">
        <v>603000000</v>
      </c>
      <c r="F95" s="61">
        <v>1601000000</v>
      </c>
      <c r="G95" s="61">
        <v>714000000</v>
      </c>
      <c r="H95" s="61">
        <v>25000000</v>
      </c>
      <c r="I95" t="s">
        <v>16</v>
      </c>
      <c r="J95" t="s">
        <v>51</v>
      </c>
      <c r="K95" s="61">
        <v>3640000000</v>
      </c>
      <c r="L95" s="61">
        <v>2340000000</v>
      </c>
      <c r="M95" s="61">
        <v>1300000000</v>
      </c>
      <c r="N95" s="43" t="str">
        <f t="shared" si="1"/>
        <v>$0-5B</v>
      </c>
    </row>
    <row r="96" spans="1:14" x14ac:dyDescent="0.25">
      <c r="A96" t="s">
        <v>314</v>
      </c>
      <c r="B96" t="s">
        <v>10</v>
      </c>
      <c r="C96" s="51">
        <v>42216</v>
      </c>
      <c r="D96" s="61">
        <v>4192000000</v>
      </c>
      <c r="E96" s="61">
        <v>695000000</v>
      </c>
      <c r="F96" s="61">
        <v>1771000000</v>
      </c>
      <c r="G96" s="61">
        <v>798000000</v>
      </c>
      <c r="H96" s="61">
        <v>42000000</v>
      </c>
      <c r="I96" t="s">
        <v>16</v>
      </c>
      <c r="J96" t="s">
        <v>51</v>
      </c>
      <c r="K96" s="61">
        <v>3497000000</v>
      </c>
      <c r="L96" s="61">
        <v>2611000000</v>
      </c>
      <c r="M96" s="61">
        <v>886000000</v>
      </c>
      <c r="N96" s="43" t="str">
        <f t="shared" si="1"/>
        <v>$0-5B</v>
      </c>
    </row>
    <row r="97" spans="1:14" x14ac:dyDescent="0.25">
      <c r="A97" t="s">
        <v>314</v>
      </c>
      <c r="B97" t="s">
        <v>11</v>
      </c>
      <c r="C97" s="51">
        <v>42582</v>
      </c>
      <c r="D97" s="61">
        <v>4694000000</v>
      </c>
      <c r="E97" s="61">
        <v>730000000</v>
      </c>
      <c r="F97" s="61">
        <v>1807000000</v>
      </c>
      <c r="G97" s="61">
        <v>881000000</v>
      </c>
      <c r="H97" s="61">
        <v>34000000</v>
      </c>
      <c r="I97" t="s">
        <v>16</v>
      </c>
      <c r="J97" t="s">
        <v>51</v>
      </c>
      <c r="K97" s="61">
        <v>3964000000</v>
      </c>
      <c r="L97" s="61">
        <v>2722000000</v>
      </c>
      <c r="M97" s="61">
        <v>1242000000</v>
      </c>
      <c r="N97" s="43" t="str">
        <f t="shared" si="1"/>
        <v>$0-5B</v>
      </c>
    </row>
    <row r="98" spans="1:14" x14ac:dyDescent="0.25">
      <c r="A98" t="s">
        <v>363</v>
      </c>
      <c r="B98" t="s">
        <v>6</v>
      </c>
      <c r="C98" s="51">
        <v>41639</v>
      </c>
      <c r="D98" s="61">
        <v>8312000000</v>
      </c>
      <c r="E98" s="61"/>
      <c r="F98" s="61">
        <v>3456000000</v>
      </c>
      <c r="G98" s="61">
        <v>0</v>
      </c>
      <c r="H98" s="61">
        <v>258000000</v>
      </c>
      <c r="I98" t="s">
        <v>16</v>
      </c>
      <c r="J98" t="s">
        <v>51</v>
      </c>
      <c r="K98" s="61">
        <v>8312000000</v>
      </c>
      <c r="L98" s="61">
        <v>3714000000</v>
      </c>
      <c r="M98" s="61">
        <v>4598000000</v>
      </c>
      <c r="N98" s="43" t="str">
        <f t="shared" si="1"/>
        <v>$0-5B</v>
      </c>
    </row>
    <row r="99" spans="1:14" x14ac:dyDescent="0.25">
      <c r="A99" t="s">
        <v>363</v>
      </c>
      <c r="B99" t="s">
        <v>9</v>
      </c>
      <c r="C99" s="51">
        <v>42004</v>
      </c>
      <c r="D99" s="61">
        <v>9441000000</v>
      </c>
      <c r="E99" s="61"/>
      <c r="F99" s="61">
        <v>4014000000</v>
      </c>
      <c r="G99" s="61">
        <v>0</v>
      </c>
      <c r="H99" s="61">
        <v>321000000</v>
      </c>
      <c r="I99" t="s">
        <v>16</v>
      </c>
      <c r="J99" t="s">
        <v>51</v>
      </c>
      <c r="K99" s="61">
        <v>9441000000</v>
      </c>
      <c r="L99" s="61">
        <v>4335000000</v>
      </c>
      <c r="M99" s="61">
        <v>5106000000</v>
      </c>
      <c r="N99" s="43" t="str">
        <f t="shared" si="1"/>
        <v>$0-5B</v>
      </c>
    </row>
    <row r="100" spans="1:14" x14ac:dyDescent="0.25">
      <c r="A100" t="s">
        <v>363</v>
      </c>
      <c r="B100" t="s">
        <v>10</v>
      </c>
      <c r="C100" s="51">
        <v>42369</v>
      </c>
      <c r="D100" s="61">
        <v>9667000000</v>
      </c>
      <c r="E100" s="61"/>
      <c r="F100" s="61">
        <v>4162000000</v>
      </c>
      <c r="G100" s="61">
        <v>0</v>
      </c>
      <c r="H100" s="61">
        <v>366000000</v>
      </c>
      <c r="I100" t="s">
        <v>16</v>
      </c>
      <c r="J100" t="s">
        <v>51</v>
      </c>
      <c r="K100" s="61">
        <v>9667000000</v>
      </c>
      <c r="L100" s="61">
        <v>4528000000</v>
      </c>
      <c r="M100" s="61">
        <v>5139000000</v>
      </c>
      <c r="N100" s="43" t="str">
        <f t="shared" si="1"/>
        <v>$0-5B</v>
      </c>
    </row>
    <row r="101" spans="1:14" x14ac:dyDescent="0.25">
      <c r="A101" t="s">
        <v>363</v>
      </c>
      <c r="B101" t="s">
        <v>11</v>
      </c>
      <c r="C101" s="51">
        <v>42735</v>
      </c>
      <c r="D101" s="61">
        <v>10776000000</v>
      </c>
      <c r="E101" s="61"/>
      <c r="F101" s="61">
        <v>4525000000</v>
      </c>
      <c r="G101" s="61">
        <v>0</v>
      </c>
      <c r="H101" s="61">
        <v>373000000</v>
      </c>
      <c r="I101" t="s">
        <v>16</v>
      </c>
      <c r="J101" t="s">
        <v>51</v>
      </c>
      <c r="K101" s="61">
        <v>10776000000</v>
      </c>
      <c r="L101" s="61">
        <v>4898000000</v>
      </c>
      <c r="M101" s="61">
        <v>5878000000</v>
      </c>
      <c r="N101" s="43" t="str">
        <f t="shared" si="1"/>
        <v>$0-5B</v>
      </c>
    </row>
    <row r="102" spans="1:14" x14ac:dyDescent="0.25">
      <c r="A102" t="s">
        <v>405</v>
      </c>
      <c r="B102" t="s">
        <v>6</v>
      </c>
      <c r="C102" s="51">
        <v>41639</v>
      </c>
      <c r="D102" s="61">
        <v>4374562000</v>
      </c>
      <c r="E102" s="61">
        <v>3117203000</v>
      </c>
      <c r="F102" s="61">
        <v>650243000</v>
      </c>
      <c r="G102" s="61">
        <v>378769000</v>
      </c>
      <c r="H102" s="61">
        <v>0</v>
      </c>
      <c r="I102" t="s">
        <v>16</v>
      </c>
      <c r="J102" t="s">
        <v>51</v>
      </c>
      <c r="K102" s="61">
        <v>1257359000</v>
      </c>
      <c r="L102" s="61">
        <v>1029012000</v>
      </c>
      <c r="M102" s="61">
        <v>228347000</v>
      </c>
      <c r="N102" s="43" t="str">
        <f t="shared" si="1"/>
        <v>$0-5B</v>
      </c>
    </row>
    <row r="103" spans="1:14" x14ac:dyDescent="0.25">
      <c r="A103" t="s">
        <v>405</v>
      </c>
      <c r="B103" t="s">
        <v>9</v>
      </c>
      <c r="C103" s="51">
        <v>42004</v>
      </c>
      <c r="D103" s="61">
        <v>5504656000</v>
      </c>
      <c r="E103" s="61">
        <v>3752760000</v>
      </c>
      <c r="F103" s="61">
        <v>876927000</v>
      </c>
      <c r="G103" s="61">
        <v>472321000</v>
      </c>
      <c r="H103" s="61">
        <v>0</v>
      </c>
      <c r="I103" t="s">
        <v>16</v>
      </c>
      <c r="J103" t="s">
        <v>51</v>
      </c>
      <c r="K103" s="61">
        <v>1751896000</v>
      </c>
      <c r="L103" s="61">
        <v>1349248000</v>
      </c>
      <c r="M103" s="61">
        <v>402648000</v>
      </c>
      <c r="N103" s="43" t="str">
        <f t="shared" si="1"/>
        <v>$0-5B</v>
      </c>
    </row>
    <row r="104" spans="1:14" x14ac:dyDescent="0.25">
      <c r="A104" t="s">
        <v>405</v>
      </c>
      <c r="B104" t="s">
        <v>10</v>
      </c>
      <c r="C104" s="51">
        <v>42369</v>
      </c>
      <c r="D104" s="61">
        <v>6779511000</v>
      </c>
      <c r="E104" s="61">
        <v>4591476000</v>
      </c>
      <c r="F104" s="61">
        <v>1231421000</v>
      </c>
      <c r="G104" s="61">
        <v>650788000</v>
      </c>
      <c r="H104" s="61">
        <v>0</v>
      </c>
      <c r="I104" t="s">
        <v>16</v>
      </c>
      <c r="J104" t="s">
        <v>51</v>
      </c>
      <c r="K104" s="61">
        <v>2188035000</v>
      </c>
      <c r="L104" s="61">
        <v>1882209000</v>
      </c>
      <c r="M104" s="61">
        <v>305826000</v>
      </c>
      <c r="N104" s="43" t="str">
        <f t="shared" si="1"/>
        <v>$0-5B</v>
      </c>
    </row>
    <row r="105" spans="1:14" x14ac:dyDescent="0.25">
      <c r="A105" t="s">
        <v>405</v>
      </c>
      <c r="B105" t="s">
        <v>11</v>
      </c>
      <c r="C105" s="51">
        <v>42735</v>
      </c>
      <c r="D105" s="61">
        <v>8830669000</v>
      </c>
      <c r="E105" s="61">
        <v>6029901000</v>
      </c>
      <c r="F105" s="61">
        <v>1568877000</v>
      </c>
      <c r="G105" s="61">
        <v>852098000</v>
      </c>
      <c r="H105" s="61">
        <v>0</v>
      </c>
      <c r="I105" t="s">
        <v>16</v>
      </c>
      <c r="J105" t="s">
        <v>51</v>
      </c>
      <c r="K105" s="61">
        <v>2800768000</v>
      </c>
      <c r="L105" s="61">
        <v>2420975000</v>
      </c>
      <c r="M105" s="61">
        <v>379793000</v>
      </c>
      <c r="N105" s="43" t="str">
        <f t="shared" si="1"/>
        <v>$0-5B</v>
      </c>
    </row>
    <row r="106" spans="1:14" x14ac:dyDescent="0.25">
      <c r="A106" t="s">
        <v>411</v>
      </c>
      <c r="B106" t="s">
        <v>6</v>
      </c>
      <c r="C106" s="51">
        <v>41390</v>
      </c>
      <c r="D106" s="61">
        <v>6332400000</v>
      </c>
      <c r="E106" s="61">
        <v>2571300000</v>
      </c>
      <c r="F106" s="61">
        <v>2247400000</v>
      </c>
      <c r="G106" s="61">
        <v>904200000</v>
      </c>
      <c r="H106" s="61">
        <v>0</v>
      </c>
      <c r="I106" t="s">
        <v>16</v>
      </c>
      <c r="J106" t="s">
        <v>51</v>
      </c>
      <c r="K106" s="61">
        <v>3761100000</v>
      </c>
      <c r="L106" s="61">
        <v>3151600000</v>
      </c>
      <c r="M106" s="61">
        <v>609500000</v>
      </c>
      <c r="N106" s="43" t="str">
        <f t="shared" si="1"/>
        <v>$0-5B</v>
      </c>
    </row>
    <row r="107" spans="1:14" x14ac:dyDescent="0.25">
      <c r="A107" t="s">
        <v>411</v>
      </c>
      <c r="B107" t="s">
        <v>9</v>
      </c>
      <c r="C107" s="51">
        <v>41754</v>
      </c>
      <c r="D107" s="61">
        <v>6325000000</v>
      </c>
      <c r="E107" s="61">
        <v>2406000000</v>
      </c>
      <c r="F107" s="61">
        <v>2179000000</v>
      </c>
      <c r="G107" s="61">
        <v>918000000</v>
      </c>
      <c r="H107" s="61">
        <v>0</v>
      </c>
      <c r="I107" t="s">
        <v>16</v>
      </c>
      <c r="J107" t="s">
        <v>51</v>
      </c>
      <c r="K107" s="61">
        <v>3919000000</v>
      </c>
      <c r="L107" s="61">
        <v>3097000000</v>
      </c>
      <c r="M107" s="61">
        <v>822000000</v>
      </c>
      <c r="N107" s="43" t="str">
        <f t="shared" si="1"/>
        <v>$0-5B</v>
      </c>
    </row>
    <row r="108" spans="1:14" x14ac:dyDescent="0.25">
      <c r="A108" t="s">
        <v>411</v>
      </c>
      <c r="B108" t="s">
        <v>10</v>
      </c>
      <c r="C108" s="51">
        <v>42118</v>
      </c>
      <c r="D108" s="61">
        <v>6123000000</v>
      </c>
      <c r="E108" s="61">
        <v>2290000000</v>
      </c>
      <c r="F108" s="61">
        <v>2197000000</v>
      </c>
      <c r="G108" s="61">
        <v>920000000</v>
      </c>
      <c r="H108" s="61">
        <v>0</v>
      </c>
      <c r="I108" t="s">
        <v>16</v>
      </c>
      <c r="J108" t="s">
        <v>51</v>
      </c>
      <c r="K108" s="61">
        <v>3833000000</v>
      </c>
      <c r="L108" s="61">
        <v>3117000000</v>
      </c>
      <c r="M108" s="61">
        <v>716000000</v>
      </c>
      <c r="N108" s="43" t="str">
        <f t="shared" si="1"/>
        <v>$0-5B</v>
      </c>
    </row>
    <row r="109" spans="1:14" x14ac:dyDescent="0.25">
      <c r="A109" t="s">
        <v>411</v>
      </c>
      <c r="B109" t="s">
        <v>11</v>
      </c>
      <c r="C109" s="51">
        <v>42489</v>
      </c>
      <c r="D109" s="61">
        <v>5546000000</v>
      </c>
      <c r="E109" s="61">
        <v>2173000000</v>
      </c>
      <c r="F109" s="61">
        <v>2099000000</v>
      </c>
      <c r="G109" s="61">
        <v>861000000</v>
      </c>
      <c r="H109" s="61">
        <v>0</v>
      </c>
      <c r="I109" t="s">
        <v>16</v>
      </c>
      <c r="J109" t="s">
        <v>51</v>
      </c>
      <c r="K109" s="61">
        <v>3373000000</v>
      </c>
      <c r="L109" s="61">
        <v>2960000000</v>
      </c>
      <c r="M109" s="61">
        <v>413000000</v>
      </c>
      <c r="N109" s="43" t="str">
        <f t="shared" si="1"/>
        <v>$0-5B</v>
      </c>
    </row>
    <row r="110" spans="1:14" x14ac:dyDescent="0.25">
      <c r="A110" t="s">
        <v>514</v>
      </c>
      <c r="B110" t="s">
        <v>6</v>
      </c>
      <c r="C110" s="51">
        <v>41274</v>
      </c>
      <c r="D110" s="61">
        <v>1793557000</v>
      </c>
      <c r="E110" s="61">
        <v>1189341000</v>
      </c>
      <c r="F110" s="61">
        <v>247597000</v>
      </c>
      <c r="G110" s="61">
        <v>0</v>
      </c>
      <c r="H110" s="61">
        <v>0</v>
      </c>
      <c r="I110" t="s">
        <v>16</v>
      </c>
      <c r="J110" t="s">
        <v>51</v>
      </c>
      <c r="K110" s="61">
        <v>604216000</v>
      </c>
      <c r="L110" s="61">
        <v>247597000</v>
      </c>
      <c r="M110" s="61">
        <v>356619000</v>
      </c>
      <c r="N110" s="43" t="str">
        <f t="shared" si="1"/>
        <v>$0-5B</v>
      </c>
    </row>
    <row r="111" spans="1:14" x14ac:dyDescent="0.25">
      <c r="A111" t="s">
        <v>514</v>
      </c>
      <c r="B111" t="s">
        <v>9</v>
      </c>
      <c r="C111" s="51">
        <v>41639</v>
      </c>
      <c r="D111" s="61">
        <v>2064305000</v>
      </c>
      <c r="E111" s="61">
        <v>1369438000</v>
      </c>
      <c r="F111" s="61">
        <v>312367000</v>
      </c>
      <c r="G111" s="61">
        <v>0</v>
      </c>
      <c r="H111" s="61">
        <v>0</v>
      </c>
      <c r="I111" t="s">
        <v>16</v>
      </c>
      <c r="J111" t="s">
        <v>51</v>
      </c>
      <c r="K111" s="61">
        <v>694867000</v>
      </c>
      <c r="L111" s="61">
        <v>312367000</v>
      </c>
      <c r="M111" s="61">
        <v>382500000</v>
      </c>
      <c r="N111" s="43" t="str">
        <f t="shared" si="1"/>
        <v>$0-5B</v>
      </c>
    </row>
    <row r="112" spans="1:14" x14ac:dyDescent="0.25">
      <c r="A112" t="s">
        <v>514</v>
      </c>
      <c r="B112" t="s">
        <v>10</v>
      </c>
      <c r="C112" s="51">
        <v>42004</v>
      </c>
      <c r="D112" s="61">
        <v>2446877000</v>
      </c>
      <c r="E112" s="61">
        <v>1668892000</v>
      </c>
      <c r="F112" s="61">
        <v>346345000</v>
      </c>
      <c r="G112" s="61">
        <v>0</v>
      </c>
      <c r="H112" s="61">
        <v>0</v>
      </c>
      <c r="I112" t="s">
        <v>16</v>
      </c>
      <c r="J112" t="s">
        <v>51</v>
      </c>
      <c r="K112" s="61">
        <v>777985000</v>
      </c>
      <c r="L112" s="61">
        <v>346345000</v>
      </c>
      <c r="M112" s="61">
        <v>431640000</v>
      </c>
      <c r="N112" s="43" t="str">
        <f t="shared" si="1"/>
        <v>$0-5B</v>
      </c>
    </row>
    <row r="113" spans="1:14" x14ac:dyDescent="0.25">
      <c r="A113" t="s">
        <v>514</v>
      </c>
      <c r="B113" t="s">
        <v>11</v>
      </c>
      <c r="C113" s="51">
        <v>42369</v>
      </c>
      <c r="D113" s="61">
        <v>2779541000</v>
      </c>
      <c r="E113" s="61">
        <v>1855181000</v>
      </c>
      <c r="F113" s="61">
        <v>390253000</v>
      </c>
      <c r="G113" s="61">
        <v>0</v>
      </c>
      <c r="H113" s="61">
        <v>0</v>
      </c>
      <c r="I113" t="s">
        <v>16</v>
      </c>
      <c r="J113" t="s">
        <v>51</v>
      </c>
      <c r="K113" s="61">
        <v>924360000</v>
      </c>
      <c r="L113" s="61">
        <v>390253000</v>
      </c>
      <c r="M113" s="61">
        <v>534107000</v>
      </c>
      <c r="N113" s="43" t="str">
        <f t="shared" si="1"/>
        <v>$0-5B</v>
      </c>
    </row>
    <row r="114" spans="1:14" x14ac:dyDescent="0.25">
      <c r="A114" t="s">
        <v>529</v>
      </c>
      <c r="B114" t="s">
        <v>6</v>
      </c>
      <c r="C114" s="51">
        <v>41547</v>
      </c>
      <c r="D114" s="61">
        <v>11778000000</v>
      </c>
      <c r="E114" s="61">
        <v>1932000000</v>
      </c>
      <c r="F114" s="61">
        <v>2207000000</v>
      </c>
      <c r="G114" s="61">
        <v>0</v>
      </c>
      <c r="H114" s="61">
        <v>397000000</v>
      </c>
      <c r="I114" t="s">
        <v>16</v>
      </c>
      <c r="J114" t="s">
        <v>51</v>
      </c>
      <c r="K114" s="61">
        <v>9846000000</v>
      </c>
      <c r="L114" s="61">
        <v>2604000000</v>
      </c>
      <c r="M114" s="61">
        <v>7242000000</v>
      </c>
      <c r="N114" s="43" t="str">
        <f t="shared" si="1"/>
        <v>$0-5B</v>
      </c>
    </row>
    <row r="115" spans="1:14" x14ac:dyDescent="0.25">
      <c r="A115" t="s">
        <v>529</v>
      </c>
      <c r="B115" t="s">
        <v>9</v>
      </c>
      <c r="C115" s="51">
        <v>41912</v>
      </c>
      <c r="D115" s="61">
        <v>12702000000</v>
      </c>
      <c r="E115" s="61">
        <v>1875000000</v>
      </c>
      <c r="F115" s="61">
        <v>2242000000</v>
      </c>
      <c r="G115" s="61">
        <v>0</v>
      </c>
      <c r="H115" s="61">
        <v>435000000</v>
      </c>
      <c r="I115" t="s">
        <v>16</v>
      </c>
      <c r="J115" t="s">
        <v>51</v>
      </c>
      <c r="K115" s="61">
        <v>10827000000</v>
      </c>
      <c r="L115" s="61">
        <v>2677000000</v>
      </c>
      <c r="M115" s="61">
        <v>8150000000</v>
      </c>
      <c r="N115" s="43" t="str">
        <f t="shared" si="1"/>
        <v>$0-5B</v>
      </c>
    </row>
    <row r="116" spans="1:14" x14ac:dyDescent="0.25">
      <c r="A116" t="s">
        <v>529</v>
      </c>
      <c r="B116" t="s">
        <v>10</v>
      </c>
      <c r="C116" s="51">
        <v>42277</v>
      </c>
      <c r="D116" s="61">
        <v>13880000000</v>
      </c>
      <c r="E116" s="61">
        <v>2079000000</v>
      </c>
      <c r="F116" s="61">
        <v>2229000000</v>
      </c>
      <c r="G116" s="61">
        <v>0</v>
      </c>
      <c r="H116" s="61">
        <v>494000000</v>
      </c>
      <c r="I116" t="s">
        <v>16</v>
      </c>
      <c r="J116" t="s">
        <v>51</v>
      </c>
      <c r="K116" s="61">
        <v>11801000000</v>
      </c>
      <c r="L116" s="61">
        <v>2723000000</v>
      </c>
      <c r="M116" s="61">
        <v>9078000000</v>
      </c>
      <c r="N116" s="43" t="str">
        <f t="shared" si="1"/>
        <v>$0-5B</v>
      </c>
    </row>
    <row r="117" spans="1:14" x14ac:dyDescent="0.25">
      <c r="A117" t="s">
        <v>529</v>
      </c>
      <c r="B117" t="s">
        <v>11</v>
      </c>
      <c r="C117" s="51">
        <v>42643</v>
      </c>
      <c r="D117" s="61">
        <v>15082000000</v>
      </c>
      <c r="E117" s="61">
        <v>2226000000</v>
      </c>
      <c r="F117" s="61">
        <v>4469000000</v>
      </c>
      <c r="G117" s="61">
        <v>0</v>
      </c>
      <c r="H117" s="61">
        <v>502000000</v>
      </c>
      <c r="I117" t="s">
        <v>16</v>
      </c>
      <c r="J117" t="s">
        <v>51</v>
      </c>
      <c r="K117" s="61">
        <v>12856000000</v>
      </c>
      <c r="L117" s="61">
        <v>4971000000</v>
      </c>
      <c r="M117" s="61">
        <v>7885000000</v>
      </c>
      <c r="N117" s="43" t="str">
        <f t="shared" si="1"/>
        <v>$0-5B</v>
      </c>
    </row>
    <row r="118" spans="1:14" x14ac:dyDescent="0.25">
      <c r="A118" t="s">
        <v>537</v>
      </c>
      <c r="B118" t="s">
        <v>6</v>
      </c>
      <c r="C118" s="51">
        <v>41274</v>
      </c>
      <c r="D118" s="61">
        <v>873592000</v>
      </c>
      <c r="E118" s="61">
        <v>167600000</v>
      </c>
      <c r="F118" s="61">
        <v>186971000</v>
      </c>
      <c r="G118" s="61">
        <v>61694000</v>
      </c>
      <c r="H118" s="61">
        <v>0</v>
      </c>
      <c r="I118" t="s">
        <v>16</v>
      </c>
      <c r="J118" t="s">
        <v>51</v>
      </c>
      <c r="K118" s="61">
        <v>705992000</v>
      </c>
      <c r="L118" s="61">
        <v>248665000</v>
      </c>
      <c r="M118" s="61">
        <v>457327000</v>
      </c>
      <c r="N118" s="43" t="str">
        <f t="shared" si="1"/>
        <v>$0-5B</v>
      </c>
    </row>
    <row r="119" spans="1:14" x14ac:dyDescent="0.25">
      <c r="A119" t="s">
        <v>537</v>
      </c>
      <c r="B119" t="s">
        <v>9</v>
      </c>
      <c r="C119" s="51">
        <v>41639</v>
      </c>
      <c r="D119" s="61">
        <v>965087000</v>
      </c>
      <c r="E119" s="61">
        <v>187013000</v>
      </c>
      <c r="F119" s="61">
        <v>179545000</v>
      </c>
      <c r="G119" s="61">
        <v>70297000</v>
      </c>
      <c r="H119" s="61">
        <v>0</v>
      </c>
      <c r="I119" t="s">
        <v>16</v>
      </c>
      <c r="J119" t="s">
        <v>51</v>
      </c>
      <c r="K119" s="61">
        <v>778074000</v>
      </c>
      <c r="L119" s="61">
        <v>249842000</v>
      </c>
      <c r="M119" s="61">
        <v>528232000</v>
      </c>
      <c r="N119" s="43" t="str">
        <f t="shared" si="1"/>
        <v>$0-5B</v>
      </c>
    </row>
    <row r="120" spans="1:14" x14ac:dyDescent="0.25">
      <c r="A120" t="s">
        <v>537</v>
      </c>
      <c r="B120" t="s">
        <v>10</v>
      </c>
      <c r="C120" s="51">
        <v>42004</v>
      </c>
      <c r="D120" s="61">
        <v>1010117000</v>
      </c>
      <c r="E120" s="61">
        <v>188425000</v>
      </c>
      <c r="F120" s="61">
        <v>189488000</v>
      </c>
      <c r="G120" s="61">
        <v>67777000</v>
      </c>
      <c r="H120" s="61">
        <v>0</v>
      </c>
      <c r="I120" t="s">
        <v>16</v>
      </c>
      <c r="J120" t="s">
        <v>51</v>
      </c>
      <c r="K120" s="61">
        <v>821692000</v>
      </c>
      <c r="L120" s="61">
        <v>257265000</v>
      </c>
      <c r="M120" s="61">
        <v>564427000</v>
      </c>
      <c r="N120" s="43" t="str">
        <f t="shared" si="1"/>
        <v>$0-5B</v>
      </c>
    </row>
    <row r="121" spans="1:14" x14ac:dyDescent="0.25">
      <c r="A121" t="s">
        <v>537</v>
      </c>
      <c r="B121" t="s">
        <v>11</v>
      </c>
      <c r="C121" s="51">
        <v>42369</v>
      </c>
      <c r="D121" s="61">
        <v>1059366000</v>
      </c>
      <c r="E121" s="61">
        <v>192788000</v>
      </c>
      <c r="F121" s="61">
        <v>196914000</v>
      </c>
      <c r="G121" s="61">
        <v>63718000</v>
      </c>
      <c r="H121" s="61">
        <v>0</v>
      </c>
      <c r="I121" t="s">
        <v>16</v>
      </c>
      <c r="J121" t="s">
        <v>51</v>
      </c>
      <c r="K121" s="61">
        <v>866578000</v>
      </c>
      <c r="L121" s="61">
        <v>260632000</v>
      </c>
      <c r="M121" s="61">
        <v>605946000</v>
      </c>
      <c r="N121" s="43" t="str">
        <f t="shared" si="1"/>
        <v>$0-5B</v>
      </c>
    </row>
    <row r="122" spans="1:14" x14ac:dyDescent="0.25">
      <c r="A122" t="s">
        <v>552</v>
      </c>
      <c r="B122" t="s">
        <v>6</v>
      </c>
      <c r="C122" s="51">
        <v>41274</v>
      </c>
      <c r="D122" s="61">
        <v>5664800000</v>
      </c>
      <c r="E122" s="61">
        <v>3194200000</v>
      </c>
      <c r="F122" s="61">
        <v>1140600000</v>
      </c>
      <c r="G122" s="61">
        <v>0</v>
      </c>
      <c r="H122" s="61">
        <v>0</v>
      </c>
      <c r="I122" t="s">
        <v>16</v>
      </c>
      <c r="J122" t="s">
        <v>51</v>
      </c>
      <c r="K122" s="61">
        <v>2470600000</v>
      </c>
      <c r="L122" s="61">
        <v>1140600000</v>
      </c>
      <c r="M122" s="61">
        <v>1330000000</v>
      </c>
      <c r="N122" s="43" t="str">
        <f t="shared" si="1"/>
        <v>$0-5B</v>
      </c>
    </row>
    <row r="123" spans="1:14" x14ac:dyDescent="0.25">
      <c r="A123" t="s">
        <v>552</v>
      </c>
      <c r="B123" t="s">
        <v>9</v>
      </c>
      <c r="C123" s="51">
        <v>41639</v>
      </c>
      <c r="D123" s="61">
        <v>5542000000</v>
      </c>
      <c r="E123" s="61">
        <v>3235000000</v>
      </c>
      <c r="F123" s="61">
        <v>1199600000</v>
      </c>
      <c r="G123" s="61">
        <v>0</v>
      </c>
      <c r="H123" s="61">
        <v>0</v>
      </c>
      <c r="I123" t="s">
        <v>16</v>
      </c>
      <c r="J123" t="s">
        <v>51</v>
      </c>
      <c r="K123" s="61">
        <v>2307000000</v>
      </c>
      <c r="L123" s="61">
        <v>1199600000</v>
      </c>
      <c r="M123" s="61">
        <v>1107400000</v>
      </c>
      <c r="N123" s="43" t="str">
        <f t="shared" si="1"/>
        <v>$0-5B</v>
      </c>
    </row>
    <row r="124" spans="1:14" x14ac:dyDescent="0.25">
      <c r="A124" t="s">
        <v>552</v>
      </c>
      <c r="B124" t="s">
        <v>10</v>
      </c>
      <c r="C124" s="51">
        <v>42004</v>
      </c>
      <c r="D124" s="61">
        <v>5607200000</v>
      </c>
      <c r="E124" s="61">
        <v>3297400000</v>
      </c>
      <c r="F124" s="61">
        <v>1169300000</v>
      </c>
      <c r="G124" s="61">
        <v>0</v>
      </c>
      <c r="H124" s="61">
        <v>0</v>
      </c>
      <c r="I124" t="s">
        <v>16</v>
      </c>
      <c r="J124" t="s">
        <v>51</v>
      </c>
      <c r="K124" s="61">
        <v>2309800000</v>
      </c>
      <c r="L124" s="61">
        <v>1169300000</v>
      </c>
      <c r="M124" s="61">
        <v>1140500000</v>
      </c>
      <c r="N124" s="43" t="str">
        <f t="shared" si="1"/>
        <v>$0-5B</v>
      </c>
    </row>
    <row r="125" spans="1:14" x14ac:dyDescent="0.25">
      <c r="A125" t="s">
        <v>552</v>
      </c>
      <c r="B125" t="s">
        <v>11</v>
      </c>
      <c r="C125" s="51">
        <v>42369</v>
      </c>
      <c r="D125" s="61">
        <v>5483700000</v>
      </c>
      <c r="E125" s="61">
        <v>3199400000</v>
      </c>
      <c r="F125" s="61">
        <v>1174900000</v>
      </c>
      <c r="G125" s="61">
        <v>0</v>
      </c>
      <c r="H125" s="61">
        <v>0</v>
      </c>
      <c r="I125" t="s">
        <v>16</v>
      </c>
      <c r="J125" t="s">
        <v>51</v>
      </c>
      <c r="K125" s="61">
        <v>2284300000</v>
      </c>
      <c r="L125" s="61">
        <v>1174900000</v>
      </c>
      <c r="M125" s="61">
        <v>1109400000</v>
      </c>
      <c r="N125" s="43" t="str">
        <f t="shared" si="1"/>
        <v>$0-5B</v>
      </c>
    </row>
    <row r="126" spans="1:14" x14ac:dyDescent="0.25">
      <c r="A126" t="s">
        <v>565</v>
      </c>
      <c r="B126" t="s">
        <v>6</v>
      </c>
      <c r="C126" s="51">
        <v>41274</v>
      </c>
      <c r="D126" s="61">
        <v>4986566000</v>
      </c>
      <c r="E126" s="61">
        <v>1620566000</v>
      </c>
      <c r="F126" s="61">
        <v>1641819000</v>
      </c>
      <c r="G126" s="61">
        <v>885824000</v>
      </c>
      <c r="H126" s="61">
        <v>35819000</v>
      </c>
      <c r="I126" t="s">
        <v>16</v>
      </c>
      <c r="J126" t="s">
        <v>51</v>
      </c>
      <c r="K126" s="61">
        <v>3366000000</v>
      </c>
      <c r="L126" s="61">
        <v>2563462000</v>
      </c>
      <c r="M126" s="61">
        <v>802538000</v>
      </c>
      <c r="N126" s="43" t="str">
        <f t="shared" si="1"/>
        <v>$0-5B</v>
      </c>
    </row>
    <row r="127" spans="1:14" x14ac:dyDescent="0.25">
      <c r="A127" t="s">
        <v>565</v>
      </c>
      <c r="B127" t="s">
        <v>9</v>
      </c>
      <c r="C127" s="51">
        <v>41639</v>
      </c>
      <c r="D127" s="61">
        <v>4680380000</v>
      </c>
      <c r="E127" s="61">
        <v>1349380000</v>
      </c>
      <c r="F127" s="61">
        <v>1751275000</v>
      </c>
      <c r="G127" s="61">
        <v>957587000</v>
      </c>
      <c r="H127" s="61">
        <v>44841000</v>
      </c>
      <c r="I127" t="s">
        <v>16</v>
      </c>
      <c r="J127" t="s">
        <v>51</v>
      </c>
      <c r="K127" s="61">
        <v>3331000000</v>
      </c>
      <c r="L127" s="61">
        <v>2753703000</v>
      </c>
      <c r="M127" s="61">
        <v>577297000</v>
      </c>
      <c r="N127" s="43" t="str">
        <f t="shared" si="1"/>
        <v>$0-5B</v>
      </c>
    </row>
    <row r="128" spans="1:14" x14ac:dyDescent="0.25">
      <c r="A128" t="s">
        <v>565</v>
      </c>
      <c r="B128" t="s">
        <v>10</v>
      </c>
      <c r="C128" s="51">
        <v>42004</v>
      </c>
      <c r="D128" s="61">
        <v>4618133000</v>
      </c>
      <c r="E128" s="61">
        <v>1387375000</v>
      </c>
      <c r="F128" s="61">
        <v>1770710000</v>
      </c>
      <c r="G128" s="61">
        <v>1156386000</v>
      </c>
      <c r="H128" s="61">
        <v>66750000</v>
      </c>
      <c r="I128" t="s">
        <v>16</v>
      </c>
      <c r="J128" t="s">
        <v>51</v>
      </c>
      <c r="K128" s="61">
        <v>3230758000</v>
      </c>
      <c r="L128" s="61">
        <v>2993846000</v>
      </c>
      <c r="M128" s="61">
        <v>236912000</v>
      </c>
      <c r="N128" s="43" t="str">
        <f t="shared" si="1"/>
        <v>$0-5B</v>
      </c>
    </row>
    <row r="129" spans="1:14" x14ac:dyDescent="0.25">
      <c r="A129" t="s">
        <v>565</v>
      </c>
      <c r="B129" t="s">
        <v>11</v>
      </c>
      <c r="C129" s="51">
        <v>42369</v>
      </c>
      <c r="D129" s="61">
        <v>4968301000</v>
      </c>
      <c r="E129" s="61">
        <v>2077748000</v>
      </c>
      <c r="F129" s="61">
        <v>1768522000</v>
      </c>
      <c r="G129" s="61">
        <v>1177923000</v>
      </c>
      <c r="H129" s="61">
        <v>79042000</v>
      </c>
      <c r="I129" t="s">
        <v>16</v>
      </c>
      <c r="J129" t="s">
        <v>51</v>
      </c>
      <c r="K129" s="61">
        <v>2890553000</v>
      </c>
      <c r="L129" s="61">
        <v>3025487000</v>
      </c>
      <c r="M129" s="61">
        <v>-134934000</v>
      </c>
      <c r="N129" s="43" t="str">
        <f t="shared" si="1"/>
        <v>$0-5B</v>
      </c>
    </row>
    <row r="130" spans="1:14" x14ac:dyDescent="0.25">
      <c r="A130" t="s">
        <v>169</v>
      </c>
      <c r="B130" t="s">
        <v>6</v>
      </c>
      <c r="C130" s="51">
        <v>42097</v>
      </c>
      <c r="D130" s="61">
        <v>4069746000</v>
      </c>
      <c r="E130" s="61">
        <v>3282301000</v>
      </c>
      <c r="F130" s="61">
        <v>194207000</v>
      </c>
      <c r="G130" s="61">
        <v>0</v>
      </c>
      <c r="H130" s="61">
        <v>137058000</v>
      </c>
      <c r="I130" t="s">
        <v>16</v>
      </c>
      <c r="J130" t="s">
        <v>170</v>
      </c>
      <c r="K130" s="61">
        <v>787445000</v>
      </c>
      <c r="L130" s="61">
        <v>331265000</v>
      </c>
      <c r="M130" s="61">
        <v>456180000</v>
      </c>
      <c r="N130" s="43" t="str">
        <f t="shared" ref="N130:N193" si="2">"$" &amp; FLOOR(L130,5000000000)/1000000000 &amp; "-" &amp; FLOOR((L130+5000000000),5000000000)/1000000000 &amp; "B"</f>
        <v>$0-5B</v>
      </c>
    </row>
    <row r="131" spans="1:14" x14ac:dyDescent="0.25">
      <c r="A131" t="s">
        <v>169</v>
      </c>
      <c r="B131" t="s">
        <v>9</v>
      </c>
      <c r="C131" s="51">
        <v>42461</v>
      </c>
      <c r="D131" s="61">
        <v>4250447000</v>
      </c>
      <c r="E131" s="61">
        <v>3575631000</v>
      </c>
      <c r="F131" s="61">
        <v>187244000</v>
      </c>
      <c r="G131" s="61">
        <v>0</v>
      </c>
      <c r="H131" s="61">
        <v>182242000</v>
      </c>
      <c r="I131" t="s">
        <v>16</v>
      </c>
      <c r="J131" t="s">
        <v>170</v>
      </c>
      <c r="K131" s="61">
        <v>674816000</v>
      </c>
      <c r="L131" s="61">
        <v>369486000</v>
      </c>
      <c r="M131" s="61">
        <v>305330000</v>
      </c>
      <c r="N131" s="43" t="str">
        <f t="shared" si="2"/>
        <v>$0-5B</v>
      </c>
    </row>
    <row r="132" spans="1:14" x14ac:dyDescent="0.25">
      <c r="A132" t="s">
        <v>178</v>
      </c>
      <c r="B132" t="s">
        <v>6</v>
      </c>
      <c r="C132" s="51">
        <v>41274</v>
      </c>
      <c r="D132" s="61">
        <v>7346472000</v>
      </c>
      <c r="E132" s="61">
        <v>4278241000</v>
      </c>
      <c r="F132" s="61">
        <v>1557646000</v>
      </c>
      <c r="G132" s="61">
        <v>0</v>
      </c>
      <c r="H132" s="61">
        <v>149089000</v>
      </c>
      <c r="I132" t="s">
        <v>16</v>
      </c>
      <c r="J132" t="s">
        <v>170</v>
      </c>
      <c r="K132" s="61">
        <v>3068231000</v>
      </c>
      <c r="L132" s="61">
        <v>1706735000</v>
      </c>
      <c r="M132" s="61">
        <v>1361496000</v>
      </c>
      <c r="N132" s="43" t="str">
        <f t="shared" si="2"/>
        <v>$0-5B</v>
      </c>
    </row>
    <row r="133" spans="1:14" x14ac:dyDescent="0.25">
      <c r="A133" t="s">
        <v>178</v>
      </c>
      <c r="B133" t="s">
        <v>9</v>
      </c>
      <c r="C133" s="51">
        <v>41639</v>
      </c>
      <c r="D133" s="61">
        <v>8843200000</v>
      </c>
      <c r="E133" s="61">
        <v>5265500000</v>
      </c>
      <c r="F133" s="61">
        <v>1727600000</v>
      </c>
      <c r="G133" s="61">
        <v>0</v>
      </c>
      <c r="H133" s="61">
        <v>172200000</v>
      </c>
      <c r="I133" t="s">
        <v>16</v>
      </c>
      <c r="J133" t="s">
        <v>170</v>
      </c>
      <c r="K133" s="61">
        <v>3577700000</v>
      </c>
      <c r="L133" s="61">
        <v>1899800000</v>
      </c>
      <c r="M133" s="61">
        <v>1677900000</v>
      </c>
      <c r="N133" s="43" t="str">
        <f t="shared" si="2"/>
        <v>$0-5B</v>
      </c>
    </row>
    <row r="134" spans="1:14" x14ac:dyDescent="0.25">
      <c r="A134" t="s">
        <v>178</v>
      </c>
      <c r="B134" t="s">
        <v>10</v>
      </c>
      <c r="C134" s="51">
        <v>42004</v>
      </c>
      <c r="D134" s="61">
        <v>10262700000</v>
      </c>
      <c r="E134" s="61">
        <v>6141100000</v>
      </c>
      <c r="F134" s="61">
        <v>2037000000</v>
      </c>
      <c r="G134" s="61">
        <v>0</v>
      </c>
      <c r="H134" s="61">
        <v>199700000</v>
      </c>
      <c r="I134" t="s">
        <v>16</v>
      </c>
      <c r="J134" t="s">
        <v>170</v>
      </c>
      <c r="K134" s="61">
        <v>4121600000</v>
      </c>
      <c r="L134" s="61">
        <v>2236700000</v>
      </c>
      <c r="M134" s="61">
        <v>1884900000</v>
      </c>
      <c r="N134" s="43" t="str">
        <f t="shared" si="2"/>
        <v>$0-5B</v>
      </c>
    </row>
    <row r="135" spans="1:14" x14ac:dyDescent="0.25">
      <c r="A135" t="s">
        <v>178</v>
      </c>
      <c r="B135" t="s">
        <v>11</v>
      </c>
      <c r="C135" s="51">
        <v>42369</v>
      </c>
      <c r="D135" s="61">
        <v>12416000000</v>
      </c>
      <c r="E135" s="61">
        <v>7440200000</v>
      </c>
      <c r="F135" s="61">
        <v>2508600000</v>
      </c>
      <c r="G135" s="61">
        <v>0</v>
      </c>
      <c r="H135" s="61">
        <v>325200000</v>
      </c>
      <c r="I135" t="s">
        <v>16</v>
      </c>
      <c r="J135" t="s">
        <v>170</v>
      </c>
      <c r="K135" s="61">
        <v>4975800000</v>
      </c>
      <c r="L135" s="61">
        <v>2833800000</v>
      </c>
      <c r="M135" s="61">
        <v>2142000000</v>
      </c>
      <c r="N135" s="43" t="str">
        <f t="shared" si="2"/>
        <v>$0-5B</v>
      </c>
    </row>
    <row r="136" spans="1:14" x14ac:dyDescent="0.25">
      <c r="A136" t="s">
        <v>308</v>
      </c>
      <c r="B136" t="s">
        <v>6</v>
      </c>
      <c r="C136" s="51">
        <v>41274</v>
      </c>
      <c r="D136" s="61">
        <v>102874000000</v>
      </c>
      <c r="E136" s="61">
        <v>52513000000</v>
      </c>
      <c r="F136" s="61">
        <v>22389000000</v>
      </c>
      <c r="G136" s="61">
        <v>5816000000</v>
      </c>
      <c r="H136" s="61">
        <v>0</v>
      </c>
      <c r="I136" t="s">
        <v>16</v>
      </c>
      <c r="J136" t="s">
        <v>170</v>
      </c>
      <c r="K136" s="61">
        <v>50361000000</v>
      </c>
      <c r="L136" s="61">
        <v>28205000000</v>
      </c>
      <c r="M136" s="61">
        <v>22156000000</v>
      </c>
      <c r="N136" s="43" t="str">
        <f t="shared" si="2"/>
        <v>$25-30B</v>
      </c>
    </row>
    <row r="137" spans="1:14" x14ac:dyDescent="0.25">
      <c r="A137" t="s">
        <v>308</v>
      </c>
      <c r="B137" t="s">
        <v>9</v>
      </c>
      <c r="C137" s="51">
        <v>41639</v>
      </c>
      <c r="D137" s="61">
        <v>98367000000</v>
      </c>
      <c r="E137" s="61">
        <v>49683000000</v>
      </c>
      <c r="F137" s="61">
        <v>22629000000</v>
      </c>
      <c r="G137" s="61">
        <v>5743000000</v>
      </c>
      <c r="H137" s="61">
        <v>0</v>
      </c>
      <c r="I137" t="s">
        <v>16</v>
      </c>
      <c r="J137" t="s">
        <v>170</v>
      </c>
      <c r="K137" s="61">
        <v>48684000000</v>
      </c>
      <c r="L137" s="61">
        <v>28372000000</v>
      </c>
      <c r="M137" s="61">
        <v>20312000000</v>
      </c>
      <c r="N137" s="43" t="str">
        <f t="shared" si="2"/>
        <v>$25-30B</v>
      </c>
    </row>
    <row r="138" spans="1:14" x14ac:dyDescent="0.25">
      <c r="A138" t="s">
        <v>308</v>
      </c>
      <c r="B138" t="s">
        <v>10</v>
      </c>
      <c r="C138" s="51">
        <v>42004</v>
      </c>
      <c r="D138" s="61">
        <v>92793000000</v>
      </c>
      <c r="E138" s="61">
        <v>46386000000</v>
      </c>
      <c r="F138" s="61">
        <v>22438000000</v>
      </c>
      <c r="G138" s="61">
        <v>5437000000</v>
      </c>
      <c r="H138" s="61">
        <v>0</v>
      </c>
      <c r="I138" t="s">
        <v>16</v>
      </c>
      <c r="J138" t="s">
        <v>170</v>
      </c>
      <c r="K138" s="61">
        <v>46407000000</v>
      </c>
      <c r="L138" s="61">
        <v>27875000000</v>
      </c>
      <c r="M138" s="61">
        <v>18532000000</v>
      </c>
      <c r="N138" s="43" t="str">
        <f t="shared" si="2"/>
        <v>$25-30B</v>
      </c>
    </row>
    <row r="139" spans="1:14" x14ac:dyDescent="0.25">
      <c r="A139" t="s">
        <v>308</v>
      </c>
      <c r="B139" t="s">
        <v>11</v>
      </c>
      <c r="C139" s="51">
        <v>42369</v>
      </c>
      <c r="D139" s="61">
        <v>81741000000</v>
      </c>
      <c r="E139" s="61">
        <v>41057000000</v>
      </c>
      <c r="F139" s="61">
        <v>19748000000</v>
      </c>
      <c r="G139" s="61">
        <v>5247000000</v>
      </c>
      <c r="H139" s="61">
        <v>0</v>
      </c>
      <c r="I139" t="s">
        <v>16</v>
      </c>
      <c r="J139" t="s">
        <v>170</v>
      </c>
      <c r="K139" s="61">
        <v>40684000000</v>
      </c>
      <c r="L139" s="61">
        <v>24995000000</v>
      </c>
      <c r="M139" s="61">
        <v>15689000000</v>
      </c>
      <c r="N139" s="43" t="str">
        <f t="shared" si="2"/>
        <v>$20-25B</v>
      </c>
    </row>
    <row r="140" spans="1:14" x14ac:dyDescent="0.25">
      <c r="A140" t="s">
        <v>563</v>
      </c>
      <c r="B140" t="s">
        <v>6</v>
      </c>
      <c r="C140" s="51">
        <v>41274</v>
      </c>
      <c r="D140" s="61">
        <v>20421000000</v>
      </c>
      <c r="E140" s="61">
        <v>13634000000</v>
      </c>
      <c r="F140" s="61">
        <v>4398000000</v>
      </c>
      <c r="G140" s="61">
        <v>655000000</v>
      </c>
      <c r="H140" s="61">
        <v>301000000</v>
      </c>
      <c r="I140" t="s">
        <v>16</v>
      </c>
      <c r="J140" t="s">
        <v>170</v>
      </c>
      <c r="K140" s="61">
        <v>6787000000</v>
      </c>
      <c r="L140" s="61">
        <v>5354000000</v>
      </c>
      <c r="M140" s="61">
        <v>1433000000</v>
      </c>
      <c r="N140" s="43" t="str">
        <f t="shared" si="2"/>
        <v>$5-10B</v>
      </c>
    </row>
    <row r="141" spans="1:14" x14ac:dyDescent="0.25">
      <c r="A141" t="s">
        <v>563</v>
      </c>
      <c r="B141" t="s">
        <v>9</v>
      </c>
      <c r="C141" s="51">
        <v>41639</v>
      </c>
      <c r="D141" s="61">
        <v>20006000000</v>
      </c>
      <c r="E141" s="61">
        <v>13521000000</v>
      </c>
      <c r="F141" s="61">
        <v>4219000000</v>
      </c>
      <c r="G141" s="61">
        <v>603000000</v>
      </c>
      <c r="H141" s="61">
        <v>305000000</v>
      </c>
      <c r="I141" t="s">
        <v>16</v>
      </c>
      <c r="J141" t="s">
        <v>170</v>
      </c>
      <c r="K141" s="61">
        <v>6485000000</v>
      </c>
      <c r="L141" s="61">
        <v>5127000000</v>
      </c>
      <c r="M141" s="61">
        <v>1358000000</v>
      </c>
      <c r="N141" s="43" t="str">
        <f t="shared" si="2"/>
        <v>$5-10B</v>
      </c>
    </row>
    <row r="142" spans="1:14" x14ac:dyDescent="0.25">
      <c r="A142" t="s">
        <v>563</v>
      </c>
      <c r="B142" t="s">
        <v>10</v>
      </c>
      <c r="C142" s="51">
        <v>42004</v>
      </c>
      <c r="D142" s="61">
        <v>19540000000</v>
      </c>
      <c r="E142" s="61">
        <v>13294000000</v>
      </c>
      <c r="F142" s="61">
        <v>4020000000</v>
      </c>
      <c r="G142" s="61">
        <v>577000000</v>
      </c>
      <c r="H142" s="61">
        <v>315000000</v>
      </c>
      <c r="I142" t="s">
        <v>16</v>
      </c>
      <c r="J142" t="s">
        <v>170</v>
      </c>
      <c r="K142" s="61">
        <v>6246000000</v>
      </c>
      <c r="L142" s="61">
        <v>4912000000</v>
      </c>
      <c r="M142" s="61">
        <v>1334000000</v>
      </c>
      <c r="N142" s="43" t="str">
        <f t="shared" si="2"/>
        <v>$0-5B</v>
      </c>
    </row>
    <row r="143" spans="1:14" x14ac:dyDescent="0.25">
      <c r="A143" t="s">
        <v>563</v>
      </c>
      <c r="B143" t="s">
        <v>11</v>
      </c>
      <c r="C143" s="51">
        <v>42369</v>
      </c>
      <c r="D143" s="61">
        <v>18045000000</v>
      </c>
      <c r="E143" s="61">
        <v>12782000000</v>
      </c>
      <c r="F143" s="61">
        <v>3792000000</v>
      </c>
      <c r="G143" s="61">
        <v>563000000</v>
      </c>
      <c r="H143" s="61">
        <v>310000000</v>
      </c>
      <c r="I143" t="s">
        <v>16</v>
      </c>
      <c r="J143" t="s">
        <v>170</v>
      </c>
      <c r="K143" s="61">
        <v>5263000000</v>
      </c>
      <c r="L143" s="61">
        <v>4665000000</v>
      </c>
      <c r="M143" s="61">
        <v>598000000</v>
      </c>
      <c r="N143" s="43" t="str">
        <f t="shared" si="2"/>
        <v>$0-5B</v>
      </c>
    </row>
    <row r="144" spans="1:14" x14ac:dyDescent="0.25">
      <c r="A144" t="s">
        <v>167</v>
      </c>
      <c r="B144" t="s">
        <v>6</v>
      </c>
      <c r="C144" s="51">
        <v>41482</v>
      </c>
      <c r="D144" s="61">
        <v>48607000000</v>
      </c>
      <c r="E144" s="61">
        <v>19167000000</v>
      </c>
      <c r="F144" s="61">
        <v>11802000000</v>
      </c>
      <c r="G144" s="61">
        <v>5942000000</v>
      </c>
      <c r="H144" s="61">
        <v>395000000</v>
      </c>
      <c r="I144" t="s">
        <v>16</v>
      </c>
      <c r="J144" t="s">
        <v>168</v>
      </c>
      <c r="K144" s="61">
        <v>29440000000</v>
      </c>
      <c r="L144" s="61">
        <v>18139000000</v>
      </c>
      <c r="M144" s="61">
        <v>11301000000</v>
      </c>
      <c r="N144" s="43" t="str">
        <f t="shared" si="2"/>
        <v>$15-20B</v>
      </c>
    </row>
    <row r="145" spans="1:14" x14ac:dyDescent="0.25">
      <c r="A145" t="s">
        <v>167</v>
      </c>
      <c r="B145" t="s">
        <v>9</v>
      </c>
      <c r="C145" s="51">
        <v>41846</v>
      </c>
      <c r="D145" s="61">
        <v>47142000000</v>
      </c>
      <c r="E145" s="61">
        <v>19373000000</v>
      </c>
      <c r="F145" s="61">
        <v>11437000000</v>
      </c>
      <c r="G145" s="61">
        <v>6294000000</v>
      </c>
      <c r="H145" s="61">
        <v>275000000</v>
      </c>
      <c r="I145" t="s">
        <v>16</v>
      </c>
      <c r="J145" t="s">
        <v>168</v>
      </c>
      <c r="K145" s="61">
        <v>27769000000</v>
      </c>
      <c r="L145" s="61">
        <v>18006000000</v>
      </c>
      <c r="M145" s="61">
        <v>9763000000</v>
      </c>
      <c r="N145" s="43" t="str">
        <f t="shared" si="2"/>
        <v>$15-20B</v>
      </c>
    </row>
    <row r="146" spans="1:14" x14ac:dyDescent="0.25">
      <c r="A146" t="s">
        <v>167</v>
      </c>
      <c r="B146" t="s">
        <v>10</v>
      </c>
      <c r="C146" s="51">
        <v>42210</v>
      </c>
      <c r="D146" s="61">
        <v>49161000000</v>
      </c>
      <c r="E146" s="61">
        <v>19480000000</v>
      </c>
      <c r="F146" s="61">
        <v>11861000000</v>
      </c>
      <c r="G146" s="61">
        <v>6207000000</v>
      </c>
      <c r="H146" s="61">
        <v>359000000</v>
      </c>
      <c r="I146" t="s">
        <v>16</v>
      </c>
      <c r="J146" t="s">
        <v>168</v>
      </c>
      <c r="K146" s="61">
        <v>29681000000</v>
      </c>
      <c r="L146" s="61">
        <v>18427000000</v>
      </c>
      <c r="M146" s="61">
        <v>11254000000</v>
      </c>
      <c r="N146" s="43" t="str">
        <f t="shared" si="2"/>
        <v>$15-20B</v>
      </c>
    </row>
    <row r="147" spans="1:14" x14ac:dyDescent="0.25">
      <c r="A147" t="s">
        <v>167</v>
      </c>
      <c r="B147" t="s">
        <v>11</v>
      </c>
      <c r="C147" s="51">
        <v>42581</v>
      </c>
      <c r="D147" s="61">
        <v>49247000000</v>
      </c>
      <c r="E147" s="61">
        <v>18287000000</v>
      </c>
      <c r="F147" s="61">
        <v>11433000000</v>
      </c>
      <c r="G147" s="61">
        <v>6296000000</v>
      </c>
      <c r="H147" s="61">
        <v>303000000</v>
      </c>
      <c r="I147" t="s">
        <v>16</v>
      </c>
      <c r="J147" t="s">
        <v>168</v>
      </c>
      <c r="K147" s="61">
        <v>30960000000</v>
      </c>
      <c r="L147" s="61">
        <v>18032000000</v>
      </c>
      <c r="M147" s="61">
        <v>12928000000</v>
      </c>
      <c r="N147" s="43" t="str">
        <f t="shared" si="2"/>
        <v>$15-20B</v>
      </c>
    </row>
    <row r="148" spans="1:14" x14ac:dyDescent="0.25">
      <c r="A148" t="s">
        <v>247</v>
      </c>
      <c r="B148" t="s">
        <v>6</v>
      </c>
      <c r="C148" s="51">
        <v>41547</v>
      </c>
      <c r="D148" s="61">
        <v>1481314000</v>
      </c>
      <c r="E148" s="61">
        <v>253047000</v>
      </c>
      <c r="F148" s="61">
        <v>587835000</v>
      </c>
      <c r="G148" s="61">
        <v>209614000</v>
      </c>
      <c r="H148" s="61">
        <v>0</v>
      </c>
      <c r="I148" t="s">
        <v>16</v>
      </c>
      <c r="J148" t="s">
        <v>168</v>
      </c>
      <c r="K148" s="61">
        <v>1228267000</v>
      </c>
      <c r="L148" s="61">
        <v>797449000</v>
      </c>
      <c r="M148" s="61">
        <v>430818000</v>
      </c>
      <c r="N148" s="43" t="str">
        <f t="shared" si="2"/>
        <v>$0-5B</v>
      </c>
    </row>
    <row r="149" spans="1:14" x14ac:dyDescent="0.25">
      <c r="A149" t="s">
        <v>247</v>
      </c>
      <c r="B149" t="s">
        <v>9</v>
      </c>
      <c r="C149" s="51">
        <v>41912</v>
      </c>
      <c r="D149" s="61">
        <v>1732046000</v>
      </c>
      <c r="E149" s="61">
        <v>309959000</v>
      </c>
      <c r="F149" s="61">
        <v>664738000</v>
      </c>
      <c r="G149" s="61">
        <v>263792000</v>
      </c>
      <c r="H149" s="61">
        <v>0</v>
      </c>
      <c r="I149" t="s">
        <v>16</v>
      </c>
      <c r="J149" t="s">
        <v>168</v>
      </c>
      <c r="K149" s="61">
        <v>1422087000</v>
      </c>
      <c r="L149" s="61">
        <v>928530000</v>
      </c>
      <c r="M149" s="61">
        <v>493557000</v>
      </c>
      <c r="N149" s="43" t="str">
        <f t="shared" si="2"/>
        <v>$0-5B</v>
      </c>
    </row>
    <row r="150" spans="1:14" x14ac:dyDescent="0.25">
      <c r="A150" t="s">
        <v>247</v>
      </c>
      <c r="B150" t="s">
        <v>10</v>
      </c>
      <c r="C150" s="51">
        <v>42277</v>
      </c>
      <c r="D150" s="61">
        <v>1919823000</v>
      </c>
      <c r="E150" s="61">
        <v>332261000</v>
      </c>
      <c r="F150" s="61">
        <v>738080000</v>
      </c>
      <c r="G150" s="61">
        <v>296583000</v>
      </c>
      <c r="H150" s="61">
        <v>0</v>
      </c>
      <c r="I150" t="s">
        <v>16</v>
      </c>
      <c r="J150" t="s">
        <v>168</v>
      </c>
      <c r="K150" s="61">
        <v>1587562000</v>
      </c>
      <c r="L150" s="61">
        <v>1034663000</v>
      </c>
      <c r="M150" s="61">
        <v>552899000</v>
      </c>
      <c r="N150" s="43" t="str">
        <f t="shared" si="2"/>
        <v>$0-5B</v>
      </c>
    </row>
    <row r="151" spans="1:14" x14ac:dyDescent="0.25">
      <c r="A151" t="s">
        <v>247</v>
      </c>
      <c r="B151" t="s">
        <v>11</v>
      </c>
      <c r="C151" s="51">
        <v>42643</v>
      </c>
      <c r="D151" s="61">
        <v>1995034000</v>
      </c>
      <c r="E151" s="61">
        <v>337205000</v>
      </c>
      <c r="F151" s="61">
        <v>767174000</v>
      </c>
      <c r="G151" s="61">
        <v>334227000</v>
      </c>
      <c r="H151" s="61">
        <v>0</v>
      </c>
      <c r="I151" t="s">
        <v>16</v>
      </c>
      <c r="J151" t="s">
        <v>168</v>
      </c>
      <c r="K151" s="61">
        <v>1657829000</v>
      </c>
      <c r="L151" s="61">
        <v>1101401000</v>
      </c>
      <c r="M151" s="61">
        <v>556428000</v>
      </c>
      <c r="N151" s="43" t="str">
        <f t="shared" si="2"/>
        <v>$0-5B</v>
      </c>
    </row>
    <row r="152" spans="1:14" x14ac:dyDescent="0.25">
      <c r="A152" t="s">
        <v>325</v>
      </c>
      <c r="B152" t="s">
        <v>6</v>
      </c>
      <c r="C152" s="51">
        <v>41274</v>
      </c>
      <c r="D152" s="61">
        <v>4365400000</v>
      </c>
      <c r="E152" s="61">
        <v>1656600000</v>
      </c>
      <c r="F152" s="61">
        <v>1252300000</v>
      </c>
      <c r="G152" s="61">
        <v>1101600000</v>
      </c>
      <c r="H152" s="61">
        <v>0</v>
      </c>
      <c r="I152" t="s">
        <v>16</v>
      </c>
      <c r="J152" t="s">
        <v>168</v>
      </c>
      <c r="K152" s="61">
        <v>2708800000</v>
      </c>
      <c r="L152" s="61">
        <v>2353900000</v>
      </c>
      <c r="M152" s="61">
        <v>354900000</v>
      </c>
      <c r="N152" s="43" t="str">
        <f t="shared" si="2"/>
        <v>$0-5B</v>
      </c>
    </row>
    <row r="153" spans="1:14" x14ac:dyDescent="0.25">
      <c r="A153" t="s">
        <v>325</v>
      </c>
      <c r="B153" t="s">
        <v>9</v>
      </c>
      <c r="C153" s="51">
        <v>41639</v>
      </c>
      <c r="D153" s="61">
        <v>4669100000</v>
      </c>
      <c r="E153" s="61">
        <v>1727700000</v>
      </c>
      <c r="F153" s="61">
        <v>1293200000</v>
      </c>
      <c r="G153" s="61">
        <v>1043200000</v>
      </c>
      <c r="H153" s="61">
        <v>0</v>
      </c>
      <c r="I153" t="s">
        <v>16</v>
      </c>
      <c r="J153" t="s">
        <v>168</v>
      </c>
      <c r="K153" s="61">
        <v>2941400000</v>
      </c>
      <c r="L153" s="61">
        <v>2336400000</v>
      </c>
      <c r="M153" s="61">
        <v>605000000</v>
      </c>
      <c r="N153" s="43" t="str">
        <f t="shared" si="2"/>
        <v>$0-5B</v>
      </c>
    </row>
    <row r="154" spans="1:14" x14ac:dyDescent="0.25">
      <c r="A154" t="s">
        <v>325</v>
      </c>
      <c r="B154" t="s">
        <v>10</v>
      </c>
      <c r="C154" s="51">
        <v>42004</v>
      </c>
      <c r="D154" s="61">
        <v>4627100000</v>
      </c>
      <c r="E154" s="61">
        <v>1768900000</v>
      </c>
      <c r="F154" s="61">
        <v>1254700000</v>
      </c>
      <c r="G154" s="61">
        <v>1006200000</v>
      </c>
      <c r="H154" s="61">
        <v>0</v>
      </c>
      <c r="I154" t="s">
        <v>16</v>
      </c>
      <c r="J154" t="s">
        <v>168</v>
      </c>
      <c r="K154" s="61">
        <v>2858200000</v>
      </c>
      <c r="L154" s="61">
        <v>2260900000</v>
      </c>
      <c r="M154" s="61">
        <v>597300000</v>
      </c>
      <c r="N154" s="43" t="str">
        <f t="shared" si="2"/>
        <v>$0-5B</v>
      </c>
    </row>
    <row r="155" spans="1:14" x14ac:dyDescent="0.25">
      <c r="A155" t="s">
        <v>325</v>
      </c>
      <c r="B155" t="s">
        <v>11</v>
      </c>
      <c r="C155" s="51">
        <v>42369</v>
      </c>
      <c r="D155" s="61">
        <v>4857800000</v>
      </c>
      <c r="E155" s="61">
        <v>1779200000</v>
      </c>
      <c r="F155" s="61">
        <v>1172700000</v>
      </c>
      <c r="G155" s="61">
        <v>994500000</v>
      </c>
      <c r="H155" s="61">
        <v>0</v>
      </c>
      <c r="I155" t="s">
        <v>16</v>
      </c>
      <c r="J155" t="s">
        <v>168</v>
      </c>
      <c r="K155" s="61">
        <v>3078600000</v>
      </c>
      <c r="L155" s="61">
        <v>2167200000</v>
      </c>
      <c r="M155" s="61">
        <v>911400000</v>
      </c>
      <c r="N155" s="43" t="str">
        <f t="shared" si="2"/>
        <v>$0-5B</v>
      </c>
    </row>
    <row r="156" spans="1:14" x14ac:dyDescent="0.25">
      <c r="A156" t="s">
        <v>61</v>
      </c>
      <c r="B156" t="s">
        <v>6</v>
      </c>
      <c r="C156" s="51">
        <v>41574</v>
      </c>
      <c r="D156" s="61">
        <v>7509000000</v>
      </c>
      <c r="E156" s="61">
        <v>4518000000</v>
      </c>
      <c r="F156" s="61">
        <v>898000000</v>
      </c>
      <c r="G156" s="61">
        <v>1320000000</v>
      </c>
      <c r="H156" s="61">
        <v>0</v>
      </c>
      <c r="I156" t="s">
        <v>16</v>
      </c>
      <c r="J156" t="s">
        <v>62</v>
      </c>
      <c r="K156" s="61">
        <v>2991000000</v>
      </c>
      <c r="L156" s="61">
        <v>2218000000</v>
      </c>
      <c r="M156" s="61">
        <v>773000000</v>
      </c>
      <c r="N156" s="43" t="str">
        <f t="shared" si="2"/>
        <v>$0-5B</v>
      </c>
    </row>
    <row r="157" spans="1:14" x14ac:dyDescent="0.25">
      <c r="A157" t="s">
        <v>61</v>
      </c>
      <c r="B157" t="s">
        <v>9</v>
      </c>
      <c r="C157" s="51">
        <v>41938</v>
      </c>
      <c r="D157" s="61">
        <v>9072000000</v>
      </c>
      <c r="E157" s="61">
        <v>5229000000</v>
      </c>
      <c r="F157" s="61">
        <v>895000000</v>
      </c>
      <c r="G157" s="61">
        <v>1428000000</v>
      </c>
      <c r="H157" s="61">
        <v>0</v>
      </c>
      <c r="I157" t="s">
        <v>16</v>
      </c>
      <c r="J157" t="s">
        <v>62</v>
      </c>
      <c r="K157" s="61">
        <v>3843000000</v>
      </c>
      <c r="L157" s="61">
        <v>2323000000</v>
      </c>
      <c r="M157" s="61">
        <v>1520000000</v>
      </c>
      <c r="N157" s="43" t="str">
        <f t="shared" si="2"/>
        <v>$0-5B</v>
      </c>
    </row>
    <row r="158" spans="1:14" x14ac:dyDescent="0.25">
      <c r="A158" t="s">
        <v>61</v>
      </c>
      <c r="B158" t="s">
        <v>10</v>
      </c>
      <c r="C158" s="51">
        <v>42302</v>
      </c>
      <c r="D158" s="61">
        <v>9659000000</v>
      </c>
      <c r="E158" s="61">
        <v>5707000000</v>
      </c>
      <c r="F158" s="61">
        <v>808000000</v>
      </c>
      <c r="G158" s="61">
        <v>1451000000</v>
      </c>
      <c r="H158" s="61">
        <v>0</v>
      </c>
      <c r="I158" t="s">
        <v>16</v>
      </c>
      <c r="J158" t="s">
        <v>62</v>
      </c>
      <c r="K158" s="61">
        <v>3952000000</v>
      </c>
      <c r="L158" s="61">
        <v>2259000000</v>
      </c>
      <c r="M158" s="61">
        <v>1693000000</v>
      </c>
      <c r="N158" s="43" t="str">
        <f t="shared" si="2"/>
        <v>$0-5B</v>
      </c>
    </row>
    <row r="159" spans="1:14" x14ac:dyDescent="0.25">
      <c r="A159" t="s">
        <v>61</v>
      </c>
      <c r="B159" t="s">
        <v>11</v>
      </c>
      <c r="C159" s="51">
        <v>42673</v>
      </c>
      <c r="D159" s="61">
        <v>10825000000</v>
      </c>
      <c r="E159" s="61">
        <v>6314000000</v>
      </c>
      <c r="F159" s="61">
        <v>819000000</v>
      </c>
      <c r="G159" s="61">
        <v>1540000000</v>
      </c>
      <c r="H159" s="61">
        <v>0</v>
      </c>
      <c r="I159" t="s">
        <v>16</v>
      </c>
      <c r="J159" t="s">
        <v>62</v>
      </c>
      <c r="K159" s="61">
        <v>4511000000</v>
      </c>
      <c r="L159" s="61">
        <v>2359000000</v>
      </c>
      <c r="M159" s="61">
        <v>2152000000</v>
      </c>
      <c r="N159" s="43" t="str">
        <f t="shared" si="2"/>
        <v>$0-5B</v>
      </c>
    </row>
    <row r="160" spans="1:14" x14ac:dyDescent="0.25">
      <c r="A160" t="s">
        <v>332</v>
      </c>
      <c r="B160" t="s">
        <v>6</v>
      </c>
      <c r="C160" s="51">
        <v>41455</v>
      </c>
      <c r="D160" s="61">
        <v>2842781000</v>
      </c>
      <c r="E160" s="61">
        <v>1237452000</v>
      </c>
      <c r="F160" s="61">
        <v>387812000</v>
      </c>
      <c r="G160" s="61">
        <v>487832000</v>
      </c>
      <c r="H160" s="61">
        <v>0</v>
      </c>
      <c r="I160" t="s">
        <v>16</v>
      </c>
      <c r="J160" t="s">
        <v>62</v>
      </c>
      <c r="K160" s="61">
        <v>1605329000</v>
      </c>
      <c r="L160" s="61">
        <v>875644000</v>
      </c>
      <c r="M160" s="61">
        <v>729685000</v>
      </c>
      <c r="N160" s="43" t="str">
        <f t="shared" si="2"/>
        <v>$0-5B</v>
      </c>
    </row>
    <row r="161" spans="1:14" x14ac:dyDescent="0.25">
      <c r="A161" t="s">
        <v>332</v>
      </c>
      <c r="B161" t="s">
        <v>9</v>
      </c>
      <c r="C161" s="51">
        <v>41820</v>
      </c>
      <c r="D161" s="61">
        <v>2929408000</v>
      </c>
      <c r="E161" s="61">
        <v>1232962000</v>
      </c>
      <c r="F161" s="61">
        <v>384907000</v>
      </c>
      <c r="G161" s="61">
        <v>539469000</v>
      </c>
      <c r="H161" s="61">
        <v>0</v>
      </c>
      <c r="I161" t="s">
        <v>16</v>
      </c>
      <c r="J161" t="s">
        <v>62</v>
      </c>
      <c r="K161" s="61">
        <v>1696446000</v>
      </c>
      <c r="L161" s="61">
        <v>924376000</v>
      </c>
      <c r="M161" s="61">
        <v>772070000</v>
      </c>
      <c r="N161" s="43" t="str">
        <f t="shared" si="2"/>
        <v>$0-5B</v>
      </c>
    </row>
    <row r="162" spans="1:14" x14ac:dyDescent="0.25">
      <c r="A162" t="s">
        <v>332</v>
      </c>
      <c r="B162" t="s">
        <v>10</v>
      </c>
      <c r="C162" s="51">
        <v>42185</v>
      </c>
      <c r="D162" s="61">
        <v>2814049000</v>
      </c>
      <c r="E162" s="61">
        <v>1215229000</v>
      </c>
      <c r="F162" s="61">
        <v>406864000</v>
      </c>
      <c r="G162" s="61">
        <v>530616000</v>
      </c>
      <c r="H162" s="61">
        <v>0</v>
      </c>
      <c r="I162" t="s">
        <v>16</v>
      </c>
      <c r="J162" t="s">
        <v>62</v>
      </c>
      <c r="K162" s="61">
        <v>1598820000</v>
      </c>
      <c r="L162" s="61">
        <v>937480000</v>
      </c>
      <c r="M162" s="61">
        <v>661340000</v>
      </c>
      <c r="N162" s="43" t="str">
        <f t="shared" si="2"/>
        <v>$0-5B</v>
      </c>
    </row>
    <row r="163" spans="1:14" x14ac:dyDescent="0.25">
      <c r="A163" t="s">
        <v>332</v>
      </c>
      <c r="B163" t="s">
        <v>11</v>
      </c>
      <c r="C163" s="51">
        <v>42551</v>
      </c>
      <c r="D163" s="61">
        <v>2984493000</v>
      </c>
      <c r="E163" s="61">
        <v>1163391000</v>
      </c>
      <c r="F163" s="61">
        <v>379399000</v>
      </c>
      <c r="G163" s="61">
        <v>481258000</v>
      </c>
      <c r="H163" s="61">
        <v>0</v>
      </c>
      <c r="I163" t="s">
        <v>16</v>
      </c>
      <c r="J163" t="s">
        <v>62</v>
      </c>
      <c r="K163" s="61">
        <v>1821102000</v>
      </c>
      <c r="L163" s="61">
        <v>860657000</v>
      </c>
      <c r="M163" s="61">
        <v>960445000</v>
      </c>
      <c r="N163" s="43" t="str">
        <f t="shared" si="2"/>
        <v>$0-5B</v>
      </c>
    </row>
    <row r="164" spans="1:14" x14ac:dyDescent="0.25">
      <c r="A164" t="s">
        <v>355</v>
      </c>
      <c r="B164" t="s">
        <v>6</v>
      </c>
      <c r="C164" s="51">
        <v>41455</v>
      </c>
      <c r="D164" s="61">
        <v>3598916000</v>
      </c>
      <c r="E164" s="61">
        <v>2195857000</v>
      </c>
      <c r="F164" s="61">
        <v>601300000</v>
      </c>
      <c r="G164" s="61">
        <v>683688000</v>
      </c>
      <c r="H164" s="61">
        <v>0</v>
      </c>
      <c r="I164" t="s">
        <v>16</v>
      </c>
      <c r="J164" t="s">
        <v>62</v>
      </c>
      <c r="K164" s="61">
        <v>1403059000</v>
      </c>
      <c r="L164" s="61">
        <v>1284988000</v>
      </c>
      <c r="M164" s="61">
        <v>118071000</v>
      </c>
      <c r="N164" s="43" t="str">
        <f t="shared" si="2"/>
        <v>$0-5B</v>
      </c>
    </row>
    <row r="165" spans="1:14" x14ac:dyDescent="0.25">
      <c r="A165" t="s">
        <v>355</v>
      </c>
      <c r="B165" t="s">
        <v>9</v>
      </c>
      <c r="C165" s="51">
        <v>41819</v>
      </c>
      <c r="D165" s="61">
        <v>4607309000</v>
      </c>
      <c r="E165" s="61">
        <v>2599828000</v>
      </c>
      <c r="F165" s="61">
        <v>613341000</v>
      </c>
      <c r="G165" s="61">
        <v>716471000</v>
      </c>
      <c r="H165" s="61">
        <v>0</v>
      </c>
      <c r="I165" t="s">
        <v>16</v>
      </c>
      <c r="J165" t="s">
        <v>62</v>
      </c>
      <c r="K165" s="61">
        <v>2007481000</v>
      </c>
      <c r="L165" s="61">
        <v>1329812000</v>
      </c>
      <c r="M165" s="61">
        <v>677669000</v>
      </c>
      <c r="N165" s="43" t="str">
        <f t="shared" si="2"/>
        <v>$0-5B</v>
      </c>
    </row>
    <row r="166" spans="1:14" x14ac:dyDescent="0.25">
      <c r="A166" t="s">
        <v>355</v>
      </c>
      <c r="B166" t="s">
        <v>10</v>
      </c>
      <c r="C166" s="51">
        <v>42183</v>
      </c>
      <c r="D166" s="61">
        <v>5259312000</v>
      </c>
      <c r="E166" s="61">
        <v>2974976000</v>
      </c>
      <c r="F166" s="61">
        <v>591611000</v>
      </c>
      <c r="G166" s="61">
        <v>825242000</v>
      </c>
      <c r="H166" s="61">
        <v>0</v>
      </c>
      <c r="I166" t="s">
        <v>16</v>
      </c>
      <c r="J166" t="s">
        <v>62</v>
      </c>
      <c r="K166" s="61">
        <v>2284336000</v>
      </c>
      <c r="L166" s="61">
        <v>1416853000</v>
      </c>
      <c r="M166" s="61">
        <v>867483000</v>
      </c>
      <c r="N166" s="43" t="str">
        <f t="shared" si="2"/>
        <v>$0-5B</v>
      </c>
    </row>
    <row r="167" spans="1:14" x14ac:dyDescent="0.25">
      <c r="A167" t="s">
        <v>355</v>
      </c>
      <c r="B167" t="s">
        <v>11</v>
      </c>
      <c r="C167" s="51">
        <v>42547</v>
      </c>
      <c r="D167" s="61">
        <v>5885893000</v>
      </c>
      <c r="E167" s="61">
        <v>3266971000</v>
      </c>
      <c r="F167" s="61">
        <v>630954000</v>
      </c>
      <c r="G167" s="61">
        <v>913712000</v>
      </c>
      <c r="H167" s="61">
        <v>0</v>
      </c>
      <c r="I167" t="s">
        <v>16</v>
      </c>
      <c r="J167" t="s">
        <v>62</v>
      </c>
      <c r="K167" s="61">
        <v>2618922000</v>
      </c>
      <c r="L167" s="61">
        <v>1544666000</v>
      </c>
      <c r="M167" s="61">
        <v>1074256000</v>
      </c>
      <c r="N167" s="43" t="str">
        <f t="shared" si="2"/>
        <v>$0-5B</v>
      </c>
    </row>
    <row r="168" spans="1:14" x14ac:dyDescent="0.25">
      <c r="A168" t="s">
        <v>27</v>
      </c>
      <c r="B168" t="s">
        <v>6</v>
      </c>
      <c r="C168" s="51">
        <v>41580</v>
      </c>
      <c r="D168" s="61">
        <v>2633689000</v>
      </c>
      <c r="E168" s="61">
        <v>941278000</v>
      </c>
      <c r="F168" s="61">
        <v>396233000</v>
      </c>
      <c r="G168" s="61">
        <v>513035000</v>
      </c>
      <c r="H168" s="61">
        <v>220000</v>
      </c>
      <c r="I168" t="s">
        <v>16</v>
      </c>
      <c r="J168" t="s">
        <v>28</v>
      </c>
      <c r="K168" s="61">
        <v>1692411000</v>
      </c>
      <c r="L168" s="61">
        <v>909488000</v>
      </c>
      <c r="M168" s="61">
        <v>782923000</v>
      </c>
      <c r="N168" s="43" t="str">
        <f t="shared" si="2"/>
        <v>$0-5B</v>
      </c>
    </row>
    <row r="169" spans="1:14" x14ac:dyDescent="0.25">
      <c r="A169" t="s">
        <v>27</v>
      </c>
      <c r="B169" t="s">
        <v>9</v>
      </c>
      <c r="C169" s="51">
        <v>41944</v>
      </c>
      <c r="D169" s="61">
        <v>2864773000</v>
      </c>
      <c r="E169" s="61">
        <v>1034585000</v>
      </c>
      <c r="F169" s="61">
        <v>454676000</v>
      </c>
      <c r="G169" s="61">
        <v>559686000</v>
      </c>
      <c r="H169" s="61">
        <v>26020000</v>
      </c>
      <c r="I169" t="s">
        <v>16</v>
      </c>
      <c r="J169" t="s">
        <v>28</v>
      </c>
      <c r="K169" s="61">
        <v>1830188000</v>
      </c>
      <c r="L169" s="61">
        <v>1040382000</v>
      </c>
      <c r="M169" s="61">
        <v>789806000</v>
      </c>
      <c r="N169" s="43" t="str">
        <f t="shared" si="2"/>
        <v>$0-5B</v>
      </c>
    </row>
    <row r="170" spans="1:14" x14ac:dyDescent="0.25">
      <c r="A170" t="s">
        <v>27</v>
      </c>
      <c r="B170" t="s">
        <v>10</v>
      </c>
      <c r="C170" s="51">
        <v>42308</v>
      </c>
      <c r="D170" s="61">
        <v>3435092000</v>
      </c>
      <c r="E170" s="61">
        <v>1175830000</v>
      </c>
      <c r="F170" s="61">
        <v>702644000</v>
      </c>
      <c r="G170" s="61">
        <v>637459000</v>
      </c>
      <c r="H170" s="61">
        <v>88318000</v>
      </c>
      <c r="I170" t="s">
        <v>16</v>
      </c>
      <c r="J170" t="s">
        <v>28</v>
      </c>
      <c r="K170" s="61">
        <v>2259262000</v>
      </c>
      <c r="L170" s="61">
        <v>1428421000</v>
      </c>
      <c r="M170" s="61">
        <v>830841000</v>
      </c>
      <c r="N170" s="43" t="str">
        <f t="shared" si="2"/>
        <v>$0-5B</v>
      </c>
    </row>
    <row r="171" spans="1:14" x14ac:dyDescent="0.25">
      <c r="A171" t="s">
        <v>27</v>
      </c>
      <c r="B171" t="s">
        <v>11</v>
      </c>
      <c r="C171" s="51">
        <v>42672</v>
      </c>
      <c r="D171" s="61">
        <v>3421409000</v>
      </c>
      <c r="E171" s="61">
        <v>1194236000</v>
      </c>
      <c r="F171" s="61">
        <v>461438000</v>
      </c>
      <c r="G171" s="61">
        <v>653816000</v>
      </c>
      <c r="H171" s="61">
        <v>70123000</v>
      </c>
      <c r="I171" t="s">
        <v>16</v>
      </c>
      <c r="J171" t="s">
        <v>28</v>
      </c>
      <c r="K171" s="61">
        <v>2227173000</v>
      </c>
      <c r="L171" s="61">
        <v>1185377000</v>
      </c>
      <c r="M171" s="61">
        <v>1041796000</v>
      </c>
      <c r="N171" s="43" t="str">
        <f t="shared" si="2"/>
        <v>$0-5B</v>
      </c>
    </row>
    <row r="172" spans="1:14" x14ac:dyDescent="0.25">
      <c r="A172" t="s">
        <v>88</v>
      </c>
      <c r="B172" t="s">
        <v>6</v>
      </c>
      <c r="C172" s="51">
        <v>42309</v>
      </c>
      <c r="D172" s="61">
        <v>6824000000</v>
      </c>
      <c r="E172" s="61">
        <v>3271000000</v>
      </c>
      <c r="F172" s="61">
        <v>486000000</v>
      </c>
      <c r="G172" s="61">
        <v>1049000000</v>
      </c>
      <c r="H172" s="61">
        <v>249000000</v>
      </c>
      <c r="I172" t="s">
        <v>16</v>
      </c>
      <c r="J172" t="s">
        <v>28</v>
      </c>
      <c r="K172" s="61">
        <v>3553000000</v>
      </c>
      <c r="L172" s="61">
        <v>1784000000</v>
      </c>
      <c r="M172" s="61">
        <v>1769000000</v>
      </c>
      <c r="N172" s="43" t="str">
        <f t="shared" si="2"/>
        <v>$0-5B</v>
      </c>
    </row>
    <row r="173" spans="1:14" x14ac:dyDescent="0.25">
      <c r="A173" t="s">
        <v>88</v>
      </c>
      <c r="B173" t="s">
        <v>9</v>
      </c>
      <c r="C173" s="51">
        <v>42673</v>
      </c>
      <c r="D173" s="61">
        <v>13240000000</v>
      </c>
      <c r="E173" s="61">
        <v>7300000000</v>
      </c>
      <c r="F173" s="61">
        <v>806000000</v>
      </c>
      <c r="G173" s="61">
        <v>2674000000</v>
      </c>
      <c r="H173" s="61">
        <v>1873000000</v>
      </c>
      <c r="I173" t="s">
        <v>16</v>
      </c>
      <c r="J173" t="s">
        <v>28</v>
      </c>
      <c r="K173" s="61">
        <v>5940000000</v>
      </c>
      <c r="L173" s="61">
        <v>5353000000</v>
      </c>
      <c r="M173" s="61">
        <v>587000000</v>
      </c>
      <c r="N173" s="43" t="str">
        <f t="shared" si="2"/>
        <v>$5-10B</v>
      </c>
    </row>
    <row r="174" spans="1:14" x14ac:dyDescent="0.25">
      <c r="A174" t="s">
        <v>260</v>
      </c>
      <c r="B174" t="s">
        <v>6</v>
      </c>
      <c r="C174" s="51">
        <v>41274</v>
      </c>
      <c r="D174" s="61">
        <v>3368545000</v>
      </c>
      <c r="E174" s="61">
        <v>2515796000</v>
      </c>
      <c r="F174" s="61">
        <v>280928000</v>
      </c>
      <c r="G174" s="61">
        <v>132460000</v>
      </c>
      <c r="H174" s="61">
        <v>0</v>
      </c>
      <c r="I174" t="s">
        <v>16</v>
      </c>
      <c r="J174" t="s">
        <v>28</v>
      </c>
      <c r="K174" s="61">
        <v>852749000</v>
      </c>
      <c r="L174" s="61">
        <v>413388000</v>
      </c>
      <c r="M174" s="61">
        <v>439361000</v>
      </c>
      <c r="N174" s="43" t="str">
        <f t="shared" si="2"/>
        <v>$0-5B</v>
      </c>
    </row>
    <row r="175" spans="1:14" x14ac:dyDescent="0.25">
      <c r="A175" t="s">
        <v>260</v>
      </c>
      <c r="B175" t="s">
        <v>9</v>
      </c>
      <c r="C175" s="51">
        <v>41639</v>
      </c>
      <c r="D175" s="61">
        <v>3309616000</v>
      </c>
      <c r="E175" s="61">
        <v>2444984000</v>
      </c>
      <c r="F175" s="61">
        <v>270261000</v>
      </c>
      <c r="G175" s="61">
        <v>134300000</v>
      </c>
      <c r="H175" s="61">
        <v>0</v>
      </c>
      <c r="I175" t="s">
        <v>16</v>
      </c>
      <c r="J175" t="s">
        <v>28</v>
      </c>
      <c r="K175" s="61">
        <v>864632000</v>
      </c>
      <c r="L175" s="61">
        <v>404561000</v>
      </c>
      <c r="M175" s="61">
        <v>460071000</v>
      </c>
      <c r="N175" s="43" t="str">
        <f t="shared" si="2"/>
        <v>$0-5B</v>
      </c>
    </row>
    <row r="176" spans="1:14" x14ac:dyDescent="0.25">
      <c r="A176" t="s">
        <v>260</v>
      </c>
      <c r="B176" t="s">
        <v>10</v>
      </c>
      <c r="C176" s="51">
        <v>42004</v>
      </c>
      <c r="D176" s="61">
        <v>3391187000</v>
      </c>
      <c r="E176" s="61">
        <v>2566246000</v>
      </c>
      <c r="F176" s="61">
        <v>253827000</v>
      </c>
      <c r="G176" s="61">
        <v>143969000</v>
      </c>
      <c r="H176" s="61">
        <v>0</v>
      </c>
      <c r="I176" t="s">
        <v>16</v>
      </c>
      <c r="J176" t="s">
        <v>28</v>
      </c>
      <c r="K176" s="61">
        <v>824941000</v>
      </c>
      <c r="L176" s="61">
        <v>397796000</v>
      </c>
      <c r="M176" s="61">
        <v>427145000</v>
      </c>
      <c r="N176" s="43" t="str">
        <f t="shared" si="2"/>
        <v>$0-5B</v>
      </c>
    </row>
    <row r="177" spans="1:14" x14ac:dyDescent="0.25">
      <c r="A177" t="s">
        <v>260</v>
      </c>
      <c r="B177" t="s">
        <v>11</v>
      </c>
      <c r="C177" s="51">
        <v>42369</v>
      </c>
      <c r="D177" s="61">
        <v>3578995000</v>
      </c>
      <c r="E177" s="61">
        <v>2659728000</v>
      </c>
      <c r="F177" s="61">
        <v>255192000</v>
      </c>
      <c r="G177" s="61">
        <v>130593000</v>
      </c>
      <c r="H177" s="61">
        <v>0</v>
      </c>
      <c r="I177" t="s">
        <v>16</v>
      </c>
      <c r="J177" t="s">
        <v>28</v>
      </c>
      <c r="K177" s="61">
        <v>919267000</v>
      </c>
      <c r="L177" s="61">
        <v>385785000</v>
      </c>
      <c r="M177" s="61">
        <v>533482000</v>
      </c>
      <c r="N177" s="43" t="str">
        <f t="shared" si="2"/>
        <v>$0-5B</v>
      </c>
    </row>
    <row r="178" spans="1:14" x14ac:dyDescent="0.25">
      <c r="A178" t="s">
        <v>313</v>
      </c>
      <c r="B178" t="s">
        <v>6</v>
      </c>
      <c r="C178" s="51">
        <v>41636</v>
      </c>
      <c r="D178" s="61">
        <v>52708000000</v>
      </c>
      <c r="E178" s="61">
        <v>21187000000</v>
      </c>
      <c r="F178" s="61">
        <v>8088000000</v>
      </c>
      <c r="G178" s="61">
        <v>10611000000</v>
      </c>
      <c r="H178" s="61">
        <v>291000000</v>
      </c>
      <c r="I178" t="s">
        <v>16</v>
      </c>
      <c r="J178" t="s">
        <v>28</v>
      </c>
      <c r="K178" s="61">
        <v>31521000000</v>
      </c>
      <c r="L178" s="61">
        <v>18990000000</v>
      </c>
      <c r="M178" s="61">
        <v>12531000000</v>
      </c>
      <c r="N178" s="43" t="str">
        <f t="shared" si="2"/>
        <v>$15-20B</v>
      </c>
    </row>
    <row r="179" spans="1:14" x14ac:dyDescent="0.25">
      <c r="A179" t="s">
        <v>313</v>
      </c>
      <c r="B179" t="s">
        <v>9</v>
      </c>
      <c r="C179" s="51">
        <v>42000</v>
      </c>
      <c r="D179" s="61">
        <v>55870000000</v>
      </c>
      <c r="E179" s="61">
        <v>20261000000</v>
      </c>
      <c r="F179" s="61">
        <v>8136000000</v>
      </c>
      <c r="G179" s="61">
        <v>11537000000</v>
      </c>
      <c r="H179" s="61">
        <v>294000000</v>
      </c>
      <c r="I179" t="s">
        <v>16</v>
      </c>
      <c r="J179" t="s">
        <v>28</v>
      </c>
      <c r="K179" s="61">
        <v>35609000000</v>
      </c>
      <c r="L179" s="61">
        <v>19967000000</v>
      </c>
      <c r="M179" s="61">
        <v>15642000000</v>
      </c>
      <c r="N179" s="43" t="str">
        <f t="shared" si="2"/>
        <v>$15-20B</v>
      </c>
    </row>
    <row r="180" spans="1:14" x14ac:dyDescent="0.25">
      <c r="A180" t="s">
        <v>313</v>
      </c>
      <c r="B180" t="s">
        <v>10</v>
      </c>
      <c r="C180" s="51">
        <v>42364</v>
      </c>
      <c r="D180" s="61">
        <v>55355000000</v>
      </c>
      <c r="E180" s="61">
        <v>20676000000</v>
      </c>
      <c r="F180" s="61">
        <v>7930000000</v>
      </c>
      <c r="G180" s="61">
        <v>12128000000</v>
      </c>
      <c r="H180" s="61">
        <v>265000000</v>
      </c>
      <c r="I180" t="s">
        <v>16</v>
      </c>
      <c r="J180" t="s">
        <v>28</v>
      </c>
      <c r="K180" s="61">
        <v>34679000000</v>
      </c>
      <c r="L180" s="61">
        <v>20323000000</v>
      </c>
      <c r="M180" s="61">
        <v>14356000000</v>
      </c>
      <c r="N180" s="43" t="str">
        <f t="shared" si="2"/>
        <v>$20-25B</v>
      </c>
    </row>
    <row r="181" spans="1:14" x14ac:dyDescent="0.25">
      <c r="A181" t="s">
        <v>313</v>
      </c>
      <c r="B181" t="s">
        <v>11</v>
      </c>
      <c r="C181" s="51">
        <v>42735</v>
      </c>
      <c r="D181" s="61">
        <v>59387000000</v>
      </c>
      <c r="E181" s="61">
        <v>23196000000</v>
      </c>
      <c r="F181" s="61">
        <v>8397000000</v>
      </c>
      <c r="G181" s="61">
        <v>12740000000</v>
      </c>
      <c r="H181" s="61">
        <v>294000000</v>
      </c>
      <c r="I181" t="s">
        <v>16</v>
      </c>
      <c r="J181" t="s">
        <v>28</v>
      </c>
      <c r="K181" s="61">
        <v>36191000000</v>
      </c>
      <c r="L181" s="61">
        <v>21431000000</v>
      </c>
      <c r="M181" s="61">
        <v>14760000000</v>
      </c>
      <c r="N181" s="43" t="str">
        <f t="shared" si="2"/>
        <v>$20-25B</v>
      </c>
    </row>
    <row r="182" spans="1:14" x14ac:dyDescent="0.25">
      <c r="A182" t="s">
        <v>350</v>
      </c>
      <c r="B182" t="s">
        <v>6</v>
      </c>
      <c r="C182" s="51">
        <v>41455</v>
      </c>
      <c r="D182" s="61">
        <v>1282236000</v>
      </c>
      <c r="E182" s="61">
        <v>322516000</v>
      </c>
      <c r="F182" s="61">
        <v>151382000</v>
      </c>
      <c r="G182" s="61">
        <v>235184000</v>
      </c>
      <c r="H182" s="61">
        <v>0</v>
      </c>
      <c r="I182" t="s">
        <v>16</v>
      </c>
      <c r="J182" t="s">
        <v>28</v>
      </c>
      <c r="K182" s="61">
        <v>959720000</v>
      </c>
      <c r="L182" s="61">
        <v>386566000</v>
      </c>
      <c r="M182" s="61">
        <v>573154000</v>
      </c>
      <c r="N182" s="43" t="str">
        <f t="shared" si="2"/>
        <v>$0-5B</v>
      </c>
    </row>
    <row r="183" spans="1:14" x14ac:dyDescent="0.25">
      <c r="A183" t="s">
        <v>350</v>
      </c>
      <c r="B183" t="s">
        <v>9</v>
      </c>
      <c r="C183" s="51">
        <v>41819</v>
      </c>
      <c r="D183" s="61">
        <v>1388386000</v>
      </c>
      <c r="E183" s="61">
        <v>338580000</v>
      </c>
      <c r="F183" s="61">
        <v>159642000</v>
      </c>
      <c r="G183" s="61">
        <v>250434000</v>
      </c>
      <c r="H183" s="61">
        <v>0</v>
      </c>
      <c r="I183" t="s">
        <v>16</v>
      </c>
      <c r="J183" t="s">
        <v>28</v>
      </c>
      <c r="K183" s="61">
        <v>1049806000</v>
      </c>
      <c r="L183" s="61">
        <v>410076000</v>
      </c>
      <c r="M183" s="61">
        <v>639730000</v>
      </c>
      <c r="N183" s="43" t="str">
        <f t="shared" si="2"/>
        <v>$0-5B</v>
      </c>
    </row>
    <row r="184" spans="1:14" x14ac:dyDescent="0.25">
      <c r="A184" t="s">
        <v>350</v>
      </c>
      <c r="B184" t="s">
        <v>10</v>
      </c>
      <c r="C184" s="51">
        <v>42183</v>
      </c>
      <c r="D184" s="61">
        <v>1475139000</v>
      </c>
      <c r="E184" s="61">
        <v>355727000</v>
      </c>
      <c r="F184" s="61">
        <v>169952000</v>
      </c>
      <c r="G184" s="61">
        <v>266761000</v>
      </c>
      <c r="H184" s="61">
        <v>0</v>
      </c>
      <c r="I184" t="s">
        <v>16</v>
      </c>
      <c r="J184" t="s">
        <v>28</v>
      </c>
      <c r="K184" s="61">
        <v>1119412000</v>
      </c>
      <c r="L184" s="61">
        <v>436713000</v>
      </c>
      <c r="M184" s="61">
        <v>682699000</v>
      </c>
      <c r="N184" s="43" t="str">
        <f t="shared" si="2"/>
        <v>$0-5B</v>
      </c>
    </row>
    <row r="185" spans="1:14" x14ac:dyDescent="0.25">
      <c r="A185" t="s">
        <v>350</v>
      </c>
      <c r="B185" t="s">
        <v>11</v>
      </c>
      <c r="C185" s="51">
        <v>42554</v>
      </c>
      <c r="D185" s="61">
        <v>1423936000</v>
      </c>
      <c r="E185" s="61">
        <v>343801000</v>
      </c>
      <c r="F185" s="61">
        <v>170120000</v>
      </c>
      <c r="G185" s="61">
        <v>276462000</v>
      </c>
      <c r="H185" s="61">
        <v>0</v>
      </c>
      <c r="I185" t="s">
        <v>16</v>
      </c>
      <c r="J185" t="s">
        <v>28</v>
      </c>
      <c r="K185" s="61">
        <v>1080135000</v>
      </c>
      <c r="L185" s="61">
        <v>446582000</v>
      </c>
      <c r="M185" s="61">
        <v>633553000</v>
      </c>
      <c r="N185" s="43" t="str">
        <f t="shared" si="2"/>
        <v>$0-5B</v>
      </c>
    </row>
    <row r="186" spans="1:14" x14ac:dyDescent="0.25">
      <c r="A186" t="s">
        <v>370</v>
      </c>
      <c r="B186" t="s">
        <v>6</v>
      </c>
      <c r="C186" s="51">
        <v>41364</v>
      </c>
      <c r="D186" s="61">
        <v>1581623000</v>
      </c>
      <c r="E186" s="61">
        <v>743164000</v>
      </c>
      <c r="F186" s="61">
        <v>261471000</v>
      </c>
      <c r="G186" s="61">
        <v>254723000</v>
      </c>
      <c r="H186" s="61">
        <v>111537000</v>
      </c>
      <c r="I186" t="s">
        <v>16</v>
      </c>
      <c r="J186" t="s">
        <v>28</v>
      </c>
      <c r="K186" s="61">
        <v>838459000</v>
      </c>
      <c r="L186" s="61">
        <v>627731000</v>
      </c>
      <c r="M186" s="61">
        <v>210728000</v>
      </c>
      <c r="N186" s="43" t="str">
        <f t="shared" si="2"/>
        <v>$0-5B</v>
      </c>
    </row>
    <row r="187" spans="1:14" x14ac:dyDescent="0.25">
      <c r="A187" t="s">
        <v>370</v>
      </c>
      <c r="B187" t="s">
        <v>9</v>
      </c>
      <c r="C187" s="51">
        <v>41729</v>
      </c>
      <c r="D187" s="61">
        <v>1931217000</v>
      </c>
      <c r="E187" s="61">
        <v>802474000</v>
      </c>
      <c r="F187" s="61">
        <v>267278000</v>
      </c>
      <c r="G187" s="61">
        <v>305043000</v>
      </c>
      <c r="H187" s="61">
        <v>94534000</v>
      </c>
      <c r="I187" t="s">
        <v>16</v>
      </c>
      <c r="J187" t="s">
        <v>28</v>
      </c>
      <c r="K187" s="61">
        <v>1128743000</v>
      </c>
      <c r="L187" s="61">
        <v>666855000</v>
      </c>
      <c r="M187" s="61">
        <v>461888000</v>
      </c>
      <c r="N187" s="43" t="str">
        <f t="shared" si="2"/>
        <v>$0-5B</v>
      </c>
    </row>
    <row r="188" spans="1:14" x14ac:dyDescent="0.25">
      <c r="A188" t="s">
        <v>370</v>
      </c>
      <c r="B188" t="s">
        <v>10</v>
      </c>
      <c r="C188" s="51">
        <v>42094</v>
      </c>
      <c r="D188" s="61">
        <v>2147036000</v>
      </c>
      <c r="E188" s="61">
        <v>917472000</v>
      </c>
      <c r="F188" s="61">
        <v>274815000</v>
      </c>
      <c r="G188" s="61">
        <v>349543000</v>
      </c>
      <c r="H188" s="61">
        <v>176746000</v>
      </c>
      <c r="I188" t="s">
        <v>16</v>
      </c>
      <c r="J188" t="s">
        <v>28</v>
      </c>
      <c r="K188" s="61">
        <v>1229564000</v>
      </c>
      <c r="L188" s="61">
        <v>801104000</v>
      </c>
      <c r="M188" s="61">
        <v>428460000</v>
      </c>
      <c r="N188" s="43" t="str">
        <f t="shared" si="2"/>
        <v>$0-5B</v>
      </c>
    </row>
    <row r="189" spans="1:14" x14ac:dyDescent="0.25">
      <c r="A189" t="s">
        <v>370</v>
      </c>
      <c r="B189" t="s">
        <v>11</v>
      </c>
      <c r="C189" s="51">
        <v>42460</v>
      </c>
      <c r="D189" s="61">
        <v>2173334000</v>
      </c>
      <c r="E189" s="61">
        <v>967870000</v>
      </c>
      <c r="F189" s="61">
        <v>301670000</v>
      </c>
      <c r="G189" s="61">
        <v>372596000</v>
      </c>
      <c r="H189" s="61">
        <v>174896000</v>
      </c>
      <c r="I189" t="s">
        <v>16</v>
      </c>
      <c r="J189" t="s">
        <v>28</v>
      </c>
      <c r="K189" s="61">
        <v>1205464000</v>
      </c>
      <c r="L189" s="61">
        <v>849162000</v>
      </c>
      <c r="M189" s="61">
        <v>356302000</v>
      </c>
      <c r="N189" s="43" t="str">
        <f t="shared" si="2"/>
        <v>$0-5B</v>
      </c>
    </row>
    <row r="190" spans="1:14" x14ac:dyDescent="0.25">
      <c r="A190" t="s">
        <v>397</v>
      </c>
      <c r="B190" t="s">
        <v>6</v>
      </c>
      <c r="C190" s="51">
        <v>41515</v>
      </c>
      <c r="D190" s="61">
        <v>9073000000</v>
      </c>
      <c r="E190" s="61">
        <v>7226000000</v>
      </c>
      <c r="F190" s="61">
        <v>554000000</v>
      </c>
      <c r="G190" s="61">
        <v>931000000</v>
      </c>
      <c r="H190" s="61">
        <v>0</v>
      </c>
      <c r="I190" t="s">
        <v>16</v>
      </c>
      <c r="J190" t="s">
        <v>28</v>
      </c>
      <c r="K190" s="61">
        <v>1847000000</v>
      </c>
      <c r="L190" s="61">
        <v>1485000000</v>
      </c>
      <c r="M190" s="61">
        <v>362000000</v>
      </c>
      <c r="N190" s="43" t="str">
        <f t="shared" si="2"/>
        <v>$0-5B</v>
      </c>
    </row>
    <row r="191" spans="1:14" x14ac:dyDescent="0.25">
      <c r="A191" t="s">
        <v>397</v>
      </c>
      <c r="B191" t="s">
        <v>9</v>
      </c>
      <c r="C191" s="51">
        <v>41879</v>
      </c>
      <c r="D191" s="61">
        <v>16358000000</v>
      </c>
      <c r="E191" s="61">
        <v>10921000000</v>
      </c>
      <c r="F191" s="61">
        <v>939000000</v>
      </c>
      <c r="G191" s="61">
        <v>1371000000</v>
      </c>
      <c r="H191" s="61">
        <v>0</v>
      </c>
      <c r="I191" t="s">
        <v>16</v>
      </c>
      <c r="J191" t="s">
        <v>28</v>
      </c>
      <c r="K191" s="61">
        <v>5437000000</v>
      </c>
      <c r="L191" s="61">
        <v>2310000000</v>
      </c>
      <c r="M191" s="61">
        <v>3127000000</v>
      </c>
      <c r="N191" s="43" t="str">
        <f t="shared" si="2"/>
        <v>$0-5B</v>
      </c>
    </row>
    <row r="192" spans="1:14" x14ac:dyDescent="0.25">
      <c r="A192" t="s">
        <v>397</v>
      </c>
      <c r="B192" t="s">
        <v>10</v>
      </c>
      <c r="C192" s="51">
        <v>42250</v>
      </c>
      <c r="D192" s="61">
        <v>16192000000</v>
      </c>
      <c r="E192" s="61">
        <v>10977000000</v>
      </c>
      <c r="F192" s="61">
        <v>674000000</v>
      </c>
      <c r="G192" s="61">
        <v>1540000000</v>
      </c>
      <c r="H192" s="61">
        <v>0</v>
      </c>
      <c r="I192" t="s">
        <v>16</v>
      </c>
      <c r="J192" t="s">
        <v>28</v>
      </c>
      <c r="K192" s="61">
        <v>5215000000</v>
      </c>
      <c r="L192" s="61">
        <v>2214000000</v>
      </c>
      <c r="M192" s="61">
        <v>3001000000</v>
      </c>
      <c r="N192" s="43" t="str">
        <f t="shared" si="2"/>
        <v>$0-5B</v>
      </c>
    </row>
    <row r="193" spans="1:14" x14ac:dyDescent="0.25">
      <c r="A193" t="s">
        <v>397</v>
      </c>
      <c r="B193" t="s">
        <v>11</v>
      </c>
      <c r="C193" s="51">
        <v>42614</v>
      </c>
      <c r="D193" s="61">
        <v>12399000000</v>
      </c>
      <c r="E193" s="61">
        <v>9894000000</v>
      </c>
      <c r="F193" s="61">
        <v>653000000</v>
      </c>
      <c r="G193" s="61">
        <v>1617000000</v>
      </c>
      <c r="H193" s="61">
        <v>0</v>
      </c>
      <c r="I193" t="s">
        <v>16</v>
      </c>
      <c r="J193" t="s">
        <v>28</v>
      </c>
      <c r="K193" s="61">
        <v>2505000000</v>
      </c>
      <c r="L193" s="61">
        <v>2270000000</v>
      </c>
      <c r="M193" s="61">
        <v>235000000</v>
      </c>
      <c r="N193" s="43" t="str">
        <f t="shared" si="2"/>
        <v>$0-5B</v>
      </c>
    </row>
    <row r="194" spans="1:14" x14ac:dyDescent="0.25">
      <c r="A194" t="s">
        <v>414</v>
      </c>
      <c r="B194" t="s">
        <v>6</v>
      </c>
      <c r="C194" s="51">
        <v>41301</v>
      </c>
      <c r="D194" s="61">
        <v>4280159000</v>
      </c>
      <c r="E194" s="61">
        <v>2053816000</v>
      </c>
      <c r="F194" s="61">
        <v>430822000</v>
      </c>
      <c r="G194" s="61">
        <v>1147282000</v>
      </c>
      <c r="H194" s="61">
        <v>0</v>
      </c>
      <c r="I194" t="s">
        <v>16</v>
      </c>
      <c r="J194" t="s">
        <v>28</v>
      </c>
      <c r="K194" s="61">
        <v>2226343000</v>
      </c>
      <c r="L194" s="61">
        <v>1578104000</v>
      </c>
      <c r="M194" s="61">
        <v>648239000</v>
      </c>
      <c r="N194" s="43" t="str">
        <f t="shared" ref="N194:N231" si="3">"$" &amp; FLOOR(L194,5000000000)/1000000000 &amp; "-" &amp; FLOOR((L194+5000000000),5000000000)/1000000000 &amp; "B"</f>
        <v>$0-5B</v>
      </c>
    </row>
    <row r="195" spans="1:14" x14ac:dyDescent="0.25">
      <c r="A195" t="s">
        <v>414</v>
      </c>
      <c r="B195" t="s">
        <v>9</v>
      </c>
      <c r="C195" s="51">
        <v>41665</v>
      </c>
      <c r="D195" s="61">
        <v>4130000000</v>
      </c>
      <c r="E195" s="61">
        <v>1862000000</v>
      </c>
      <c r="F195" s="61">
        <v>436000000</v>
      </c>
      <c r="G195" s="61">
        <v>1336000000</v>
      </c>
      <c r="H195" s="61">
        <v>0</v>
      </c>
      <c r="I195" t="s">
        <v>16</v>
      </c>
      <c r="J195" t="s">
        <v>28</v>
      </c>
      <c r="K195" s="61">
        <v>2268000000</v>
      </c>
      <c r="L195" s="61">
        <v>1772000000</v>
      </c>
      <c r="M195" s="61">
        <v>496000000</v>
      </c>
      <c r="N195" s="43" t="str">
        <f t="shared" si="3"/>
        <v>$0-5B</v>
      </c>
    </row>
    <row r="196" spans="1:14" x14ac:dyDescent="0.25">
      <c r="A196" t="s">
        <v>414</v>
      </c>
      <c r="B196" t="s">
        <v>10</v>
      </c>
      <c r="C196" s="51">
        <v>42029</v>
      </c>
      <c r="D196" s="61">
        <v>4682000000</v>
      </c>
      <c r="E196" s="61">
        <v>2083000000</v>
      </c>
      <c r="F196" s="61">
        <v>480000000</v>
      </c>
      <c r="G196" s="61">
        <v>1360000000</v>
      </c>
      <c r="H196" s="61">
        <v>0</v>
      </c>
      <c r="I196" t="s">
        <v>16</v>
      </c>
      <c r="J196" t="s">
        <v>28</v>
      </c>
      <c r="K196" s="61">
        <v>2599000000</v>
      </c>
      <c r="L196" s="61">
        <v>1840000000</v>
      </c>
      <c r="M196" s="61">
        <v>759000000</v>
      </c>
      <c r="N196" s="43" t="str">
        <f t="shared" si="3"/>
        <v>$0-5B</v>
      </c>
    </row>
    <row r="197" spans="1:14" x14ac:dyDescent="0.25">
      <c r="A197" t="s">
        <v>414</v>
      </c>
      <c r="B197" t="s">
        <v>11</v>
      </c>
      <c r="C197" s="51">
        <v>42400</v>
      </c>
      <c r="D197" s="61">
        <v>5010000000</v>
      </c>
      <c r="E197" s="61">
        <v>2199000000</v>
      </c>
      <c r="F197" s="61">
        <v>602000000</v>
      </c>
      <c r="G197" s="61">
        <v>1331000000</v>
      </c>
      <c r="H197" s="61">
        <v>0</v>
      </c>
      <c r="I197" t="s">
        <v>16</v>
      </c>
      <c r="J197" t="s">
        <v>28</v>
      </c>
      <c r="K197" s="61">
        <v>2811000000</v>
      </c>
      <c r="L197" s="61">
        <v>1933000000</v>
      </c>
      <c r="M197" s="61">
        <v>878000000</v>
      </c>
      <c r="N197" s="43" t="str">
        <f t="shared" si="3"/>
        <v>$0-5B</v>
      </c>
    </row>
    <row r="198" spans="1:14" x14ac:dyDescent="0.25">
      <c r="A198" t="s">
        <v>450</v>
      </c>
      <c r="B198" t="s">
        <v>6</v>
      </c>
      <c r="C198" s="51">
        <v>41546</v>
      </c>
      <c r="D198" s="61">
        <v>24866000000</v>
      </c>
      <c r="E198" s="61">
        <v>9820000000</v>
      </c>
      <c r="F198" s="61">
        <v>2849000000</v>
      </c>
      <c r="G198" s="61">
        <v>4967000000</v>
      </c>
      <c r="H198" s="61">
        <v>0</v>
      </c>
      <c r="I198" t="s">
        <v>16</v>
      </c>
      <c r="J198" t="s">
        <v>28</v>
      </c>
      <c r="K198" s="61">
        <v>15046000000</v>
      </c>
      <c r="L198" s="61">
        <v>7816000000</v>
      </c>
      <c r="M198" s="61">
        <v>7230000000</v>
      </c>
      <c r="N198" s="43" t="str">
        <f t="shared" si="3"/>
        <v>$5-10B</v>
      </c>
    </row>
    <row r="199" spans="1:14" x14ac:dyDescent="0.25">
      <c r="A199" t="s">
        <v>450</v>
      </c>
      <c r="B199" t="s">
        <v>9</v>
      </c>
      <c r="C199" s="51">
        <v>41910</v>
      </c>
      <c r="D199" s="61">
        <v>26487000000</v>
      </c>
      <c r="E199" s="61">
        <v>10686000000</v>
      </c>
      <c r="F199" s="61">
        <v>2774000000</v>
      </c>
      <c r="G199" s="61">
        <v>5477000000</v>
      </c>
      <c r="H199" s="61">
        <v>0</v>
      </c>
      <c r="I199" t="s">
        <v>16</v>
      </c>
      <c r="J199" t="s">
        <v>28</v>
      </c>
      <c r="K199" s="61">
        <v>15801000000</v>
      </c>
      <c r="L199" s="61">
        <v>8251000000</v>
      </c>
      <c r="M199" s="61">
        <v>7550000000</v>
      </c>
      <c r="N199" s="43" t="str">
        <f t="shared" si="3"/>
        <v>$5-10B</v>
      </c>
    </row>
    <row r="200" spans="1:14" x14ac:dyDescent="0.25">
      <c r="A200" t="s">
        <v>450</v>
      </c>
      <c r="B200" t="s">
        <v>10</v>
      </c>
      <c r="C200" s="51">
        <v>42274</v>
      </c>
      <c r="D200" s="61">
        <v>25281000000</v>
      </c>
      <c r="E200" s="61">
        <v>10378000000</v>
      </c>
      <c r="F200" s="61">
        <v>3637000000</v>
      </c>
      <c r="G200" s="61">
        <v>5490000000</v>
      </c>
      <c r="H200" s="61">
        <v>0</v>
      </c>
      <c r="I200" t="s">
        <v>16</v>
      </c>
      <c r="J200" t="s">
        <v>28</v>
      </c>
      <c r="K200" s="61">
        <v>14903000000</v>
      </c>
      <c r="L200" s="61">
        <v>9127000000</v>
      </c>
      <c r="M200" s="61">
        <v>5776000000</v>
      </c>
      <c r="N200" s="43" t="str">
        <f t="shared" si="3"/>
        <v>$5-10B</v>
      </c>
    </row>
    <row r="201" spans="1:14" x14ac:dyDescent="0.25">
      <c r="A201" t="s">
        <v>450</v>
      </c>
      <c r="B201" t="s">
        <v>11</v>
      </c>
      <c r="C201" s="51">
        <v>42638</v>
      </c>
      <c r="D201" s="61">
        <v>23554000000</v>
      </c>
      <c r="E201" s="61">
        <v>9749000000</v>
      </c>
      <c r="F201" s="61">
        <v>2159000000</v>
      </c>
      <c r="G201" s="61">
        <v>5151000000</v>
      </c>
      <c r="H201" s="61">
        <v>0</v>
      </c>
      <c r="I201" t="s">
        <v>16</v>
      </c>
      <c r="J201" t="s">
        <v>28</v>
      </c>
      <c r="K201" s="61">
        <v>13805000000</v>
      </c>
      <c r="L201" s="61">
        <v>7310000000</v>
      </c>
      <c r="M201" s="61">
        <v>6495000000</v>
      </c>
      <c r="N201" s="43" t="str">
        <f t="shared" si="3"/>
        <v>$5-10B</v>
      </c>
    </row>
    <row r="202" spans="1:14" x14ac:dyDescent="0.25">
      <c r="A202" t="s">
        <v>451</v>
      </c>
      <c r="B202" t="s">
        <v>6</v>
      </c>
      <c r="C202" s="51">
        <v>41727</v>
      </c>
      <c r="D202" s="61">
        <v>1148231000</v>
      </c>
      <c r="E202" s="61">
        <v>743304000</v>
      </c>
      <c r="F202" s="61">
        <v>180317000</v>
      </c>
      <c r="G202" s="61">
        <v>197269000</v>
      </c>
      <c r="H202" s="61">
        <v>0</v>
      </c>
      <c r="I202" t="s">
        <v>16</v>
      </c>
      <c r="J202" t="s">
        <v>28</v>
      </c>
      <c r="K202" s="61">
        <v>404927000</v>
      </c>
      <c r="L202" s="61">
        <v>377586000</v>
      </c>
      <c r="M202" s="61">
        <v>27341000</v>
      </c>
      <c r="N202" s="43" t="str">
        <f t="shared" si="3"/>
        <v>$0-5B</v>
      </c>
    </row>
    <row r="203" spans="1:14" x14ac:dyDescent="0.25">
      <c r="A203" t="s">
        <v>451</v>
      </c>
      <c r="B203" t="s">
        <v>9</v>
      </c>
      <c r="C203" s="51">
        <v>42091</v>
      </c>
      <c r="D203" s="61">
        <v>1710966000</v>
      </c>
      <c r="E203" s="61">
        <v>1021658000</v>
      </c>
      <c r="F203" s="61">
        <v>309348000</v>
      </c>
      <c r="G203" s="61">
        <v>257494000</v>
      </c>
      <c r="H203" s="61">
        <v>0</v>
      </c>
      <c r="I203" t="s">
        <v>16</v>
      </c>
      <c r="J203" t="s">
        <v>28</v>
      </c>
      <c r="K203" s="61">
        <v>689308000</v>
      </c>
      <c r="L203" s="61">
        <v>566842000</v>
      </c>
      <c r="M203" s="61">
        <v>122466000</v>
      </c>
      <c r="N203" s="43" t="str">
        <f t="shared" si="3"/>
        <v>$0-5B</v>
      </c>
    </row>
    <row r="204" spans="1:14" x14ac:dyDescent="0.25">
      <c r="A204" t="s">
        <v>451</v>
      </c>
      <c r="B204" t="s">
        <v>10</v>
      </c>
      <c r="C204" s="51">
        <v>42462</v>
      </c>
      <c r="D204" s="61">
        <v>2610726000</v>
      </c>
      <c r="E204" s="61">
        <v>1561173000</v>
      </c>
      <c r="F204" s="61">
        <v>588822000</v>
      </c>
      <c r="G204" s="61">
        <v>448763000</v>
      </c>
      <c r="H204" s="61">
        <v>0</v>
      </c>
      <c r="I204" t="s">
        <v>16</v>
      </c>
      <c r="J204" t="s">
        <v>28</v>
      </c>
      <c r="K204" s="61">
        <v>1049553000</v>
      </c>
      <c r="L204" s="61">
        <v>1037585000</v>
      </c>
      <c r="M204" s="61">
        <v>11968000</v>
      </c>
      <c r="N204" s="43" t="str">
        <f t="shared" si="3"/>
        <v>$0-5B</v>
      </c>
    </row>
    <row r="205" spans="1:14" x14ac:dyDescent="0.25">
      <c r="A205" t="s">
        <v>487</v>
      </c>
      <c r="B205" t="s">
        <v>6</v>
      </c>
      <c r="C205" s="51">
        <v>41544</v>
      </c>
      <c r="D205" s="61">
        <v>1792000000</v>
      </c>
      <c r="E205" s="61">
        <v>1025400000</v>
      </c>
      <c r="F205" s="61">
        <v>159700000</v>
      </c>
      <c r="G205" s="61">
        <v>226300000</v>
      </c>
      <c r="H205" s="61">
        <v>29100000</v>
      </c>
      <c r="I205" t="s">
        <v>16</v>
      </c>
      <c r="J205" t="s">
        <v>28</v>
      </c>
      <c r="K205" s="61">
        <v>766600000</v>
      </c>
      <c r="L205" s="61">
        <v>415100000</v>
      </c>
      <c r="M205" s="61">
        <v>351500000</v>
      </c>
      <c r="N205" s="43" t="str">
        <f t="shared" si="3"/>
        <v>$0-5B</v>
      </c>
    </row>
    <row r="206" spans="1:14" x14ac:dyDescent="0.25">
      <c r="A206" t="s">
        <v>487</v>
      </c>
      <c r="B206" t="s">
        <v>9</v>
      </c>
      <c r="C206" s="51">
        <v>41915</v>
      </c>
      <c r="D206" s="61">
        <v>2291500000</v>
      </c>
      <c r="E206" s="61">
        <v>1268800000</v>
      </c>
      <c r="F206" s="61">
        <v>179100000</v>
      </c>
      <c r="G206" s="61">
        <v>252200000</v>
      </c>
      <c r="H206" s="61">
        <v>25900000</v>
      </c>
      <c r="I206" t="s">
        <v>16</v>
      </c>
      <c r="J206" t="s">
        <v>28</v>
      </c>
      <c r="K206" s="61">
        <v>1022700000</v>
      </c>
      <c r="L206" s="61">
        <v>457200000</v>
      </c>
      <c r="M206" s="61">
        <v>565500000</v>
      </c>
      <c r="N206" s="43" t="str">
        <f t="shared" si="3"/>
        <v>$0-5B</v>
      </c>
    </row>
    <row r="207" spans="1:14" x14ac:dyDescent="0.25">
      <c r="A207" t="s">
        <v>487</v>
      </c>
      <c r="B207" t="s">
        <v>10</v>
      </c>
      <c r="C207" s="51">
        <v>42279</v>
      </c>
      <c r="D207" s="61">
        <v>3258400000</v>
      </c>
      <c r="E207" s="61">
        <v>1703900000</v>
      </c>
      <c r="F207" s="61">
        <v>191300000</v>
      </c>
      <c r="G207" s="61">
        <v>303200000</v>
      </c>
      <c r="H207" s="61">
        <v>33500000</v>
      </c>
      <c r="I207" t="s">
        <v>16</v>
      </c>
      <c r="J207" t="s">
        <v>28</v>
      </c>
      <c r="K207" s="61">
        <v>1554500000</v>
      </c>
      <c r="L207" s="61">
        <v>528000000</v>
      </c>
      <c r="M207" s="61">
        <v>1026500000</v>
      </c>
      <c r="N207" s="43" t="str">
        <f t="shared" si="3"/>
        <v>$0-5B</v>
      </c>
    </row>
    <row r="208" spans="1:14" x14ac:dyDescent="0.25">
      <c r="A208" t="s">
        <v>487</v>
      </c>
      <c r="B208" t="s">
        <v>11</v>
      </c>
      <c r="C208" s="51">
        <v>42643</v>
      </c>
      <c r="D208" s="61">
        <v>3289000000</v>
      </c>
      <c r="E208" s="61">
        <v>1623800000</v>
      </c>
      <c r="F208" s="61">
        <v>195900000</v>
      </c>
      <c r="G208" s="61">
        <v>312400000</v>
      </c>
      <c r="H208" s="61">
        <v>33400000</v>
      </c>
      <c r="I208" t="s">
        <v>16</v>
      </c>
      <c r="J208" t="s">
        <v>28</v>
      </c>
      <c r="K208" s="61">
        <v>1665200000</v>
      </c>
      <c r="L208" s="61">
        <v>541700000</v>
      </c>
      <c r="M208" s="61">
        <v>1123500000</v>
      </c>
      <c r="N208" s="43" t="str">
        <f t="shared" si="3"/>
        <v>$0-5B</v>
      </c>
    </row>
    <row r="209" spans="1:14" x14ac:dyDescent="0.25">
      <c r="A209" t="s">
        <v>515</v>
      </c>
      <c r="B209" t="s">
        <v>6</v>
      </c>
      <c r="C209" s="51">
        <v>41274</v>
      </c>
      <c r="D209" s="61">
        <v>12825000000</v>
      </c>
      <c r="E209" s="61">
        <v>6457000000</v>
      </c>
      <c r="F209" s="61">
        <v>1804000000</v>
      </c>
      <c r="G209" s="61">
        <v>1877000000</v>
      </c>
      <c r="H209" s="61">
        <v>0</v>
      </c>
      <c r="I209" t="s">
        <v>16</v>
      </c>
      <c r="J209" t="s">
        <v>28</v>
      </c>
      <c r="K209" s="61">
        <v>6368000000</v>
      </c>
      <c r="L209" s="61">
        <v>3681000000</v>
      </c>
      <c r="M209" s="61">
        <v>2687000000</v>
      </c>
      <c r="N209" s="43" t="str">
        <f t="shared" si="3"/>
        <v>$0-5B</v>
      </c>
    </row>
    <row r="210" spans="1:14" x14ac:dyDescent="0.25">
      <c r="A210" t="s">
        <v>515</v>
      </c>
      <c r="B210" t="s">
        <v>9</v>
      </c>
      <c r="C210" s="51">
        <v>41639</v>
      </c>
      <c r="D210" s="61">
        <v>12205000000</v>
      </c>
      <c r="E210" s="61">
        <v>5841000000</v>
      </c>
      <c r="F210" s="61">
        <v>1858000000</v>
      </c>
      <c r="G210" s="61">
        <v>1522000000</v>
      </c>
      <c r="H210" s="61">
        <v>0</v>
      </c>
      <c r="I210" t="s">
        <v>16</v>
      </c>
      <c r="J210" t="s">
        <v>28</v>
      </c>
      <c r="K210" s="61">
        <v>6364000000</v>
      </c>
      <c r="L210" s="61">
        <v>3380000000</v>
      </c>
      <c r="M210" s="61">
        <v>2984000000</v>
      </c>
      <c r="N210" s="43" t="str">
        <f t="shared" si="3"/>
        <v>$0-5B</v>
      </c>
    </row>
    <row r="211" spans="1:14" x14ac:dyDescent="0.25">
      <c r="A211" t="s">
        <v>515</v>
      </c>
      <c r="B211" t="s">
        <v>10</v>
      </c>
      <c r="C211" s="51">
        <v>42004</v>
      </c>
      <c r="D211" s="61">
        <v>13045000000</v>
      </c>
      <c r="E211" s="61">
        <v>5618000000</v>
      </c>
      <c r="F211" s="61">
        <v>1843000000</v>
      </c>
      <c r="G211" s="61">
        <v>1358000000</v>
      </c>
      <c r="H211" s="61">
        <v>0</v>
      </c>
      <c r="I211" t="s">
        <v>16</v>
      </c>
      <c r="J211" t="s">
        <v>28</v>
      </c>
      <c r="K211" s="61">
        <v>7427000000</v>
      </c>
      <c r="L211" s="61">
        <v>3201000000</v>
      </c>
      <c r="M211" s="61">
        <v>4226000000</v>
      </c>
      <c r="N211" s="43" t="str">
        <f t="shared" si="3"/>
        <v>$0-5B</v>
      </c>
    </row>
    <row r="212" spans="1:14" x14ac:dyDescent="0.25">
      <c r="A212" t="s">
        <v>515</v>
      </c>
      <c r="B212" t="s">
        <v>11</v>
      </c>
      <c r="C212" s="51">
        <v>42369</v>
      </c>
      <c r="D212" s="61">
        <v>13000000000</v>
      </c>
      <c r="E212" s="61">
        <v>5440000000</v>
      </c>
      <c r="F212" s="61">
        <v>1748000000</v>
      </c>
      <c r="G212" s="61">
        <v>1280000000</v>
      </c>
      <c r="H212" s="61">
        <v>0</v>
      </c>
      <c r="I212" t="s">
        <v>16</v>
      </c>
      <c r="J212" t="s">
        <v>28</v>
      </c>
      <c r="K212" s="61">
        <v>7560000000</v>
      </c>
      <c r="L212" s="61">
        <v>3028000000</v>
      </c>
      <c r="M212" s="61">
        <v>4532000000</v>
      </c>
      <c r="N212" s="43" t="str">
        <f t="shared" si="3"/>
        <v>$0-5B</v>
      </c>
    </row>
    <row r="213" spans="1:14" x14ac:dyDescent="0.25">
      <c r="A213" t="s">
        <v>560</v>
      </c>
      <c r="B213" t="s">
        <v>6</v>
      </c>
      <c r="C213" s="51">
        <v>41363</v>
      </c>
      <c r="D213" s="61">
        <v>2168652000</v>
      </c>
      <c r="E213" s="61">
        <v>737206000</v>
      </c>
      <c r="F213" s="61">
        <v>365684000</v>
      </c>
      <c r="G213" s="61">
        <v>475522000</v>
      </c>
      <c r="H213" s="61">
        <v>9508000</v>
      </c>
      <c r="I213" t="s">
        <v>16</v>
      </c>
      <c r="J213" t="s">
        <v>28</v>
      </c>
      <c r="K213" s="61">
        <v>1431446000</v>
      </c>
      <c r="L213" s="61">
        <v>850714000</v>
      </c>
      <c r="M213" s="61">
        <v>580732000</v>
      </c>
      <c r="N213" s="43" t="str">
        <f t="shared" si="3"/>
        <v>$0-5B</v>
      </c>
    </row>
    <row r="214" spans="1:14" x14ac:dyDescent="0.25">
      <c r="A214" t="s">
        <v>560</v>
      </c>
      <c r="B214" t="s">
        <v>9</v>
      </c>
      <c r="C214" s="51">
        <v>41727</v>
      </c>
      <c r="D214" s="61">
        <v>2382531000</v>
      </c>
      <c r="E214" s="61">
        <v>743253000</v>
      </c>
      <c r="F214" s="61">
        <v>378607000</v>
      </c>
      <c r="G214" s="61">
        <v>492447000</v>
      </c>
      <c r="H214" s="61">
        <v>9887000</v>
      </c>
      <c r="I214" t="s">
        <v>16</v>
      </c>
      <c r="J214" t="s">
        <v>28</v>
      </c>
      <c r="K214" s="61">
        <v>1639278000</v>
      </c>
      <c r="L214" s="61">
        <v>880941000</v>
      </c>
      <c r="M214" s="61">
        <v>758337000</v>
      </c>
      <c r="N214" s="43" t="str">
        <f t="shared" si="3"/>
        <v>$0-5B</v>
      </c>
    </row>
    <row r="215" spans="1:14" x14ac:dyDescent="0.25">
      <c r="A215" t="s">
        <v>560</v>
      </c>
      <c r="B215" t="s">
        <v>10</v>
      </c>
      <c r="C215" s="51">
        <v>42091</v>
      </c>
      <c r="D215" s="61">
        <v>2377344000</v>
      </c>
      <c r="E215" s="61">
        <v>708823000</v>
      </c>
      <c r="F215" s="61">
        <v>353670000</v>
      </c>
      <c r="G215" s="61">
        <v>525745000</v>
      </c>
      <c r="H215" s="61">
        <v>9537000</v>
      </c>
      <c r="I215" t="s">
        <v>16</v>
      </c>
      <c r="J215" t="s">
        <v>28</v>
      </c>
      <c r="K215" s="61">
        <v>1668521000</v>
      </c>
      <c r="L215" s="61">
        <v>888952000</v>
      </c>
      <c r="M215" s="61">
        <v>779569000</v>
      </c>
      <c r="N215" s="43" t="str">
        <f t="shared" si="3"/>
        <v>$0-5B</v>
      </c>
    </row>
    <row r="216" spans="1:14" x14ac:dyDescent="0.25">
      <c r="A216" t="s">
        <v>560</v>
      </c>
      <c r="B216" t="s">
        <v>11</v>
      </c>
      <c r="C216" s="51">
        <v>42462</v>
      </c>
      <c r="D216" s="61">
        <v>2213881000</v>
      </c>
      <c r="E216" s="61">
        <v>671907000</v>
      </c>
      <c r="F216" s="61">
        <v>331652000</v>
      </c>
      <c r="G216" s="61">
        <v>533891000</v>
      </c>
      <c r="H216" s="61">
        <v>6550000</v>
      </c>
      <c r="I216" t="s">
        <v>16</v>
      </c>
      <c r="J216" t="s">
        <v>28</v>
      </c>
      <c r="K216" s="61">
        <v>1541974000</v>
      </c>
      <c r="L216" s="61">
        <v>872093000</v>
      </c>
      <c r="M216" s="61">
        <v>669881000</v>
      </c>
      <c r="N216" s="43" t="str">
        <f t="shared" si="3"/>
        <v>$0-5B</v>
      </c>
    </row>
    <row r="217" spans="1:14" x14ac:dyDescent="0.25">
      <c r="A217" t="s">
        <v>393</v>
      </c>
      <c r="B217" t="s">
        <v>6</v>
      </c>
      <c r="C217" s="51">
        <v>41455</v>
      </c>
      <c r="D217" s="61">
        <v>77849000000</v>
      </c>
      <c r="E217" s="61">
        <v>20385000000</v>
      </c>
      <c r="F217" s="61">
        <v>20289000000</v>
      </c>
      <c r="G217" s="61">
        <v>10411000000</v>
      </c>
      <c r="H217" s="61">
        <v>0</v>
      </c>
      <c r="I217" t="s">
        <v>16</v>
      </c>
      <c r="J217" t="s">
        <v>394</v>
      </c>
      <c r="K217" s="61">
        <v>57464000000</v>
      </c>
      <c r="L217" s="61">
        <v>30700000000</v>
      </c>
      <c r="M217" s="61">
        <v>26764000000</v>
      </c>
      <c r="N217" s="43" t="str">
        <f t="shared" si="3"/>
        <v>$30-35B</v>
      </c>
    </row>
    <row r="218" spans="1:14" x14ac:dyDescent="0.25">
      <c r="A218" t="s">
        <v>393</v>
      </c>
      <c r="B218" t="s">
        <v>9</v>
      </c>
      <c r="C218" s="51">
        <v>41820</v>
      </c>
      <c r="D218" s="61">
        <v>86833000000</v>
      </c>
      <c r="E218" s="61">
        <v>27078000000</v>
      </c>
      <c r="F218" s="61">
        <v>20488000000</v>
      </c>
      <c r="G218" s="61">
        <v>11381000000</v>
      </c>
      <c r="H218" s="61">
        <v>0</v>
      </c>
      <c r="I218" t="s">
        <v>16</v>
      </c>
      <c r="J218" t="s">
        <v>394</v>
      </c>
      <c r="K218" s="61">
        <v>59755000000</v>
      </c>
      <c r="L218" s="61">
        <v>31869000000</v>
      </c>
      <c r="M218" s="61">
        <v>27886000000</v>
      </c>
      <c r="N218" s="43" t="str">
        <f t="shared" si="3"/>
        <v>$30-35B</v>
      </c>
    </row>
    <row r="219" spans="1:14" x14ac:dyDescent="0.25">
      <c r="A219" t="s">
        <v>393</v>
      </c>
      <c r="B219" t="s">
        <v>10</v>
      </c>
      <c r="C219" s="51">
        <v>42185</v>
      </c>
      <c r="D219" s="61">
        <v>93580000000</v>
      </c>
      <c r="E219" s="61">
        <v>33038000000</v>
      </c>
      <c r="F219" s="61">
        <v>20324000000</v>
      </c>
      <c r="G219" s="61">
        <v>12046000000</v>
      </c>
      <c r="H219" s="61">
        <v>0</v>
      </c>
      <c r="I219" t="s">
        <v>16</v>
      </c>
      <c r="J219" t="s">
        <v>394</v>
      </c>
      <c r="K219" s="61">
        <v>60542000000</v>
      </c>
      <c r="L219" s="61">
        <v>32370000000</v>
      </c>
      <c r="M219" s="61">
        <v>28172000000</v>
      </c>
      <c r="N219" s="43" t="str">
        <f t="shared" si="3"/>
        <v>$30-35B</v>
      </c>
    </row>
    <row r="220" spans="1:14" x14ac:dyDescent="0.25">
      <c r="A220" t="s">
        <v>393</v>
      </c>
      <c r="B220" t="s">
        <v>11</v>
      </c>
      <c r="C220" s="51">
        <v>42551</v>
      </c>
      <c r="D220" s="61">
        <v>85320000000</v>
      </c>
      <c r="E220" s="61">
        <v>32780000000</v>
      </c>
      <c r="F220" s="61">
        <v>19260000000</v>
      </c>
      <c r="G220" s="61">
        <v>11988000000</v>
      </c>
      <c r="H220" s="61">
        <v>0</v>
      </c>
      <c r="I220" t="s">
        <v>16</v>
      </c>
      <c r="J220" t="s">
        <v>394</v>
      </c>
      <c r="K220" s="61">
        <v>52540000000</v>
      </c>
      <c r="L220" s="61">
        <v>31248000000</v>
      </c>
      <c r="M220" s="61">
        <v>21292000000</v>
      </c>
      <c r="N220" s="43" t="str">
        <f t="shared" si="3"/>
        <v>$30-35B</v>
      </c>
    </row>
    <row r="221" spans="1:14" x14ac:dyDescent="0.25">
      <c r="A221" t="s">
        <v>457</v>
      </c>
      <c r="B221" t="s">
        <v>6</v>
      </c>
      <c r="C221" s="51">
        <v>41333</v>
      </c>
      <c r="D221" s="61">
        <v>1328817000</v>
      </c>
      <c r="E221" s="61">
        <v>200600000</v>
      </c>
      <c r="F221" s="61">
        <v>660887000</v>
      </c>
      <c r="G221" s="61">
        <v>263150000</v>
      </c>
      <c r="H221" s="61">
        <v>0</v>
      </c>
      <c r="I221" t="s">
        <v>16</v>
      </c>
      <c r="J221" t="s">
        <v>394</v>
      </c>
      <c r="K221" s="61">
        <v>1128217000</v>
      </c>
      <c r="L221" s="61">
        <v>924037000</v>
      </c>
      <c r="M221" s="61">
        <v>204180000</v>
      </c>
      <c r="N221" s="43" t="str">
        <f t="shared" si="3"/>
        <v>$0-5B</v>
      </c>
    </row>
    <row r="222" spans="1:14" x14ac:dyDescent="0.25">
      <c r="A222" t="s">
        <v>457</v>
      </c>
      <c r="B222" t="s">
        <v>9</v>
      </c>
      <c r="C222" s="51">
        <v>41698</v>
      </c>
      <c r="D222" s="61">
        <v>1534615000</v>
      </c>
      <c r="E222" s="61">
        <v>232600000</v>
      </c>
      <c r="F222" s="61">
        <v>750292000</v>
      </c>
      <c r="G222" s="61">
        <v>317263000</v>
      </c>
      <c r="H222" s="61">
        <v>0</v>
      </c>
      <c r="I222" t="s">
        <v>16</v>
      </c>
      <c r="J222" t="s">
        <v>394</v>
      </c>
      <c r="K222" s="61">
        <v>1302015000</v>
      </c>
      <c r="L222" s="61">
        <v>1067555000</v>
      </c>
      <c r="M222" s="61">
        <v>234460000</v>
      </c>
      <c r="N222" s="43" t="str">
        <f t="shared" si="3"/>
        <v>$0-5B</v>
      </c>
    </row>
    <row r="223" spans="1:14" x14ac:dyDescent="0.25">
      <c r="A223" t="s">
        <v>457</v>
      </c>
      <c r="B223" t="s">
        <v>10</v>
      </c>
      <c r="C223" s="51">
        <v>42063</v>
      </c>
      <c r="D223" s="61">
        <v>1789489000</v>
      </c>
      <c r="E223" s="61">
        <v>273199000</v>
      </c>
      <c r="F223" s="61">
        <v>898440000</v>
      </c>
      <c r="G223" s="61">
        <v>367856000</v>
      </c>
      <c r="H223" s="61">
        <v>0</v>
      </c>
      <c r="I223" t="s">
        <v>16</v>
      </c>
      <c r="J223" t="s">
        <v>394</v>
      </c>
      <c r="K223" s="61">
        <v>1516290000</v>
      </c>
      <c r="L223" s="61">
        <v>1266296000</v>
      </c>
      <c r="M223" s="61">
        <v>249994000</v>
      </c>
      <c r="N223" s="43" t="str">
        <f t="shared" si="3"/>
        <v>$0-5B</v>
      </c>
    </row>
    <row r="224" spans="1:14" x14ac:dyDescent="0.25">
      <c r="A224" t="s">
        <v>457</v>
      </c>
      <c r="B224" t="s">
        <v>11</v>
      </c>
      <c r="C224" s="51">
        <v>42429</v>
      </c>
      <c r="D224" s="61">
        <v>2052230000</v>
      </c>
      <c r="E224" s="61">
        <v>309629000</v>
      </c>
      <c r="F224" s="61">
        <v>1041231000</v>
      </c>
      <c r="G224" s="61">
        <v>413322000</v>
      </c>
      <c r="H224" s="61">
        <v>0</v>
      </c>
      <c r="I224" t="s">
        <v>16</v>
      </c>
      <c r="J224" t="s">
        <v>394</v>
      </c>
      <c r="K224" s="61">
        <v>1742601000</v>
      </c>
      <c r="L224" s="61">
        <v>1454553000</v>
      </c>
      <c r="M224" s="61">
        <v>288048000</v>
      </c>
      <c r="N224" s="43" t="str">
        <f t="shared" si="3"/>
        <v>$0-5B</v>
      </c>
    </row>
    <row r="225" spans="1:14" x14ac:dyDescent="0.25">
      <c r="A225" t="s">
        <v>297</v>
      </c>
      <c r="B225" t="s">
        <v>6</v>
      </c>
      <c r="C225" s="51">
        <v>41943</v>
      </c>
      <c r="D225" s="61">
        <v>55123000000</v>
      </c>
      <c r="E225" s="61">
        <v>39486000000</v>
      </c>
      <c r="F225" s="61">
        <v>8717000000</v>
      </c>
      <c r="G225" s="61">
        <v>2197000000</v>
      </c>
      <c r="H225" s="61">
        <v>906000000</v>
      </c>
      <c r="I225" t="s">
        <v>16</v>
      </c>
      <c r="J225" t="s">
        <v>298</v>
      </c>
      <c r="K225" s="61">
        <v>15637000000</v>
      </c>
      <c r="L225" s="61">
        <v>11820000000</v>
      </c>
      <c r="M225" s="61">
        <v>3817000000</v>
      </c>
      <c r="N225" s="43" t="str">
        <f t="shared" si="3"/>
        <v>$10-15B</v>
      </c>
    </row>
    <row r="226" spans="1:14" x14ac:dyDescent="0.25">
      <c r="A226" t="s">
        <v>297</v>
      </c>
      <c r="B226" t="s">
        <v>9</v>
      </c>
      <c r="C226" s="51">
        <v>42308</v>
      </c>
      <c r="D226" s="61">
        <v>52107000000</v>
      </c>
      <c r="E226" s="61">
        <v>37168000000</v>
      </c>
      <c r="F226" s="61">
        <v>9047000000</v>
      </c>
      <c r="G226" s="61">
        <v>2338000000</v>
      </c>
      <c r="H226" s="61">
        <v>852000000</v>
      </c>
      <c r="I226" t="s">
        <v>16</v>
      </c>
      <c r="J226" t="s">
        <v>298</v>
      </c>
      <c r="K226" s="61">
        <v>14939000000</v>
      </c>
      <c r="L226" s="61">
        <v>12237000000</v>
      </c>
      <c r="M226" s="61">
        <v>2702000000</v>
      </c>
      <c r="N226" s="43" t="str">
        <f t="shared" si="3"/>
        <v>$10-15B</v>
      </c>
    </row>
    <row r="227" spans="1:14" x14ac:dyDescent="0.25">
      <c r="A227" t="s">
        <v>297</v>
      </c>
      <c r="B227" t="s">
        <v>10</v>
      </c>
      <c r="C227" s="51">
        <v>42674</v>
      </c>
      <c r="D227" s="61">
        <v>50123000000</v>
      </c>
      <c r="E227" s="61">
        <v>35507000000</v>
      </c>
      <c r="F227" s="61">
        <v>8419000000</v>
      </c>
      <c r="G227" s="61">
        <v>2298000000</v>
      </c>
      <c r="H227" s="61">
        <v>755000000</v>
      </c>
      <c r="I227" t="s">
        <v>16</v>
      </c>
      <c r="J227" t="s">
        <v>298</v>
      </c>
      <c r="K227" s="61">
        <v>14616000000</v>
      </c>
      <c r="L227" s="61">
        <v>11472000000</v>
      </c>
      <c r="M227" s="61">
        <v>3144000000</v>
      </c>
      <c r="N227" s="43" t="str">
        <f t="shared" si="3"/>
        <v>$10-15B</v>
      </c>
    </row>
    <row r="228" spans="1:14" x14ac:dyDescent="0.25">
      <c r="A228" t="s">
        <v>302</v>
      </c>
      <c r="B228" t="s">
        <v>6</v>
      </c>
      <c r="C228" s="51">
        <v>41453</v>
      </c>
      <c r="D228" s="61">
        <v>5112000000</v>
      </c>
      <c r="E228" s="61">
        <v>3385000000</v>
      </c>
      <c r="F228" s="61">
        <v>914000000</v>
      </c>
      <c r="G228" s="61">
        <v>0</v>
      </c>
      <c r="H228" s="61">
        <v>0</v>
      </c>
      <c r="I228" t="s">
        <v>16</v>
      </c>
      <c r="J228" t="s">
        <v>303</v>
      </c>
      <c r="K228" s="61">
        <v>1727000000</v>
      </c>
      <c r="L228" s="61">
        <v>914000000</v>
      </c>
      <c r="M228" s="61">
        <v>813000000</v>
      </c>
      <c r="N228" s="43" t="str">
        <f t="shared" si="3"/>
        <v>$0-5B</v>
      </c>
    </row>
    <row r="229" spans="1:14" x14ac:dyDescent="0.25">
      <c r="A229" t="s">
        <v>302</v>
      </c>
      <c r="B229" t="s">
        <v>9</v>
      </c>
      <c r="C229" s="51">
        <v>41817</v>
      </c>
      <c r="D229" s="61">
        <v>5012000000</v>
      </c>
      <c r="E229" s="61">
        <v>3310000000</v>
      </c>
      <c r="F229" s="61">
        <v>820000000</v>
      </c>
      <c r="G229" s="61">
        <v>0</v>
      </c>
      <c r="H229" s="61">
        <v>0</v>
      </c>
      <c r="I229" t="s">
        <v>16</v>
      </c>
      <c r="J229" t="s">
        <v>303</v>
      </c>
      <c r="K229" s="61">
        <v>1702000000</v>
      </c>
      <c r="L229" s="61">
        <v>820000000</v>
      </c>
      <c r="M229" s="61">
        <v>882000000</v>
      </c>
      <c r="N229" s="43" t="str">
        <f t="shared" si="3"/>
        <v>$0-5B</v>
      </c>
    </row>
    <row r="230" spans="1:14" x14ac:dyDescent="0.25">
      <c r="A230" t="s">
        <v>302</v>
      </c>
      <c r="B230" t="s">
        <v>10</v>
      </c>
      <c r="C230" s="51">
        <v>42188</v>
      </c>
      <c r="D230" s="61">
        <v>5083000000</v>
      </c>
      <c r="E230" s="61">
        <v>3348000000</v>
      </c>
      <c r="F230" s="61">
        <v>976000000</v>
      </c>
      <c r="G230" s="61">
        <v>0</v>
      </c>
      <c r="H230" s="61">
        <v>0</v>
      </c>
      <c r="I230" t="s">
        <v>16</v>
      </c>
      <c r="J230" t="s">
        <v>303</v>
      </c>
      <c r="K230" s="61">
        <v>1735000000</v>
      </c>
      <c r="L230" s="61">
        <v>976000000</v>
      </c>
      <c r="M230" s="61">
        <v>759000000</v>
      </c>
      <c r="N230" s="43" t="str">
        <f t="shared" si="3"/>
        <v>$0-5B</v>
      </c>
    </row>
    <row r="231" spans="1:14" x14ac:dyDescent="0.25">
      <c r="A231" t="s">
        <v>302</v>
      </c>
      <c r="B231" t="s">
        <v>11</v>
      </c>
      <c r="C231" s="51">
        <v>42552</v>
      </c>
      <c r="D231" s="61">
        <v>7467000000</v>
      </c>
      <c r="E231" s="61">
        <v>5132000000</v>
      </c>
      <c r="F231" s="61">
        <v>1186000000</v>
      </c>
      <c r="G231" s="61">
        <v>0</v>
      </c>
      <c r="H231" s="61">
        <v>0</v>
      </c>
      <c r="I231" t="s">
        <v>16</v>
      </c>
      <c r="J231" t="s">
        <v>303</v>
      </c>
      <c r="K231" s="61">
        <v>2335000000</v>
      </c>
      <c r="L231" s="61">
        <v>1186000000</v>
      </c>
      <c r="M231" s="61">
        <v>1149000000</v>
      </c>
      <c r="N231" s="43" t="str">
        <f t="shared" si="3"/>
        <v>$0-5B</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F3305-DCB7-4805-AC88-61FD32985B18}">
  <sheetPr codeName="Sheet3"/>
  <dimension ref="A1:M48"/>
  <sheetViews>
    <sheetView topLeftCell="D18" workbookViewId="0">
      <selection activeCell="L2" sqref="L2:L48"/>
    </sheetView>
  </sheetViews>
  <sheetFormatPr defaultRowHeight="15" x14ac:dyDescent="0.25"/>
  <cols>
    <col min="1" max="1" width="15.7109375" customWidth="1"/>
    <col min="2" max="2" width="8.140625" customWidth="1"/>
    <col min="3" max="3" width="15.5703125" style="51" customWidth="1"/>
    <col min="4" max="4" width="20" style="44" bestFit="1" customWidth="1"/>
    <col min="5" max="5" width="21.85546875" style="44" customWidth="1"/>
    <col min="6" max="6" width="28" style="44" customWidth="1"/>
    <col min="7" max="7" width="29.42578125" style="44" customWidth="1"/>
    <col min="8" max="8" width="24.5703125" style="44" customWidth="1"/>
    <col min="9" max="9" width="14" customWidth="1"/>
    <col min="10" max="10" width="27.28515625" bestFit="1" customWidth="1"/>
    <col min="11" max="11" width="19" style="44" bestFit="1" customWidth="1"/>
    <col min="12" max="12" width="28.28515625" style="44" customWidth="1"/>
    <col min="13" max="13" width="19" style="44" bestFit="1" customWidth="1"/>
    <col min="14" max="14" width="11.28515625" bestFit="1" customWidth="1"/>
  </cols>
  <sheetData>
    <row r="1" spans="1:13" x14ac:dyDescent="0.25">
      <c r="A1" s="127" t="s">
        <v>0</v>
      </c>
      <c r="B1" s="128" t="s">
        <v>1</v>
      </c>
      <c r="C1" s="134" t="s">
        <v>2</v>
      </c>
      <c r="D1" s="129" t="s">
        <v>571</v>
      </c>
      <c r="E1" s="129" t="s">
        <v>578</v>
      </c>
      <c r="F1" s="129" t="s">
        <v>579</v>
      </c>
      <c r="G1" s="129" t="s">
        <v>580</v>
      </c>
      <c r="H1" s="129" t="s">
        <v>577</v>
      </c>
      <c r="I1" s="128" t="s">
        <v>3</v>
      </c>
      <c r="J1" s="128" t="s">
        <v>4</v>
      </c>
      <c r="K1" s="129" t="s">
        <v>570</v>
      </c>
      <c r="L1" s="129" t="s">
        <v>612</v>
      </c>
      <c r="M1" s="130" t="s">
        <v>589</v>
      </c>
    </row>
    <row r="2" spans="1:13" x14ac:dyDescent="0.25">
      <c r="A2" s="120" t="s">
        <v>18</v>
      </c>
      <c r="B2" s="121" t="s">
        <v>11</v>
      </c>
      <c r="C2" s="131">
        <v>42369</v>
      </c>
      <c r="D2" s="132">
        <v>22859000000</v>
      </c>
      <c r="E2" s="132">
        <v>4500000000</v>
      </c>
      <c r="F2" s="132">
        <v>6387000000</v>
      </c>
      <c r="G2" s="132">
        <v>4285000000</v>
      </c>
      <c r="H2" s="132">
        <v>0</v>
      </c>
      <c r="I2" s="121" t="s">
        <v>19</v>
      </c>
      <c r="J2" s="121" t="s">
        <v>20</v>
      </c>
      <c r="K2" s="132">
        <v>18359000000</v>
      </c>
      <c r="L2" s="132">
        <v>10672000000</v>
      </c>
      <c r="M2" s="133">
        <v>7687000000</v>
      </c>
    </row>
    <row r="3" spans="1:13" x14ac:dyDescent="0.25">
      <c r="A3" s="122" t="s">
        <v>21</v>
      </c>
      <c r="B3" s="123" t="s">
        <v>11</v>
      </c>
      <c r="C3" s="124">
        <v>42643</v>
      </c>
      <c r="D3" s="125">
        <v>146849686000</v>
      </c>
      <c r="E3" s="125">
        <v>142577080000</v>
      </c>
      <c r="F3" s="125">
        <v>2382097000</v>
      </c>
      <c r="G3" s="125">
        <v>0</v>
      </c>
      <c r="H3" s="125">
        <v>364735000</v>
      </c>
      <c r="I3" s="123" t="s">
        <v>19</v>
      </c>
      <c r="J3" s="123" t="s">
        <v>22</v>
      </c>
      <c r="K3" s="125">
        <v>4272606000</v>
      </c>
      <c r="L3" s="125">
        <v>2746832000</v>
      </c>
      <c r="M3" s="126">
        <v>1525774000</v>
      </c>
    </row>
    <row r="4" spans="1:13" x14ac:dyDescent="0.25">
      <c r="A4" s="120" t="s">
        <v>23</v>
      </c>
      <c r="B4" s="121" t="s">
        <v>11</v>
      </c>
      <c r="C4" s="131">
        <v>42369</v>
      </c>
      <c r="D4" s="132">
        <v>20405000000</v>
      </c>
      <c r="E4" s="132">
        <v>8747000000</v>
      </c>
      <c r="F4" s="132">
        <v>6785000000</v>
      </c>
      <c r="G4" s="132">
        <v>1405000000</v>
      </c>
      <c r="H4" s="132">
        <v>601000000</v>
      </c>
      <c r="I4" s="121" t="s">
        <v>19</v>
      </c>
      <c r="J4" s="121" t="s">
        <v>24</v>
      </c>
      <c r="K4" s="132">
        <v>11658000000</v>
      </c>
      <c r="L4" s="132">
        <v>8791000000</v>
      </c>
      <c r="M4" s="133">
        <v>2867000000</v>
      </c>
    </row>
    <row r="5" spans="1:13" x14ac:dyDescent="0.25">
      <c r="A5" s="122" t="s">
        <v>59</v>
      </c>
      <c r="B5" s="123" t="s">
        <v>11</v>
      </c>
      <c r="C5" s="124">
        <v>42735</v>
      </c>
      <c r="D5" s="125">
        <v>3084000000</v>
      </c>
      <c r="E5" s="125">
        <v>258000000</v>
      </c>
      <c r="F5" s="125">
        <v>990000000</v>
      </c>
      <c r="G5" s="125">
        <v>757000000</v>
      </c>
      <c r="H5" s="125">
        <v>322000000</v>
      </c>
      <c r="I5" s="123" t="s">
        <v>19</v>
      </c>
      <c r="J5" s="123" t="s">
        <v>60</v>
      </c>
      <c r="K5" s="125">
        <v>2826000000</v>
      </c>
      <c r="L5" s="125">
        <v>2069000000</v>
      </c>
      <c r="M5" s="126">
        <v>757000000</v>
      </c>
    </row>
    <row r="6" spans="1:13" x14ac:dyDescent="0.25">
      <c r="A6" s="120" t="s">
        <v>65</v>
      </c>
      <c r="B6" s="121" t="s">
        <v>11</v>
      </c>
      <c r="C6" s="131">
        <v>42735</v>
      </c>
      <c r="D6" s="132">
        <v>22991000000</v>
      </c>
      <c r="E6" s="132">
        <v>4162000000</v>
      </c>
      <c r="F6" s="132">
        <v>5195000000</v>
      </c>
      <c r="G6" s="132">
        <v>3840000000</v>
      </c>
      <c r="H6" s="132">
        <v>0</v>
      </c>
      <c r="I6" s="121" t="s">
        <v>19</v>
      </c>
      <c r="J6" s="121" t="s">
        <v>60</v>
      </c>
      <c r="K6" s="132">
        <v>18829000000</v>
      </c>
      <c r="L6" s="132">
        <v>9035000000</v>
      </c>
      <c r="M6" s="133">
        <v>9794000000</v>
      </c>
    </row>
    <row r="7" spans="1:13" x14ac:dyDescent="0.25">
      <c r="A7" s="122" t="s">
        <v>74</v>
      </c>
      <c r="B7" s="123" t="s">
        <v>11</v>
      </c>
      <c r="C7" s="124">
        <v>42369</v>
      </c>
      <c r="D7" s="125">
        <v>79156500000</v>
      </c>
      <c r="E7" s="125">
        <v>61116900000</v>
      </c>
      <c r="F7" s="125">
        <v>12534800000</v>
      </c>
      <c r="G7" s="125">
        <v>0</v>
      </c>
      <c r="H7" s="125">
        <v>230100000</v>
      </c>
      <c r="I7" s="123" t="s">
        <v>19</v>
      </c>
      <c r="J7" s="123" t="s">
        <v>75</v>
      </c>
      <c r="K7" s="125">
        <v>18039600000</v>
      </c>
      <c r="L7" s="125">
        <v>12764900000</v>
      </c>
      <c r="M7" s="126">
        <v>5274700000</v>
      </c>
    </row>
    <row r="8" spans="1:13" x14ac:dyDescent="0.25">
      <c r="A8" s="120" t="s">
        <v>100</v>
      </c>
      <c r="B8" s="121" t="s">
        <v>11</v>
      </c>
      <c r="C8" s="131">
        <v>42369</v>
      </c>
      <c r="D8" s="132">
        <v>9968000000</v>
      </c>
      <c r="E8" s="132">
        <v>5822000000</v>
      </c>
      <c r="F8" s="132">
        <v>3094000000</v>
      </c>
      <c r="G8" s="132">
        <v>603000000</v>
      </c>
      <c r="H8" s="132">
        <v>0</v>
      </c>
      <c r="I8" s="121" t="s">
        <v>19</v>
      </c>
      <c r="J8" s="121" t="s">
        <v>24</v>
      </c>
      <c r="K8" s="132">
        <v>4146000000</v>
      </c>
      <c r="L8" s="132">
        <v>3697000000</v>
      </c>
      <c r="M8" s="133">
        <v>449000000</v>
      </c>
    </row>
    <row r="9" spans="1:13" x14ac:dyDescent="0.25">
      <c r="A9" s="122" t="s">
        <v>105</v>
      </c>
      <c r="B9" s="123" t="s">
        <v>11</v>
      </c>
      <c r="C9" s="124">
        <v>42735</v>
      </c>
      <c r="D9" s="125">
        <v>3714000000</v>
      </c>
      <c r="E9" s="125">
        <v>1371700000</v>
      </c>
      <c r="F9" s="125">
        <v>1101900000</v>
      </c>
      <c r="G9" s="125">
        <v>292800000</v>
      </c>
      <c r="H9" s="125">
        <v>0</v>
      </c>
      <c r="I9" s="123" t="s">
        <v>19</v>
      </c>
      <c r="J9" s="123" t="s">
        <v>24</v>
      </c>
      <c r="K9" s="125">
        <v>2342300000</v>
      </c>
      <c r="L9" s="125">
        <v>1394700000</v>
      </c>
      <c r="M9" s="126">
        <v>947600000</v>
      </c>
    </row>
    <row r="10" spans="1:13" x14ac:dyDescent="0.25">
      <c r="A10" s="120" t="s">
        <v>106</v>
      </c>
      <c r="B10" s="121" t="s">
        <v>11</v>
      </c>
      <c r="C10" s="131">
        <v>42643</v>
      </c>
      <c r="D10" s="132">
        <v>12483000000</v>
      </c>
      <c r="E10" s="132">
        <v>6492000000</v>
      </c>
      <c r="F10" s="132">
        <v>3005000000</v>
      </c>
      <c r="G10" s="132">
        <v>828000000</v>
      </c>
      <c r="H10" s="132">
        <v>0</v>
      </c>
      <c r="I10" s="121" t="s">
        <v>19</v>
      </c>
      <c r="J10" s="121" t="s">
        <v>24</v>
      </c>
      <c r="K10" s="132">
        <v>5991000000</v>
      </c>
      <c r="L10" s="132">
        <v>3833000000</v>
      </c>
      <c r="M10" s="133">
        <v>2158000000</v>
      </c>
    </row>
    <row r="11" spans="1:13" x14ac:dyDescent="0.25">
      <c r="A11" s="122" t="s">
        <v>109</v>
      </c>
      <c r="B11" s="123" t="s">
        <v>11</v>
      </c>
      <c r="C11" s="124">
        <v>42735</v>
      </c>
      <c r="D11" s="125">
        <v>11448800000</v>
      </c>
      <c r="E11" s="125">
        <v>1478700000</v>
      </c>
      <c r="F11" s="125">
        <v>1972900000</v>
      </c>
      <c r="G11" s="125">
        <v>1973300000</v>
      </c>
      <c r="H11" s="125">
        <v>385600000</v>
      </c>
      <c r="I11" s="123" t="s">
        <v>19</v>
      </c>
      <c r="J11" s="123" t="s">
        <v>60</v>
      </c>
      <c r="K11" s="125">
        <v>9970100000</v>
      </c>
      <c r="L11" s="125">
        <v>4331800000</v>
      </c>
      <c r="M11" s="126">
        <v>5638300000</v>
      </c>
    </row>
    <row r="12" spans="1:13" x14ac:dyDescent="0.25">
      <c r="A12" s="120" t="s">
        <v>112</v>
      </c>
      <c r="B12" s="121" t="s">
        <v>11</v>
      </c>
      <c r="C12" s="131">
        <v>42369</v>
      </c>
      <c r="D12" s="132">
        <v>16560000000</v>
      </c>
      <c r="E12" s="132">
        <v>3909000000</v>
      </c>
      <c r="F12" s="132">
        <v>4841000000</v>
      </c>
      <c r="G12" s="132">
        <v>5920000000</v>
      </c>
      <c r="H12" s="132">
        <v>0</v>
      </c>
      <c r="I12" s="121" t="s">
        <v>19</v>
      </c>
      <c r="J12" s="121" t="s">
        <v>22</v>
      </c>
      <c r="K12" s="132">
        <v>12651000000</v>
      </c>
      <c r="L12" s="132">
        <v>10761000000</v>
      </c>
      <c r="M12" s="133">
        <v>1890000000</v>
      </c>
    </row>
    <row r="13" spans="1:13" x14ac:dyDescent="0.25">
      <c r="A13" s="122" t="s">
        <v>113</v>
      </c>
      <c r="B13" s="123" t="s">
        <v>11</v>
      </c>
      <c r="C13" s="124">
        <v>42369</v>
      </c>
      <c r="D13" s="125">
        <v>7477000000</v>
      </c>
      <c r="E13" s="125">
        <v>2173000000</v>
      </c>
      <c r="F13" s="125">
        <v>2996000000</v>
      </c>
      <c r="G13" s="125">
        <v>876000000</v>
      </c>
      <c r="H13" s="125">
        <v>495000000</v>
      </c>
      <c r="I13" s="123" t="s">
        <v>19</v>
      </c>
      <c r="J13" s="123" t="s">
        <v>24</v>
      </c>
      <c r="K13" s="125">
        <v>5304000000</v>
      </c>
      <c r="L13" s="125">
        <v>4367000000</v>
      </c>
      <c r="M13" s="126">
        <v>937000000</v>
      </c>
    </row>
    <row r="14" spans="1:13" x14ac:dyDescent="0.25">
      <c r="A14" s="120" t="s">
        <v>119</v>
      </c>
      <c r="B14" s="121" t="s">
        <v>11</v>
      </c>
      <c r="C14" s="131">
        <v>42551</v>
      </c>
      <c r="D14" s="132">
        <v>121546000000</v>
      </c>
      <c r="E14" s="132">
        <v>115003000000</v>
      </c>
      <c r="F14" s="132">
        <v>3648000000</v>
      </c>
      <c r="G14" s="132">
        <v>0</v>
      </c>
      <c r="H14" s="132">
        <v>459000000</v>
      </c>
      <c r="I14" s="121" t="s">
        <v>19</v>
      </c>
      <c r="J14" s="121" t="s">
        <v>22</v>
      </c>
      <c r="K14" s="132">
        <v>6543000000</v>
      </c>
      <c r="L14" s="132">
        <v>4107000000</v>
      </c>
      <c r="M14" s="133">
        <v>2436000000</v>
      </c>
    </row>
    <row r="15" spans="1:13" x14ac:dyDescent="0.25">
      <c r="A15" s="122" t="s">
        <v>128</v>
      </c>
      <c r="B15" s="123" t="s">
        <v>11</v>
      </c>
      <c r="C15" s="124">
        <v>42735</v>
      </c>
      <c r="D15" s="125">
        <v>11229200000</v>
      </c>
      <c r="E15" s="125">
        <v>438000000</v>
      </c>
      <c r="F15" s="125">
        <v>2657700000</v>
      </c>
      <c r="G15" s="125">
        <v>4470100000</v>
      </c>
      <c r="H15" s="125">
        <v>459000000</v>
      </c>
      <c r="I15" s="123" t="s">
        <v>19</v>
      </c>
      <c r="J15" s="123" t="s">
        <v>60</v>
      </c>
      <c r="K15" s="125">
        <v>10791200000</v>
      </c>
      <c r="L15" s="125">
        <v>7586800000</v>
      </c>
      <c r="M15" s="126">
        <v>3204400000</v>
      </c>
    </row>
    <row r="16" spans="1:13" x14ac:dyDescent="0.25">
      <c r="A16" s="120" t="s">
        <v>129</v>
      </c>
      <c r="B16" s="121" t="s">
        <v>11</v>
      </c>
      <c r="C16" s="131">
        <v>42735</v>
      </c>
      <c r="D16" s="132">
        <v>4796473000</v>
      </c>
      <c r="E16" s="132">
        <v>779116000</v>
      </c>
      <c r="F16" s="132">
        <v>2464380000</v>
      </c>
      <c r="G16" s="132">
        <v>551418000</v>
      </c>
      <c r="H16" s="132">
        <v>90546000</v>
      </c>
      <c r="I16" s="121" t="s">
        <v>19</v>
      </c>
      <c r="J16" s="121" t="s">
        <v>130</v>
      </c>
      <c r="K16" s="132">
        <v>4017357000</v>
      </c>
      <c r="L16" s="132">
        <v>3106344000</v>
      </c>
      <c r="M16" s="133">
        <v>911013000</v>
      </c>
    </row>
    <row r="17" spans="1:13" x14ac:dyDescent="0.25">
      <c r="A17" s="122" t="s">
        <v>143</v>
      </c>
      <c r="B17" s="123" t="s">
        <v>11</v>
      </c>
      <c r="C17" s="124">
        <v>42369</v>
      </c>
      <c r="D17" s="125">
        <v>37876000000</v>
      </c>
      <c r="E17" s="125">
        <v>23290000000</v>
      </c>
      <c r="F17" s="125">
        <v>0</v>
      </c>
      <c r="G17" s="125">
        <v>0</v>
      </c>
      <c r="H17" s="125">
        <v>11259000000</v>
      </c>
      <c r="I17" s="123" t="s">
        <v>19</v>
      </c>
      <c r="J17" s="123" t="s">
        <v>75</v>
      </c>
      <c r="K17" s="125">
        <v>14586000000</v>
      </c>
      <c r="L17" s="125">
        <v>11259000000</v>
      </c>
      <c r="M17" s="126">
        <v>3327000000</v>
      </c>
    </row>
    <row r="18" spans="1:13" x14ac:dyDescent="0.25">
      <c r="A18" s="120" t="s">
        <v>153</v>
      </c>
      <c r="B18" s="121" t="s">
        <v>11</v>
      </c>
      <c r="C18" s="131">
        <v>42369</v>
      </c>
      <c r="D18" s="132">
        <v>22760000000</v>
      </c>
      <c r="E18" s="132">
        <v>17242000000</v>
      </c>
      <c r="F18" s="132">
        <v>2977000000</v>
      </c>
      <c r="G18" s="132">
        <v>0</v>
      </c>
      <c r="H18" s="132">
        <v>1836000000</v>
      </c>
      <c r="I18" s="121" t="s">
        <v>19</v>
      </c>
      <c r="J18" s="121" t="s">
        <v>75</v>
      </c>
      <c r="K18" s="132">
        <v>5518000000</v>
      </c>
      <c r="L18" s="132">
        <v>4813000000</v>
      </c>
      <c r="M18" s="133">
        <v>705000000</v>
      </c>
    </row>
    <row r="19" spans="1:13" x14ac:dyDescent="0.25">
      <c r="A19" s="122" t="s">
        <v>159</v>
      </c>
      <c r="B19" s="123" t="s">
        <v>11</v>
      </c>
      <c r="C19" s="124">
        <v>42674</v>
      </c>
      <c r="D19" s="125">
        <v>1966814000</v>
      </c>
      <c r="E19" s="125">
        <v>793735000</v>
      </c>
      <c r="F19" s="125">
        <v>722798000</v>
      </c>
      <c r="G19" s="125">
        <v>65411000</v>
      </c>
      <c r="H19" s="125">
        <v>60790000</v>
      </c>
      <c r="I19" s="123" t="s">
        <v>19</v>
      </c>
      <c r="J19" s="123" t="s">
        <v>160</v>
      </c>
      <c r="K19" s="125">
        <v>1173079000</v>
      </c>
      <c r="L19" s="125">
        <v>848999000</v>
      </c>
      <c r="M19" s="126">
        <v>324080000</v>
      </c>
    </row>
    <row r="20" spans="1:13" x14ac:dyDescent="0.25">
      <c r="A20" s="120" t="s">
        <v>192</v>
      </c>
      <c r="B20" s="121" t="s">
        <v>11</v>
      </c>
      <c r="C20" s="131">
        <v>42369</v>
      </c>
      <c r="D20" s="132">
        <v>7493000000</v>
      </c>
      <c r="E20" s="132">
        <v>4657000000</v>
      </c>
      <c r="F20" s="132">
        <v>1356000000</v>
      </c>
      <c r="G20" s="132">
        <v>0</v>
      </c>
      <c r="H20" s="132">
        <v>81000000</v>
      </c>
      <c r="I20" s="121" t="s">
        <v>19</v>
      </c>
      <c r="J20" s="121" t="s">
        <v>193</v>
      </c>
      <c r="K20" s="132">
        <v>2836000000</v>
      </c>
      <c r="L20" s="132">
        <v>1437000000</v>
      </c>
      <c r="M20" s="133">
        <v>1399000000</v>
      </c>
    </row>
    <row r="21" spans="1:13" x14ac:dyDescent="0.25">
      <c r="A21" s="122" t="s">
        <v>211</v>
      </c>
      <c r="B21" s="123" t="s">
        <v>11</v>
      </c>
      <c r="C21" s="124">
        <v>42369</v>
      </c>
      <c r="D21" s="125">
        <v>13781837000</v>
      </c>
      <c r="E21" s="125">
        <v>9824834000</v>
      </c>
      <c r="F21" s="125">
        <v>1947135000</v>
      </c>
      <c r="G21" s="125">
        <v>0</v>
      </c>
      <c r="H21" s="125">
        <v>638024000</v>
      </c>
      <c r="I21" s="123" t="s">
        <v>19</v>
      </c>
      <c r="J21" s="123" t="s">
        <v>193</v>
      </c>
      <c r="K21" s="125">
        <v>3957003000</v>
      </c>
      <c r="L21" s="125">
        <v>2585159000</v>
      </c>
      <c r="M21" s="126">
        <v>1371844000</v>
      </c>
    </row>
    <row r="22" spans="1:13" x14ac:dyDescent="0.25">
      <c r="A22" s="120" t="s">
        <v>233</v>
      </c>
      <c r="B22" s="121" t="s">
        <v>11</v>
      </c>
      <c r="C22" s="131">
        <v>42369</v>
      </c>
      <c r="D22" s="132">
        <v>2493700000</v>
      </c>
      <c r="E22" s="132">
        <v>617200000</v>
      </c>
      <c r="F22" s="132">
        <v>850700000</v>
      </c>
      <c r="G22" s="132">
        <v>383100000</v>
      </c>
      <c r="H22" s="132">
        <v>0</v>
      </c>
      <c r="I22" s="121" t="s">
        <v>19</v>
      </c>
      <c r="J22" s="121" t="s">
        <v>24</v>
      </c>
      <c r="K22" s="132">
        <v>1876500000</v>
      </c>
      <c r="L22" s="132">
        <v>1233800000</v>
      </c>
      <c r="M22" s="133">
        <v>642700000</v>
      </c>
    </row>
    <row r="23" spans="1:13" x14ac:dyDescent="0.25">
      <c r="A23" s="122" t="s">
        <v>264</v>
      </c>
      <c r="B23" s="123" t="s">
        <v>11</v>
      </c>
      <c r="C23" s="124">
        <v>42369</v>
      </c>
      <c r="D23" s="125">
        <v>32639000000</v>
      </c>
      <c r="E23" s="125">
        <v>4006000000</v>
      </c>
      <c r="F23" s="125">
        <v>3426000000</v>
      </c>
      <c r="G23" s="125">
        <v>3014000000</v>
      </c>
      <c r="H23" s="125">
        <v>0</v>
      </c>
      <c r="I23" s="123" t="s">
        <v>19</v>
      </c>
      <c r="J23" s="123" t="s">
        <v>60</v>
      </c>
      <c r="K23" s="125">
        <v>28633000000</v>
      </c>
      <c r="L23" s="125">
        <v>6440000000</v>
      </c>
      <c r="M23" s="126">
        <v>22193000000</v>
      </c>
    </row>
    <row r="24" spans="1:13" x14ac:dyDescent="0.25">
      <c r="A24" s="120" t="s">
        <v>284</v>
      </c>
      <c r="B24" s="121" t="s">
        <v>11</v>
      </c>
      <c r="C24" s="131">
        <v>42369</v>
      </c>
      <c r="D24" s="132">
        <v>39678000000</v>
      </c>
      <c r="E24" s="132">
        <v>6638000000</v>
      </c>
      <c r="F24" s="132">
        <v>25171000000</v>
      </c>
      <c r="G24" s="132">
        <v>0</v>
      </c>
      <c r="H24" s="132">
        <v>1904000000</v>
      </c>
      <c r="I24" s="121" t="s">
        <v>19</v>
      </c>
      <c r="J24" s="121" t="s">
        <v>193</v>
      </c>
      <c r="K24" s="132">
        <v>33040000000</v>
      </c>
      <c r="L24" s="132">
        <v>27075000000</v>
      </c>
      <c r="M24" s="133">
        <v>5965000000</v>
      </c>
    </row>
    <row r="25" spans="1:13" x14ac:dyDescent="0.25">
      <c r="A25" s="122" t="s">
        <v>293</v>
      </c>
      <c r="B25" s="123" t="s">
        <v>11</v>
      </c>
      <c r="C25" s="124">
        <v>42637</v>
      </c>
      <c r="D25" s="125">
        <v>2832700000</v>
      </c>
      <c r="E25" s="125">
        <v>1269400000</v>
      </c>
      <c r="F25" s="125">
        <v>682400000</v>
      </c>
      <c r="G25" s="125">
        <v>232100000</v>
      </c>
      <c r="H25" s="125">
        <v>89700000</v>
      </c>
      <c r="I25" s="123" t="s">
        <v>19</v>
      </c>
      <c r="J25" s="123" t="s">
        <v>24</v>
      </c>
      <c r="K25" s="125">
        <v>1563300000</v>
      </c>
      <c r="L25" s="125">
        <v>1004200000</v>
      </c>
      <c r="M25" s="126">
        <v>559100000</v>
      </c>
    </row>
    <row r="26" spans="1:13" x14ac:dyDescent="0.25">
      <c r="A26" s="120" t="s">
        <v>304</v>
      </c>
      <c r="B26" s="121" t="s">
        <v>11</v>
      </c>
      <c r="C26" s="131">
        <v>42364</v>
      </c>
      <c r="D26" s="132">
        <v>10629719000</v>
      </c>
      <c r="E26" s="132">
        <v>7617460000</v>
      </c>
      <c r="F26" s="132">
        <v>2243356000</v>
      </c>
      <c r="G26" s="132">
        <v>0</v>
      </c>
      <c r="H26" s="132">
        <v>0</v>
      </c>
      <c r="I26" s="121" t="s">
        <v>19</v>
      </c>
      <c r="J26" s="121" t="s">
        <v>22</v>
      </c>
      <c r="K26" s="132">
        <v>3012259000</v>
      </c>
      <c r="L26" s="132">
        <v>2243356000</v>
      </c>
      <c r="M26" s="133">
        <v>768903000</v>
      </c>
    </row>
    <row r="27" spans="1:13" x14ac:dyDescent="0.25">
      <c r="A27" s="122" t="s">
        <v>307</v>
      </c>
      <c r="B27" s="123" t="s">
        <v>11</v>
      </c>
      <c r="C27" s="124">
        <v>42735</v>
      </c>
      <c r="D27" s="125">
        <v>54379000000</v>
      </c>
      <c r="E27" s="125">
        <v>45007000000</v>
      </c>
      <c r="F27" s="125">
        <v>0</v>
      </c>
      <c r="G27" s="125">
        <v>0</v>
      </c>
      <c r="H27" s="125">
        <v>7631000000</v>
      </c>
      <c r="I27" s="123" t="s">
        <v>19</v>
      </c>
      <c r="J27" s="123" t="s">
        <v>75</v>
      </c>
      <c r="K27" s="125">
        <v>9372000000</v>
      </c>
      <c r="L27" s="125">
        <v>7631000000</v>
      </c>
      <c r="M27" s="126">
        <v>1741000000</v>
      </c>
    </row>
    <row r="28" spans="1:13" x14ac:dyDescent="0.25">
      <c r="A28" s="120" t="s">
        <v>309</v>
      </c>
      <c r="B28" s="121" t="s">
        <v>11</v>
      </c>
      <c r="C28" s="131">
        <v>42369</v>
      </c>
      <c r="D28" s="132">
        <v>1601892000</v>
      </c>
      <c r="E28" s="132">
        <v>711622000</v>
      </c>
      <c r="F28" s="132">
        <v>482465000</v>
      </c>
      <c r="G28" s="132">
        <v>99681000</v>
      </c>
      <c r="H28" s="132">
        <v>0</v>
      </c>
      <c r="I28" s="121" t="s">
        <v>19</v>
      </c>
      <c r="J28" s="121" t="s">
        <v>24</v>
      </c>
      <c r="K28" s="132">
        <v>890270000</v>
      </c>
      <c r="L28" s="132">
        <v>582146000</v>
      </c>
      <c r="M28" s="133">
        <v>308124000</v>
      </c>
    </row>
    <row r="29" spans="1:13" x14ac:dyDescent="0.25">
      <c r="A29" s="122" t="s">
        <v>311</v>
      </c>
      <c r="B29" s="123" t="s">
        <v>11</v>
      </c>
      <c r="C29" s="124">
        <v>42736</v>
      </c>
      <c r="D29" s="125">
        <v>2398373000</v>
      </c>
      <c r="E29" s="125">
        <v>731925000</v>
      </c>
      <c r="F29" s="125">
        <v>584491000</v>
      </c>
      <c r="G29" s="125">
        <v>504415000</v>
      </c>
      <c r="H29" s="125">
        <v>0</v>
      </c>
      <c r="I29" s="123" t="s">
        <v>19</v>
      </c>
      <c r="J29" s="123" t="s">
        <v>312</v>
      </c>
      <c r="K29" s="125">
        <v>1666448000</v>
      </c>
      <c r="L29" s="125">
        <v>1088906000</v>
      </c>
      <c r="M29" s="126">
        <v>577542000</v>
      </c>
    </row>
    <row r="30" spans="1:13" x14ac:dyDescent="0.25">
      <c r="A30" s="120" t="s">
        <v>319</v>
      </c>
      <c r="B30" s="121" t="s">
        <v>11</v>
      </c>
      <c r="C30" s="131">
        <v>42735</v>
      </c>
      <c r="D30" s="132">
        <v>2704400000</v>
      </c>
      <c r="E30" s="132">
        <v>814300000</v>
      </c>
      <c r="F30" s="132">
        <v>705300000</v>
      </c>
      <c r="G30" s="132">
        <v>239600000</v>
      </c>
      <c r="H30" s="132">
        <v>0</v>
      </c>
      <c r="I30" s="121" t="s">
        <v>19</v>
      </c>
      <c r="J30" s="121" t="s">
        <v>24</v>
      </c>
      <c r="K30" s="132">
        <v>1890100000</v>
      </c>
      <c r="L30" s="132">
        <v>944900000</v>
      </c>
      <c r="M30" s="133">
        <v>945200000</v>
      </c>
    </row>
    <row r="31" spans="1:13" x14ac:dyDescent="0.25">
      <c r="A31" s="122" t="s">
        <v>346</v>
      </c>
      <c r="B31" s="123" t="s">
        <v>11</v>
      </c>
      <c r="C31" s="124">
        <v>42369</v>
      </c>
      <c r="D31" s="125">
        <v>8680100000</v>
      </c>
      <c r="E31" s="125">
        <v>5776800000</v>
      </c>
      <c r="F31" s="125">
        <v>1622000000</v>
      </c>
      <c r="G31" s="125">
        <v>0</v>
      </c>
      <c r="H31" s="125">
        <v>164500000</v>
      </c>
      <c r="I31" s="123" t="s">
        <v>19</v>
      </c>
      <c r="J31" s="123" t="s">
        <v>193</v>
      </c>
      <c r="K31" s="125">
        <v>2903300000</v>
      </c>
      <c r="L31" s="125">
        <v>1786500000</v>
      </c>
      <c r="M31" s="126">
        <v>1116800000</v>
      </c>
    </row>
    <row r="32" spans="1:13" x14ac:dyDescent="0.25">
      <c r="A32" s="120" t="s">
        <v>351</v>
      </c>
      <c r="B32" s="121" t="s">
        <v>11</v>
      </c>
      <c r="C32" s="131">
        <v>42369</v>
      </c>
      <c r="D32" s="132">
        <v>19958700000</v>
      </c>
      <c r="E32" s="132">
        <v>5037200000</v>
      </c>
      <c r="F32" s="132">
        <v>6432400000</v>
      </c>
      <c r="G32" s="132">
        <v>4796400000</v>
      </c>
      <c r="H32" s="132">
        <v>0</v>
      </c>
      <c r="I32" s="121" t="s">
        <v>19</v>
      </c>
      <c r="J32" s="121" t="s">
        <v>20</v>
      </c>
      <c r="K32" s="132">
        <v>14921500000</v>
      </c>
      <c r="L32" s="132">
        <v>11228800000</v>
      </c>
      <c r="M32" s="133">
        <v>3692700000</v>
      </c>
    </row>
    <row r="33" spans="1:13" x14ac:dyDescent="0.25">
      <c r="A33" s="122" t="s">
        <v>371</v>
      </c>
      <c r="B33" s="123" t="s">
        <v>11</v>
      </c>
      <c r="C33" s="124">
        <v>42460</v>
      </c>
      <c r="D33" s="125">
        <v>190884000000</v>
      </c>
      <c r="E33" s="125">
        <v>179468000000</v>
      </c>
      <c r="F33" s="125">
        <v>7276000000</v>
      </c>
      <c r="G33" s="125">
        <v>392000000</v>
      </c>
      <c r="H33" s="125">
        <v>0</v>
      </c>
      <c r="I33" s="123" t="s">
        <v>19</v>
      </c>
      <c r="J33" s="123" t="s">
        <v>22</v>
      </c>
      <c r="K33" s="125">
        <v>11416000000</v>
      </c>
      <c r="L33" s="125">
        <v>7668000000</v>
      </c>
      <c r="M33" s="126">
        <v>3748000000</v>
      </c>
    </row>
    <row r="34" spans="1:13" x14ac:dyDescent="0.25">
      <c r="A34" s="120" t="s">
        <v>391</v>
      </c>
      <c r="B34" s="121" t="s">
        <v>11</v>
      </c>
      <c r="C34" s="131">
        <v>42369</v>
      </c>
      <c r="D34" s="132">
        <v>39498000000</v>
      </c>
      <c r="E34" s="132">
        <v>14934000000</v>
      </c>
      <c r="F34" s="132">
        <v>10313000000</v>
      </c>
      <c r="G34" s="132">
        <v>6704000000</v>
      </c>
      <c r="H34" s="132">
        <v>0</v>
      </c>
      <c r="I34" s="121" t="s">
        <v>19</v>
      </c>
      <c r="J34" s="121" t="s">
        <v>20</v>
      </c>
      <c r="K34" s="132">
        <v>24564000000</v>
      </c>
      <c r="L34" s="132">
        <v>17017000000</v>
      </c>
      <c r="M34" s="133">
        <v>7547000000</v>
      </c>
    </row>
    <row r="35" spans="1:13" x14ac:dyDescent="0.25">
      <c r="A35" s="122" t="s">
        <v>396</v>
      </c>
      <c r="B35" s="123" t="s">
        <v>11</v>
      </c>
      <c r="C35" s="124">
        <v>42735</v>
      </c>
      <c r="D35" s="125">
        <v>2508257000</v>
      </c>
      <c r="E35" s="125">
        <v>1072670000</v>
      </c>
      <c r="F35" s="125">
        <v>732622000</v>
      </c>
      <c r="G35" s="125">
        <v>119968000</v>
      </c>
      <c r="H35" s="125">
        <v>36052000</v>
      </c>
      <c r="I35" s="123" t="s">
        <v>19</v>
      </c>
      <c r="J35" s="123" t="s">
        <v>312</v>
      </c>
      <c r="K35" s="125">
        <v>1435587000</v>
      </c>
      <c r="L35" s="125">
        <v>888642000</v>
      </c>
      <c r="M35" s="126">
        <v>546945000</v>
      </c>
    </row>
    <row r="36" spans="1:13" x14ac:dyDescent="0.25">
      <c r="A36" s="120" t="s">
        <v>429</v>
      </c>
      <c r="B36" s="121" t="s">
        <v>11</v>
      </c>
      <c r="C36" s="131">
        <v>42490</v>
      </c>
      <c r="D36" s="132">
        <v>5386703000</v>
      </c>
      <c r="E36" s="132">
        <v>4063955000</v>
      </c>
      <c r="F36" s="132">
        <v>0</v>
      </c>
      <c r="G36" s="132">
        <v>0</v>
      </c>
      <c r="H36" s="132">
        <v>0</v>
      </c>
      <c r="I36" s="121" t="s">
        <v>19</v>
      </c>
      <c r="J36" s="121" t="s">
        <v>160</v>
      </c>
      <c r="K36" s="132">
        <v>1322748000</v>
      </c>
      <c r="L36" s="132">
        <v>0</v>
      </c>
      <c r="M36" s="133">
        <v>1322748000</v>
      </c>
    </row>
    <row r="37" spans="1:13" x14ac:dyDescent="0.25">
      <c r="A37" s="122" t="s">
        <v>432</v>
      </c>
      <c r="B37" s="123" t="s">
        <v>11</v>
      </c>
      <c r="C37" s="124">
        <v>42369</v>
      </c>
      <c r="D37" s="125">
        <v>48851000000</v>
      </c>
      <c r="E37" s="125">
        <v>9648000000</v>
      </c>
      <c r="F37" s="125">
        <v>14809000000</v>
      </c>
      <c r="G37" s="125">
        <v>7690000000</v>
      </c>
      <c r="H37" s="125">
        <v>3728000000</v>
      </c>
      <c r="I37" s="123" t="s">
        <v>19</v>
      </c>
      <c r="J37" s="123" t="s">
        <v>20</v>
      </c>
      <c r="K37" s="125">
        <v>39203000000</v>
      </c>
      <c r="L37" s="125">
        <v>26227000000</v>
      </c>
      <c r="M37" s="126">
        <v>12976000000</v>
      </c>
    </row>
    <row r="38" spans="1:13" x14ac:dyDescent="0.25">
      <c r="A38" s="120" t="s">
        <v>438</v>
      </c>
      <c r="B38" s="121" t="s">
        <v>11</v>
      </c>
      <c r="C38" s="131">
        <v>42372</v>
      </c>
      <c r="D38" s="132">
        <v>2262359000</v>
      </c>
      <c r="E38" s="132">
        <v>1237859000</v>
      </c>
      <c r="F38" s="132">
        <v>598848000</v>
      </c>
      <c r="G38" s="132">
        <v>125928000</v>
      </c>
      <c r="H38" s="132">
        <v>0</v>
      </c>
      <c r="I38" s="121" t="s">
        <v>19</v>
      </c>
      <c r="J38" s="121" t="s">
        <v>24</v>
      </c>
      <c r="K38" s="132">
        <v>1024500000</v>
      </c>
      <c r="L38" s="132">
        <v>724776000</v>
      </c>
      <c r="M38" s="133">
        <v>299724000</v>
      </c>
    </row>
    <row r="39" spans="1:13" x14ac:dyDescent="0.25">
      <c r="A39" s="122" t="s">
        <v>454</v>
      </c>
      <c r="B39" s="123" t="s">
        <v>11</v>
      </c>
      <c r="C39" s="124">
        <v>42735</v>
      </c>
      <c r="D39" s="125">
        <v>4860427000</v>
      </c>
      <c r="E39" s="125">
        <v>299694000</v>
      </c>
      <c r="F39" s="125">
        <v>1177697000</v>
      </c>
      <c r="G39" s="125">
        <v>2052295000</v>
      </c>
      <c r="H39" s="125">
        <v>0</v>
      </c>
      <c r="I39" s="123" t="s">
        <v>19</v>
      </c>
      <c r="J39" s="123" t="s">
        <v>60</v>
      </c>
      <c r="K39" s="125">
        <v>4560733000</v>
      </c>
      <c r="L39" s="125">
        <v>3229992000</v>
      </c>
      <c r="M39" s="126">
        <v>1330741000</v>
      </c>
    </row>
    <row r="40" spans="1:13" x14ac:dyDescent="0.25">
      <c r="A40" s="120" t="s">
        <v>490</v>
      </c>
      <c r="B40" s="121" t="s">
        <v>11</v>
      </c>
      <c r="C40" s="131">
        <v>42735</v>
      </c>
      <c r="D40" s="132">
        <v>11325000000</v>
      </c>
      <c r="E40" s="132">
        <v>3830000000</v>
      </c>
      <c r="F40" s="132">
        <v>4295000000</v>
      </c>
      <c r="G40" s="132">
        <v>715000000</v>
      </c>
      <c r="H40" s="132">
        <v>319000000</v>
      </c>
      <c r="I40" s="121" t="s">
        <v>19</v>
      </c>
      <c r="J40" s="121" t="s">
        <v>24</v>
      </c>
      <c r="K40" s="132">
        <v>7495000000</v>
      </c>
      <c r="L40" s="132">
        <v>5329000000</v>
      </c>
      <c r="M40" s="133">
        <v>2166000000</v>
      </c>
    </row>
    <row r="41" spans="1:13" x14ac:dyDescent="0.25">
      <c r="A41" s="122" t="s">
        <v>507</v>
      </c>
      <c r="B41" s="123" t="s">
        <v>11</v>
      </c>
      <c r="C41" s="124">
        <v>42369</v>
      </c>
      <c r="D41" s="125">
        <v>16965400000</v>
      </c>
      <c r="E41" s="125">
        <v>9209500000</v>
      </c>
      <c r="F41" s="125">
        <v>4612100000</v>
      </c>
      <c r="G41" s="125">
        <v>692300000</v>
      </c>
      <c r="H41" s="125">
        <v>0</v>
      </c>
      <c r="I41" s="123" t="s">
        <v>19</v>
      </c>
      <c r="J41" s="123" t="s">
        <v>24</v>
      </c>
      <c r="K41" s="125">
        <v>7755900000</v>
      </c>
      <c r="L41" s="125">
        <v>5304400000</v>
      </c>
      <c r="M41" s="126">
        <v>2451500000</v>
      </c>
    </row>
    <row r="42" spans="1:13" x14ac:dyDescent="0.25">
      <c r="A42" s="120" t="s">
        <v>522</v>
      </c>
      <c r="B42" s="121" t="s">
        <v>11</v>
      </c>
      <c r="C42" s="131">
        <v>42735</v>
      </c>
      <c r="D42" s="132">
        <v>184840000000</v>
      </c>
      <c r="E42" s="132">
        <v>117038000000</v>
      </c>
      <c r="F42" s="132">
        <v>0</v>
      </c>
      <c r="G42" s="132">
        <v>0</v>
      </c>
      <c r="H42" s="132">
        <v>54872000000</v>
      </c>
      <c r="I42" s="121" t="s">
        <v>19</v>
      </c>
      <c r="J42" s="121" t="s">
        <v>75</v>
      </c>
      <c r="K42" s="132">
        <v>67802000000</v>
      </c>
      <c r="L42" s="132">
        <v>54872000000</v>
      </c>
      <c r="M42" s="133">
        <v>12930000000</v>
      </c>
    </row>
    <row r="43" spans="1:13" x14ac:dyDescent="0.25">
      <c r="A43" s="122" t="s">
        <v>530</v>
      </c>
      <c r="B43" s="123" t="s">
        <v>11</v>
      </c>
      <c r="C43" s="124">
        <v>42643</v>
      </c>
      <c r="D43" s="125">
        <v>3217800000</v>
      </c>
      <c r="E43" s="125">
        <v>1856500000</v>
      </c>
      <c r="F43" s="125">
        <v>557000000</v>
      </c>
      <c r="G43" s="125">
        <v>253500000</v>
      </c>
      <c r="H43" s="125">
        <v>0</v>
      </c>
      <c r="I43" s="123" t="s">
        <v>19</v>
      </c>
      <c r="J43" s="123" t="s">
        <v>24</v>
      </c>
      <c r="K43" s="125">
        <v>1361300000</v>
      </c>
      <c r="L43" s="125">
        <v>810500000</v>
      </c>
      <c r="M43" s="126">
        <v>550800000</v>
      </c>
    </row>
    <row r="44" spans="1:13" x14ac:dyDescent="0.25">
      <c r="A44" s="120" t="s">
        <v>538</v>
      </c>
      <c r="B44" s="121" t="s">
        <v>11</v>
      </c>
      <c r="C44" s="131">
        <v>42369</v>
      </c>
      <c r="D44" s="132">
        <v>1032336000</v>
      </c>
      <c r="E44" s="132">
        <v>124512000</v>
      </c>
      <c r="F44" s="132">
        <v>376575000</v>
      </c>
      <c r="G44" s="132">
        <v>995922000</v>
      </c>
      <c r="H44" s="132">
        <v>0</v>
      </c>
      <c r="I44" s="121" t="s">
        <v>19</v>
      </c>
      <c r="J44" s="121" t="s">
        <v>60</v>
      </c>
      <c r="K44" s="132">
        <v>907824000</v>
      </c>
      <c r="L44" s="132">
        <v>1372497000</v>
      </c>
      <c r="M44" s="133">
        <v>-464673000</v>
      </c>
    </row>
    <row r="45" spans="1:13" x14ac:dyDescent="0.25">
      <c r="A45" s="122" t="s">
        <v>541</v>
      </c>
      <c r="B45" s="123" t="s">
        <v>11</v>
      </c>
      <c r="C45" s="124">
        <v>42369</v>
      </c>
      <c r="D45" s="125">
        <v>2042332000</v>
      </c>
      <c r="E45" s="125">
        <v>842672000</v>
      </c>
      <c r="F45" s="125">
        <v>495747000</v>
      </c>
      <c r="G45" s="125">
        <v>118545000</v>
      </c>
      <c r="H45" s="125">
        <v>10123000</v>
      </c>
      <c r="I45" s="123" t="s">
        <v>19</v>
      </c>
      <c r="J45" s="123" t="s">
        <v>22</v>
      </c>
      <c r="K45" s="125">
        <v>1199660000</v>
      </c>
      <c r="L45" s="125">
        <v>624415000</v>
      </c>
      <c r="M45" s="126">
        <v>575245000</v>
      </c>
    </row>
    <row r="46" spans="1:13" x14ac:dyDescent="0.25">
      <c r="A46" s="120" t="s">
        <v>562</v>
      </c>
      <c r="B46" s="121" t="s">
        <v>11</v>
      </c>
      <c r="C46" s="131">
        <v>42369</v>
      </c>
      <c r="D46" s="132">
        <v>2674300000</v>
      </c>
      <c r="E46" s="132">
        <v>1157100000</v>
      </c>
      <c r="F46" s="132">
        <v>1077300000</v>
      </c>
      <c r="G46" s="132">
        <v>0</v>
      </c>
      <c r="H46" s="132">
        <v>0</v>
      </c>
      <c r="I46" s="121" t="s">
        <v>19</v>
      </c>
      <c r="J46" s="121" t="s">
        <v>160</v>
      </c>
      <c r="K46" s="132">
        <v>1517200000</v>
      </c>
      <c r="L46" s="132">
        <v>1077300000</v>
      </c>
      <c r="M46" s="133">
        <v>439900000</v>
      </c>
    </row>
    <row r="47" spans="1:13" x14ac:dyDescent="0.25">
      <c r="A47" s="122" t="s">
        <v>567</v>
      </c>
      <c r="B47" s="123" t="s">
        <v>11</v>
      </c>
      <c r="C47" s="124">
        <v>42369</v>
      </c>
      <c r="D47" s="125">
        <v>5997800000</v>
      </c>
      <c r="E47" s="125">
        <v>1800600000</v>
      </c>
      <c r="F47" s="125">
        <v>2291900000</v>
      </c>
      <c r="G47" s="125">
        <v>268800000</v>
      </c>
      <c r="H47" s="125">
        <v>337400000</v>
      </c>
      <c r="I47" s="123" t="s">
        <v>19</v>
      </c>
      <c r="J47" s="123" t="s">
        <v>24</v>
      </c>
      <c r="K47" s="125">
        <v>4197200000</v>
      </c>
      <c r="L47" s="125">
        <v>2898100000</v>
      </c>
      <c r="M47" s="126">
        <v>1299100000</v>
      </c>
    </row>
    <row r="48" spans="1:13" x14ac:dyDescent="0.25">
      <c r="A48" s="120" t="s">
        <v>569</v>
      </c>
      <c r="B48" s="121" t="s">
        <v>11</v>
      </c>
      <c r="C48" s="131">
        <v>42735</v>
      </c>
      <c r="D48" s="132">
        <v>4888000000</v>
      </c>
      <c r="E48" s="132">
        <v>1666000000</v>
      </c>
      <c r="F48" s="132">
        <v>1364000000</v>
      </c>
      <c r="G48" s="132">
        <v>376000000</v>
      </c>
      <c r="H48" s="132">
        <v>85000000</v>
      </c>
      <c r="I48" s="121" t="s">
        <v>19</v>
      </c>
      <c r="J48" s="121" t="s">
        <v>20</v>
      </c>
      <c r="K48" s="132">
        <v>3222000000</v>
      </c>
      <c r="L48" s="132">
        <v>1825000000</v>
      </c>
      <c r="M48" s="133">
        <v>1397000000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119C23-EA18-42AA-9F07-F74259FC93CC}">
  <sheetPr codeName="Sheet4"/>
  <dimension ref="A1:M32"/>
  <sheetViews>
    <sheetView topLeftCell="F1" workbookViewId="0">
      <selection activeCell="L2" sqref="L2:L48"/>
    </sheetView>
  </sheetViews>
  <sheetFormatPr defaultRowHeight="15" x14ac:dyDescent="0.2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bestFit="1" customWidth="1"/>
    <col min="12" max="12" width="28" customWidth="1"/>
    <col min="13" max="13" width="19.7109375" bestFit="1" customWidth="1"/>
  </cols>
  <sheetData>
    <row r="1" spans="1:13" x14ac:dyDescent="0.25">
      <c r="A1" s="127" t="s">
        <v>0</v>
      </c>
      <c r="B1" s="128" t="s">
        <v>1</v>
      </c>
      <c r="C1" s="128" t="s">
        <v>2</v>
      </c>
      <c r="D1" s="129" t="s">
        <v>571</v>
      </c>
      <c r="E1" s="129" t="s">
        <v>578</v>
      </c>
      <c r="F1" s="129" t="s">
        <v>579</v>
      </c>
      <c r="G1" s="129" t="s">
        <v>580</v>
      </c>
      <c r="H1" s="129" t="s">
        <v>577</v>
      </c>
      <c r="I1" s="128" t="s">
        <v>3</v>
      </c>
      <c r="J1" s="128" t="s">
        <v>4</v>
      </c>
      <c r="K1" s="129" t="s">
        <v>570</v>
      </c>
      <c r="L1" s="129" t="s">
        <v>611</v>
      </c>
      <c r="M1" s="130" t="s">
        <v>589</v>
      </c>
    </row>
    <row r="2" spans="1:13" x14ac:dyDescent="0.25">
      <c r="A2" s="120" t="s">
        <v>76</v>
      </c>
      <c r="B2" s="121" t="s">
        <v>11</v>
      </c>
      <c r="C2" s="121">
        <v>42369</v>
      </c>
      <c r="D2" s="132">
        <v>6383000000</v>
      </c>
      <c r="E2" s="132">
        <v>2065000000</v>
      </c>
      <c r="F2" s="132">
        <v>791000000</v>
      </c>
      <c r="G2" s="132">
        <v>0</v>
      </c>
      <c r="H2" s="132">
        <v>29372000000</v>
      </c>
      <c r="I2" s="121" t="s">
        <v>77</v>
      </c>
      <c r="J2" s="121" t="s">
        <v>78</v>
      </c>
      <c r="K2" s="132">
        <v>4318000000</v>
      </c>
      <c r="L2" s="132">
        <v>30163000000</v>
      </c>
      <c r="M2" s="133">
        <v>-25845000000</v>
      </c>
    </row>
    <row r="3" spans="1:13" x14ac:dyDescent="0.25">
      <c r="A3" s="122" t="s">
        <v>79</v>
      </c>
      <c r="B3" s="123" t="s">
        <v>11</v>
      </c>
      <c r="C3" s="123">
        <v>42735</v>
      </c>
      <c r="D3" s="125">
        <v>7869000000</v>
      </c>
      <c r="E3" s="125">
        <v>2900000000</v>
      </c>
      <c r="F3" s="125">
        <v>2094000000</v>
      </c>
      <c r="G3" s="125">
        <v>0</v>
      </c>
      <c r="H3" s="125">
        <v>4301000000</v>
      </c>
      <c r="I3" s="123" t="s">
        <v>77</v>
      </c>
      <c r="J3" s="123" t="s">
        <v>78</v>
      </c>
      <c r="K3" s="125">
        <v>4969000000</v>
      </c>
      <c r="L3" s="125">
        <v>6395000000</v>
      </c>
      <c r="M3" s="126">
        <v>-1426000000</v>
      </c>
    </row>
    <row r="4" spans="1:13" x14ac:dyDescent="0.25">
      <c r="A4" s="120" t="s">
        <v>107</v>
      </c>
      <c r="B4" s="121" t="s">
        <v>11</v>
      </c>
      <c r="C4" s="121">
        <v>42735</v>
      </c>
      <c r="D4" s="132">
        <v>9841000000</v>
      </c>
      <c r="E4" s="132">
        <v>9973000000</v>
      </c>
      <c r="F4" s="132">
        <v>815000000</v>
      </c>
      <c r="G4" s="132">
        <v>384000000</v>
      </c>
      <c r="H4" s="132">
        <v>0</v>
      </c>
      <c r="I4" s="121" t="s">
        <v>77</v>
      </c>
      <c r="J4" s="121" t="s">
        <v>108</v>
      </c>
      <c r="K4" s="132">
        <v>-132000000</v>
      </c>
      <c r="L4" s="132">
        <v>1199000000</v>
      </c>
      <c r="M4" s="133">
        <v>-1331000000</v>
      </c>
    </row>
    <row r="5" spans="1:13" x14ac:dyDescent="0.25">
      <c r="A5" s="122" t="s">
        <v>137</v>
      </c>
      <c r="B5" s="123" t="s">
        <v>11</v>
      </c>
      <c r="C5" s="123">
        <v>42369</v>
      </c>
      <c r="D5" s="125">
        <v>12764000000</v>
      </c>
      <c r="E5" s="125">
        <v>10295000000</v>
      </c>
      <c r="F5" s="125">
        <v>334000000</v>
      </c>
      <c r="G5" s="125">
        <v>0</v>
      </c>
      <c r="H5" s="125">
        <v>2229000000</v>
      </c>
      <c r="I5" s="123" t="s">
        <v>77</v>
      </c>
      <c r="J5" s="123" t="s">
        <v>138</v>
      </c>
      <c r="K5" s="125">
        <v>2469000000</v>
      </c>
      <c r="L5" s="125">
        <v>2563000000</v>
      </c>
      <c r="M5" s="126">
        <v>-94000000</v>
      </c>
    </row>
    <row r="6" spans="1:13" x14ac:dyDescent="0.25">
      <c r="A6" s="120" t="s">
        <v>156</v>
      </c>
      <c r="B6" s="121" t="s">
        <v>11</v>
      </c>
      <c r="C6" s="121">
        <v>42369</v>
      </c>
      <c r="D6" s="132">
        <v>1357150000</v>
      </c>
      <c r="E6" s="132">
        <v>580994000</v>
      </c>
      <c r="F6" s="132">
        <v>112253000</v>
      </c>
      <c r="G6" s="132">
        <v>0</v>
      </c>
      <c r="H6" s="132">
        <v>622211000</v>
      </c>
      <c r="I6" s="121" t="s">
        <v>77</v>
      </c>
      <c r="J6" s="121" t="s">
        <v>78</v>
      </c>
      <c r="K6" s="132">
        <v>776156000</v>
      </c>
      <c r="L6" s="132">
        <v>734464000</v>
      </c>
      <c r="M6" s="133">
        <v>41692000</v>
      </c>
    </row>
    <row r="7" spans="1:13" x14ac:dyDescent="0.25">
      <c r="A7" s="122" t="s">
        <v>182</v>
      </c>
      <c r="B7" s="123" t="s">
        <v>11</v>
      </c>
      <c r="C7" s="123">
        <v>42369</v>
      </c>
      <c r="D7" s="125">
        <v>129925000000</v>
      </c>
      <c r="E7" s="125">
        <v>92785000000</v>
      </c>
      <c r="F7" s="125">
        <v>16473000000</v>
      </c>
      <c r="G7" s="125">
        <v>0</v>
      </c>
      <c r="H7" s="125">
        <v>21037000000</v>
      </c>
      <c r="I7" s="123" t="s">
        <v>77</v>
      </c>
      <c r="J7" s="123" t="s">
        <v>138</v>
      </c>
      <c r="K7" s="125">
        <v>37140000000</v>
      </c>
      <c r="L7" s="125">
        <v>37510000000</v>
      </c>
      <c r="M7" s="126">
        <v>-370000000</v>
      </c>
    </row>
    <row r="8" spans="1:13" x14ac:dyDescent="0.25">
      <c r="A8" s="120" t="s">
        <v>183</v>
      </c>
      <c r="B8" s="121" t="s">
        <v>11</v>
      </c>
      <c r="C8" s="121">
        <v>42369</v>
      </c>
      <c r="D8" s="132">
        <v>1803573000</v>
      </c>
      <c r="E8" s="132">
        <v>541359000</v>
      </c>
      <c r="F8" s="132">
        <v>230734000</v>
      </c>
      <c r="G8" s="132">
        <v>0</v>
      </c>
      <c r="H8" s="132">
        <v>1230853000</v>
      </c>
      <c r="I8" s="121" t="s">
        <v>77</v>
      </c>
      <c r="J8" s="121" t="s">
        <v>78</v>
      </c>
      <c r="K8" s="132">
        <v>1262214000</v>
      </c>
      <c r="L8" s="132">
        <v>1461587000</v>
      </c>
      <c r="M8" s="133">
        <v>-199373000</v>
      </c>
    </row>
    <row r="9" spans="1:13" x14ac:dyDescent="0.25">
      <c r="A9" s="122" t="s">
        <v>212</v>
      </c>
      <c r="B9" s="123" t="s">
        <v>11</v>
      </c>
      <c r="C9" s="123">
        <v>42735</v>
      </c>
      <c r="D9" s="125">
        <v>12197000000</v>
      </c>
      <c r="E9" s="125">
        <v>1582000000</v>
      </c>
      <c r="F9" s="125">
        <v>6476000000</v>
      </c>
      <c r="G9" s="125">
        <v>0</v>
      </c>
      <c r="H9" s="125">
        <v>1792000000</v>
      </c>
      <c r="I9" s="123" t="s">
        <v>77</v>
      </c>
      <c r="J9" s="123" t="s">
        <v>78</v>
      </c>
      <c r="K9" s="125">
        <v>10615000000</v>
      </c>
      <c r="L9" s="125">
        <v>8268000000</v>
      </c>
      <c r="M9" s="126">
        <v>2347000000</v>
      </c>
    </row>
    <row r="10" spans="1:13" x14ac:dyDescent="0.25">
      <c r="A10" s="120" t="s">
        <v>222</v>
      </c>
      <c r="B10" s="121" t="s">
        <v>11</v>
      </c>
      <c r="C10" s="121">
        <v>42369</v>
      </c>
      <c r="D10" s="132">
        <v>8757428000</v>
      </c>
      <c r="E10" s="132">
        <v>2177757000</v>
      </c>
      <c r="F10" s="132">
        <v>3174320000</v>
      </c>
      <c r="G10" s="132">
        <v>0</v>
      </c>
      <c r="H10" s="132">
        <v>3313644000</v>
      </c>
      <c r="I10" s="121" t="s">
        <v>77</v>
      </c>
      <c r="J10" s="121" t="s">
        <v>78</v>
      </c>
      <c r="K10" s="132">
        <v>6579671000</v>
      </c>
      <c r="L10" s="132">
        <v>6487964000</v>
      </c>
      <c r="M10" s="133">
        <v>91707000</v>
      </c>
    </row>
    <row r="11" spans="1:13" x14ac:dyDescent="0.25">
      <c r="A11" s="122" t="s">
        <v>225</v>
      </c>
      <c r="B11" s="123" t="s">
        <v>11</v>
      </c>
      <c r="C11" s="123">
        <v>42735</v>
      </c>
      <c r="D11" s="125">
        <v>1857339000</v>
      </c>
      <c r="E11" s="125">
        <v>613909000</v>
      </c>
      <c r="F11" s="125">
        <v>272747000</v>
      </c>
      <c r="G11" s="125">
        <v>0</v>
      </c>
      <c r="H11" s="125">
        <v>927920000</v>
      </c>
      <c r="I11" s="123" t="s">
        <v>77</v>
      </c>
      <c r="J11" s="123" t="s">
        <v>78</v>
      </c>
      <c r="K11" s="125">
        <v>1243430000</v>
      </c>
      <c r="L11" s="125">
        <v>1200667000</v>
      </c>
      <c r="M11" s="126">
        <v>42763000</v>
      </c>
    </row>
    <row r="12" spans="1:13" x14ac:dyDescent="0.25">
      <c r="A12" s="120" t="s">
        <v>277</v>
      </c>
      <c r="B12" s="121" t="s">
        <v>11</v>
      </c>
      <c r="C12" s="121">
        <v>42735</v>
      </c>
      <c r="D12" s="132">
        <v>15887000000</v>
      </c>
      <c r="E12" s="132">
        <v>15023000000</v>
      </c>
      <c r="F12" s="132">
        <v>228000000</v>
      </c>
      <c r="G12" s="132">
        <v>0</v>
      </c>
      <c r="H12" s="132">
        <v>0</v>
      </c>
      <c r="I12" s="121" t="s">
        <v>77</v>
      </c>
      <c r="J12" s="121" t="s">
        <v>108</v>
      </c>
      <c r="K12" s="132">
        <v>864000000</v>
      </c>
      <c r="L12" s="132">
        <v>228000000</v>
      </c>
      <c r="M12" s="133">
        <v>636000000</v>
      </c>
    </row>
    <row r="13" spans="1:13" x14ac:dyDescent="0.25">
      <c r="A13" s="122" t="s">
        <v>289</v>
      </c>
      <c r="B13" s="123" t="s">
        <v>11</v>
      </c>
      <c r="C13" s="123">
        <v>42369</v>
      </c>
      <c r="D13" s="125">
        <v>6636000000</v>
      </c>
      <c r="E13" s="125">
        <v>3323000000</v>
      </c>
      <c r="F13" s="125">
        <v>703000000</v>
      </c>
      <c r="G13" s="125">
        <v>0</v>
      </c>
      <c r="H13" s="125">
        <v>3955000000</v>
      </c>
      <c r="I13" s="123" t="s">
        <v>77</v>
      </c>
      <c r="J13" s="123" t="s">
        <v>138</v>
      </c>
      <c r="K13" s="125">
        <v>3313000000</v>
      </c>
      <c r="L13" s="125">
        <v>4658000000</v>
      </c>
      <c r="M13" s="126">
        <v>-1345000000</v>
      </c>
    </row>
    <row r="14" spans="1:13" x14ac:dyDescent="0.25">
      <c r="A14" s="120" t="s">
        <v>295</v>
      </c>
      <c r="B14" s="121" t="s">
        <v>11</v>
      </c>
      <c r="C14" s="121">
        <v>42643</v>
      </c>
      <c r="D14" s="132">
        <v>1624232000</v>
      </c>
      <c r="E14" s="132">
        <v>898805000</v>
      </c>
      <c r="F14" s="132">
        <v>136287000</v>
      </c>
      <c r="G14" s="132">
        <v>10269000</v>
      </c>
      <c r="H14" s="132">
        <v>598587000</v>
      </c>
      <c r="I14" s="121" t="s">
        <v>77</v>
      </c>
      <c r="J14" s="121" t="s">
        <v>296</v>
      </c>
      <c r="K14" s="132">
        <v>725427000</v>
      </c>
      <c r="L14" s="132">
        <v>745143000</v>
      </c>
      <c r="M14" s="133">
        <v>-19716000</v>
      </c>
    </row>
    <row r="15" spans="1:13" x14ac:dyDescent="0.25">
      <c r="A15" s="122" t="s">
        <v>334</v>
      </c>
      <c r="B15" s="123" t="s">
        <v>11</v>
      </c>
      <c r="C15" s="123">
        <v>42735</v>
      </c>
      <c r="D15" s="125">
        <v>13058000000</v>
      </c>
      <c r="E15" s="125">
        <v>5801000000</v>
      </c>
      <c r="F15" s="125">
        <v>1089000000</v>
      </c>
      <c r="G15" s="125">
        <v>0</v>
      </c>
      <c r="H15" s="125">
        <v>2209000000</v>
      </c>
      <c r="I15" s="123" t="s">
        <v>77</v>
      </c>
      <c r="J15" s="123" t="s">
        <v>335</v>
      </c>
      <c r="K15" s="125">
        <v>7257000000</v>
      </c>
      <c r="L15" s="125">
        <v>3298000000</v>
      </c>
      <c r="M15" s="126">
        <v>3959000000</v>
      </c>
    </row>
    <row r="16" spans="1:13" x14ac:dyDescent="0.25">
      <c r="A16" s="120" t="s">
        <v>390</v>
      </c>
      <c r="B16" s="121" t="s">
        <v>11</v>
      </c>
      <c r="C16" s="121">
        <v>42369</v>
      </c>
      <c r="D16" s="132">
        <v>72051000000</v>
      </c>
      <c r="E16" s="132">
        <v>55891000000</v>
      </c>
      <c r="F16" s="132">
        <v>10029000000</v>
      </c>
      <c r="G16" s="132">
        <v>0</v>
      </c>
      <c r="H16" s="132">
        <v>1646000000</v>
      </c>
      <c r="I16" s="121" t="s">
        <v>77</v>
      </c>
      <c r="J16" s="121" t="s">
        <v>335</v>
      </c>
      <c r="K16" s="132">
        <v>16160000000</v>
      </c>
      <c r="L16" s="132">
        <v>11675000000</v>
      </c>
      <c r="M16" s="133">
        <v>4485000000</v>
      </c>
    </row>
    <row r="17" spans="1:13" x14ac:dyDescent="0.25">
      <c r="A17" s="122" t="s">
        <v>392</v>
      </c>
      <c r="B17" s="123" t="s">
        <v>11</v>
      </c>
      <c r="C17" s="123">
        <v>42369</v>
      </c>
      <c r="D17" s="125">
        <v>5522000000</v>
      </c>
      <c r="E17" s="125">
        <v>1694000000</v>
      </c>
      <c r="F17" s="125">
        <v>1831000000</v>
      </c>
      <c r="G17" s="125">
        <v>0</v>
      </c>
      <c r="H17" s="125">
        <v>2957000000</v>
      </c>
      <c r="I17" s="123" t="s">
        <v>77</v>
      </c>
      <c r="J17" s="123" t="s">
        <v>78</v>
      </c>
      <c r="K17" s="125">
        <v>3828000000</v>
      </c>
      <c r="L17" s="125">
        <v>4788000000</v>
      </c>
      <c r="M17" s="126">
        <v>-960000000</v>
      </c>
    </row>
    <row r="18" spans="1:13" x14ac:dyDescent="0.25">
      <c r="A18" s="120" t="s">
        <v>398</v>
      </c>
      <c r="B18" s="121" t="s">
        <v>11</v>
      </c>
      <c r="C18" s="121">
        <v>42369</v>
      </c>
      <c r="D18" s="132">
        <v>2787116000</v>
      </c>
      <c r="E18" s="132">
        <v>832306000</v>
      </c>
      <c r="F18" s="132">
        <v>372457000</v>
      </c>
      <c r="G18" s="132">
        <v>0</v>
      </c>
      <c r="H18" s="132">
        <v>1668489000</v>
      </c>
      <c r="I18" s="121" t="s">
        <v>77</v>
      </c>
      <c r="J18" s="121" t="s">
        <v>138</v>
      </c>
      <c r="K18" s="132">
        <v>1954810000</v>
      </c>
      <c r="L18" s="132">
        <v>2040946000</v>
      </c>
      <c r="M18" s="133">
        <v>-86136000</v>
      </c>
    </row>
    <row r="19" spans="1:13" x14ac:dyDescent="0.25">
      <c r="A19" s="122" t="s">
        <v>400</v>
      </c>
      <c r="B19" s="123" t="s">
        <v>11</v>
      </c>
      <c r="C19" s="123">
        <v>42735</v>
      </c>
      <c r="D19" s="125">
        <v>3491000000</v>
      </c>
      <c r="E19" s="125">
        <v>1083000000</v>
      </c>
      <c r="F19" s="125">
        <v>233000000</v>
      </c>
      <c r="G19" s="125">
        <v>0</v>
      </c>
      <c r="H19" s="125">
        <v>2454000000</v>
      </c>
      <c r="I19" s="123" t="s">
        <v>77</v>
      </c>
      <c r="J19" s="123" t="s">
        <v>78</v>
      </c>
      <c r="K19" s="125">
        <v>2408000000</v>
      </c>
      <c r="L19" s="125">
        <v>2687000000</v>
      </c>
      <c r="M19" s="126">
        <v>-279000000</v>
      </c>
    </row>
    <row r="20" spans="1:13" x14ac:dyDescent="0.25">
      <c r="A20" s="120" t="s">
        <v>406</v>
      </c>
      <c r="B20" s="121" t="s">
        <v>11</v>
      </c>
      <c r="C20" s="121">
        <v>42369</v>
      </c>
      <c r="D20" s="132">
        <v>1557000000</v>
      </c>
      <c r="E20" s="132">
        <v>497000000</v>
      </c>
      <c r="F20" s="132">
        <v>5204000000</v>
      </c>
      <c r="G20" s="132">
        <v>0</v>
      </c>
      <c r="H20" s="132">
        <v>917000000</v>
      </c>
      <c r="I20" s="121" t="s">
        <v>77</v>
      </c>
      <c r="J20" s="121" t="s">
        <v>78</v>
      </c>
      <c r="K20" s="132">
        <v>1060000000</v>
      </c>
      <c r="L20" s="132">
        <v>6121000000</v>
      </c>
      <c r="M20" s="133">
        <v>-5061000000</v>
      </c>
    </row>
    <row r="21" spans="1:13" x14ac:dyDescent="0.25">
      <c r="A21" s="122" t="s">
        <v>409</v>
      </c>
      <c r="B21" s="123" t="s">
        <v>11</v>
      </c>
      <c r="C21" s="123">
        <v>42369</v>
      </c>
      <c r="D21" s="125">
        <v>14757000000</v>
      </c>
      <c r="E21" s="125">
        <v>11694000000</v>
      </c>
      <c r="F21" s="125">
        <v>1764000000</v>
      </c>
      <c r="G21" s="125">
        <v>0</v>
      </c>
      <c r="H21" s="125">
        <v>0</v>
      </c>
      <c r="I21" s="123" t="s">
        <v>77</v>
      </c>
      <c r="J21" s="123" t="s">
        <v>108</v>
      </c>
      <c r="K21" s="125">
        <v>3063000000</v>
      </c>
      <c r="L21" s="125">
        <v>1764000000</v>
      </c>
      <c r="M21" s="126">
        <v>1299000000</v>
      </c>
    </row>
    <row r="22" spans="1:13" x14ac:dyDescent="0.25">
      <c r="A22" s="120" t="s">
        <v>418</v>
      </c>
      <c r="B22" s="121" t="s">
        <v>11</v>
      </c>
      <c r="C22" s="121">
        <v>42369</v>
      </c>
      <c r="D22" s="132">
        <v>7763206000</v>
      </c>
      <c r="E22" s="132">
        <v>5641052000</v>
      </c>
      <c r="F22" s="132">
        <v>693331000</v>
      </c>
      <c r="G22" s="132">
        <v>0</v>
      </c>
      <c r="H22" s="132">
        <v>354620000</v>
      </c>
      <c r="I22" s="121" t="s">
        <v>77</v>
      </c>
      <c r="J22" s="121" t="s">
        <v>78</v>
      </c>
      <c r="K22" s="132">
        <v>2122154000</v>
      </c>
      <c r="L22" s="132">
        <v>1047951000</v>
      </c>
      <c r="M22" s="133">
        <v>1074203000</v>
      </c>
    </row>
    <row r="23" spans="1:13" x14ac:dyDescent="0.25">
      <c r="A23" s="122" t="s">
        <v>421</v>
      </c>
      <c r="B23" s="123" t="s">
        <v>11</v>
      </c>
      <c r="C23" s="123">
        <v>42369</v>
      </c>
      <c r="D23" s="125">
        <v>12480000000</v>
      </c>
      <c r="E23" s="125">
        <v>5804000000</v>
      </c>
      <c r="F23" s="125">
        <v>1613000000</v>
      </c>
      <c r="G23" s="125">
        <v>0</v>
      </c>
      <c r="H23" s="125">
        <v>4544000000</v>
      </c>
      <c r="I23" s="123" t="s">
        <v>77</v>
      </c>
      <c r="J23" s="123" t="s">
        <v>78</v>
      </c>
      <c r="K23" s="125">
        <v>6676000000</v>
      </c>
      <c r="L23" s="125">
        <v>6157000000</v>
      </c>
      <c r="M23" s="126">
        <v>519000000</v>
      </c>
    </row>
    <row r="24" spans="1:13" x14ac:dyDescent="0.25">
      <c r="A24" s="120" t="s">
        <v>446</v>
      </c>
      <c r="B24" s="121" t="s">
        <v>11</v>
      </c>
      <c r="C24" s="121">
        <v>42369</v>
      </c>
      <c r="D24" s="132">
        <v>98975000000</v>
      </c>
      <c r="E24" s="132">
        <v>77693000000</v>
      </c>
      <c r="F24" s="132">
        <v>15747000000</v>
      </c>
      <c r="G24" s="132">
        <v>0</v>
      </c>
      <c r="H24" s="132">
        <v>1099000000</v>
      </c>
      <c r="I24" s="121" t="s">
        <v>77</v>
      </c>
      <c r="J24" s="121" t="s">
        <v>335</v>
      </c>
      <c r="K24" s="132">
        <v>21282000000</v>
      </c>
      <c r="L24" s="132">
        <v>16846000000</v>
      </c>
      <c r="M24" s="133">
        <v>4436000000</v>
      </c>
    </row>
    <row r="25" spans="1:13" x14ac:dyDescent="0.25">
      <c r="A25" s="122" t="s">
        <v>462</v>
      </c>
      <c r="B25" s="123" t="s">
        <v>11</v>
      </c>
      <c r="C25" s="123">
        <v>42369</v>
      </c>
      <c r="D25" s="125">
        <v>1181704000</v>
      </c>
      <c r="E25" s="125">
        <v>648968000</v>
      </c>
      <c r="F25" s="125">
        <v>165318000</v>
      </c>
      <c r="G25" s="125">
        <v>0</v>
      </c>
      <c r="H25" s="125">
        <v>581155000</v>
      </c>
      <c r="I25" s="123" t="s">
        <v>77</v>
      </c>
      <c r="J25" s="123" t="s">
        <v>78</v>
      </c>
      <c r="K25" s="125">
        <v>532736000</v>
      </c>
      <c r="L25" s="125">
        <v>746473000</v>
      </c>
      <c r="M25" s="126">
        <v>-213737000</v>
      </c>
    </row>
    <row r="26" spans="1:13" x14ac:dyDescent="0.25">
      <c r="A26" s="120" t="s">
        <v>466</v>
      </c>
      <c r="B26" s="121" t="s">
        <v>11</v>
      </c>
      <c r="C26" s="121">
        <v>42369</v>
      </c>
      <c r="D26" s="132">
        <v>5234000000</v>
      </c>
      <c r="E26" s="132">
        <v>2335000000</v>
      </c>
      <c r="F26" s="132">
        <v>353000000</v>
      </c>
      <c r="G26" s="132">
        <v>0</v>
      </c>
      <c r="H26" s="132">
        <v>764000000</v>
      </c>
      <c r="I26" s="121" t="s">
        <v>77</v>
      </c>
      <c r="J26" s="121" t="s">
        <v>335</v>
      </c>
      <c r="K26" s="132">
        <v>2899000000</v>
      </c>
      <c r="L26" s="132">
        <v>1117000000</v>
      </c>
      <c r="M26" s="133">
        <v>1782000000</v>
      </c>
    </row>
    <row r="27" spans="1:13" x14ac:dyDescent="0.25">
      <c r="A27" s="122" t="s">
        <v>488</v>
      </c>
      <c r="B27" s="123" t="s">
        <v>11</v>
      </c>
      <c r="C27" s="123">
        <v>42369</v>
      </c>
      <c r="D27" s="125">
        <v>3133000000</v>
      </c>
      <c r="E27" s="125">
        <v>689000000</v>
      </c>
      <c r="F27" s="125">
        <v>1208000000</v>
      </c>
      <c r="G27" s="125">
        <v>0</v>
      </c>
      <c r="H27" s="125">
        <v>1091000000</v>
      </c>
      <c r="I27" s="123" t="s">
        <v>77</v>
      </c>
      <c r="J27" s="123" t="s">
        <v>78</v>
      </c>
      <c r="K27" s="125">
        <v>2444000000</v>
      </c>
      <c r="L27" s="125">
        <v>2299000000</v>
      </c>
      <c r="M27" s="126">
        <v>145000000</v>
      </c>
    </row>
    <row r="28" spans="1:13" x14ac:dyDescent="0.25">
      <c r="A28" s="120" t="s">
        <v>513</v>
      </c>
      <c r="B28" s="121" t="s">
        <v>11</v>
      </c>
      <c r="C28" s="121">
        <v>42369</v>
      </c>
      <c r="D28" s="132">
        <v>28711000000</v>
      </c>
      <c r="E28" s="132">
        <v>22466000000</v>
      </c>
      <c r="F28" s="132">
        <v>2620000000</v>
      </c>
      <c r="G28" s="132">
        <v>0</v>
      </c>
      <c r="H28" s="132">
        <v>756000000</v>
      </c>
      <c r="I28" s="121" t="s">
        <v>77</v>
      </c>
      <c r="J28" s="121" t="s">
        <v>335</v>
      </c>
      <c r="K28" s="132">
        <v>6245000000</v>
      </c>
      <c r="L28" s="132">
        <v>3376000000</v>
      </c>
      <c r="M28" s="133">
        <v>2869000000</v>
      </c>
    </row>
    <row r="29" spans="1:13" x14ac:dyDescent="0.25">
      <c r="A29" s="122" t="s">
        <v>533</v>
      </c>
      <c r="B29" s="123" t="s">
        <v>11</v>
      </c>
      <c r="C29" s="123">
        <v>42369</v>
      </c>
      <c r="D29" s="125">
        <v>87804000000</v>
      </c>
      <c r="E29" s="125">
        <v>74651000000</v>
      </c>
      <c r="F29" s="125">
        <v>4953000000</v>
      </c>
      <c r="G29" s="125">
        <v>0</v>
      </c>
      <c r="H29" s="125">
        <v>1842000000</v>
      </c>
      <c r="I29" s="123" t="s">
        <v>77</v>
      </c>
      <c r="J29" s="123" t="s">
        <v>335</v>
      </c>
      <c r="K29" s="125">
        <v>13153000000</v>
      </c>
      <c r="L29" s="125">
        <v>6795000000</v>
      </c>
      <c r="M29" s="126">
        <v>6358000000</v>
      </c>
    </row>
    <row r="30" spans="1:13" x14ac:dyDescent="0.25">
      <c r="A30" s="120" t="s">
        <v>549</v>
      </c>
      <c r="B30" s="121" t="s">
        <v>11</v>
      </c>
      <c r="C30" s="121">
        <v>42369</v>
      </c>
      <c r="D30" s="132">
        <v>7360000000</v>
      </c>
      <c r="E30" s="132">
        <v>3434000000</v>
      </c>
      <c r="F30" s="132">
        <v>864000000</v>
      </c>
      <c r="G30" s="132">
        <v>0</v>
      </c>
      <c r="H30" s="132">
        <v>1738000000</v>
      </c>
      <c r="I30" s="121" t="s">
        <v>77</v>
      </c>
      <c r="J30" s="121" t="s">
        <v>78</v>
      </c>
      <c r="K30" s="132">
        <v>3926000000</v>
      </c>
      <c r="L30" s="132">
        <v>2602000000</v>
      </c>
      <c r="M30" s="133">
        <v>1324000000</v>
      </c>
    </row>
    <row r="31" spans="1:13" x14ac:dyDescent="0.25">
      <c r="A31" s="122" t="s">
        <v>557</v>
      </c>
      <c r="B31" s="123" t="s">
        <v>11</v>
      </c>
      <c r="C31" s="123">
        <v>42369</v>
      </c>
      <c r="D31" s="125">
        <v>1452619000</v>
      </c>
      <c r="E31" s="125">
        <v>519874000</v>
      </c>
      <c r="F31" s="125">
        <v>179867000</v>
      </c>
      <c r="G31" s="125">
        <v>0</v>
      </c>
      <c r="H31" s="125">
        <v>778923000</v>
      </c>
      <c r="I31" s="123" t="s">
        <v>77</v>
      </c>
      <c r="J31" s="123" t="s">
        <v>78</v>
      </c>
      <c r="K31" s="125">
        <v>932745000</v>
      </c>
      <c r="L31" s="125">
        <v>958790000</v>
      </c>
      <c r="M31" s="126">
        <v>-26045000</v>
      </c>
    </row>
    <row r="32" spans="1:13" x14ac:dyDescent="0.25">
      <c r="A32" s="120" t="s">
        <v>561</v>
      </c>
      <c r="B32" s="121" t="s">
        <v>11</v>
      </c>
      <c r="C32" s="121">
        <v>42369</v>
      </c>
      <c r="D32" s="132">
        <v>259488000000</v>
      </c>
      <c r="E32" s="132">
        <v>165590000000</v>
      </c>
      <c r="F32" s="132">
        <v>61444000000</v>
      </c>
      <c r="G32" s="132">
        <v>0</v>
      </c>
      <c r="H32" s="132">
        <v>18048000000</v>
      </c>
      <c r="I32" s="121" t="s">
        <v>77</v>
      </c>
      <c r="J32" s="121" t="s">
        <v>138</v>
      </c>
      <c r="K32" s="132">
        <v>93898000000</v>
      </c>
      <c r="L32" s="132">
        <v>79492000000</v>
      </c>
      <c r="M32" s="133">
        <v>14406000000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9FF1F-4C92-4545-86A7-900788A28086}">
  <sheetPr codeName="Sheet5"/>
  <dimension ref="A1:M34"/>
  <sheetViews>
    <sheetView workbookViewId="0">
      <selection activeCell="L2" sqref="L2:L48"/>
    </sheetView>
  </sheetViews>
  <sheetFormatPr defaultRowHeight="15" x14ac:dyDescent="0.25"/>
  <cols>
    <col min="1" max="1" width="15.7109375" customWidth="1"/>
    <col min="2" max="2" width="8.140625" customWidth="1"/>
    <col min="3" max="3" width="15.5703125" customWidth="1"/>
    <col min="4" max="4" width="20" bestFit="1" customWidth="1"/>
    <col min="5" max="5" width="21.85546875" customWidth="1"/>
    <col min="6" max="6" width="28" customWidth="1"/>
    <col min="7" max="7" width="29.42578125" customWidth="1"/>
    <col min="8" max="8" width="24.5703125" customWidth="1"/>
    <col min="9" max="9" width="27.7109375" bestFit="1" customWidth="1"/>
    <col min="10" max="10" width="44" bestFit="1" customWidth="1"/>
    <col min="11" max="11" width="20" style="44" bestFit="1" customWidth="1"/>
    <col min="12" max="12" width="29.42578125" style="44" customWidth="1"/>
    <col min="13" max="13" width="19" style="44" bestFit="1" customWidth="1"/>
  </cols>
  <sheetData>
    <row r="1" spans="1:13" x14ac:dyDescent="0.25">
      <c r="A1" s="127" t="s">
        <v>0</v>
      </c>
      <c r="B1" s="128" t="s">
        <v>1</v>
      </c>
      <c r="C1" s="128" t="s">
        <v>2</v>
      </c>
      <c r="D1" s="129" t="s">
        <v>571</v>
      </c>
      <c r="E1" s="129" t="s">
        <v>578</v>
      </c>
      <c r="F1" s="129" t="s">
        <v>579</v>
      </c>
      <c r="G1" s="129" t="s">
        <v>580</v>
      </c>
      <c r="H1" s="129" t="s">
        <v>577</v>
      </c>
      <c r="I1" s="128" t="s">
        <v>3</v>
      </c>
      <c r="J1" s="128" t="s">
        <v>4</v>
      </c>
      <c r="K1" s="129" t="s">
        <v>570</v>
      </c>
      <c r="L1" s="129" t="s">
        <v>613</v>
      </c>
      <c r="M1" s="130" t="s">
        <v>589</v>
      </c>
    </row>
    <row r="2" spans="1:13" x14ac:dyDescent="0.25">
      <c r="A2" s="120" t="s">
        <v>29</v>
      </c>
      <c r="B2" s="121" t="s">
        <v>11</v>
      </c>
      <c r="C2" s="131">
        <v>42369</v>
      </c>
      <c r="D2" s="132">
        <v>67702000000</v>
      </c>
      <c r="E2" s="132">
        <v>63682000000</v>
      </c>
      <c r="F2" s="132">
        <v>2010000000</v>
      </c>
      <c r="G2" s="132">
        <v>0</v>
      </c>
      <c r="H2" s="132">
        <v>0</v>
      </c>
      <c r="I2" s="121" t="s">
        <v>30</v>
      </c>
      <c r="J2" s="121" t="s">
        <v>31</v>
      </c>
      <c r="K2" s="132">
        <v>4020000000</v>
      </c>
      <c r="L2" s="132">
        <v>2010000000</v>
      </c>
      <c r="M2" s="133">
        <v>2010000000</v>
      </c>
    </row>
    <row r="3" spans="1:13" x14ac:dyDescent="0.25">
      <c r="A3" s="122" t="s">
        <v>117</v>
      </c>
      <c r="B3" s="123" t="s">
        <v>11</v>
      </c>
      <c r="C3" s="124">
        <v>42519</v>
      </c>
      <c r="D3" s="125">
        <v>11642900000</v>
      </c>
      <c r="E3" s="125">
        <v>8552100000</v>
      </c>
      <c r="F3" s="125">
        <v>2209400000</v>
      </c>
      <c r="G3" s="125">
        <v>0</v>
      </c>
      <c r="H3" s="125">
        <v>0</v>
      </c>
      <c r="I3" s="123" t="s">
        <v>30</v>
      </c>
      <c r="J3" s="123" t="s">
        <v>118</v>
      </c>
      <c r="K3" s="125">
        <v>3090800000</v>
      </c>
      <c r="L3" s="125">
        <v>2209400000</v>
      </c>
      <c r="M3" s="126">
        <v>881400000</v>
      </c>
    </row>
    <row r="4" spans="1:13" x14ac:dyDescent="0.25">
      <c r="A4" s="120" t="s">
        <v>135</v>
      </c>
      <c r="B4" s="121" t="s">
        <v>11</v>
      </c>
      <c r="C4" s="131">
        <v>42369</v>
      </c>
      <c r="D4" s="132">
        <v>3394800000</v>
      </c>
      <c r="E4" s="132">
        <v>1883000000</v>
      </c>
      <c r="F4" s="132">
        <v>837600000</v>
      </c>
      <c r="G4" s="132">
        <v>0</v>
      </c>
      <c r="H4" s="132">
        <v>0</v>
      </c>
      <c r="I4" s="121" t="s">
        <v>30</v>
      </c>
      <c r="J4" s="121" t="s">
        <v>136</v>
      </c>
      <c r="K4" s="132">
        <v>1511800000</v>
      </c>
      <c r="L4" s="132">
        <v>837600000</v>
      </c>
      <c r="M4" s="133">
        <v>674200000</v>
      </c>
    </row>
    <row r="5" spans="1:13" x14ac:dyDescent="0.25">
      <c r="A5" s="122" t="s">
        <v>145</v>
      </c>
      <c r="B5" s="123" t="s">
        <v>11</v>
      </c>
      <c r="C5" s="124">
        <v>42369</v>
      </c>
      <c r="D5" s="125">
        <v>16034000000</v>
      </c>
      <c r="E5" s="125">
        <v>6635000000</v>
      </c>
      <c r="F5" s="125">
        <v>6610000000</v>
      </c>
      <c r="G5" s="125">
        <v>0</v>
      </c>
      <c r="H5" s="125">
        <v>0</v>
      </c>
      <c r="I5" s="123" t="s">
        <v>30</v>
      </c>
      <c r="J5" s="123" t="s">
        <v>136</v>
      </c>
      <c r="K5" s="125">
        <v>9399000000</v>
      </c>
      <c r="L5" s="125">
        <v>6610000000</v>
      </c>
      <c r="M5" s="126">
        <v>2789000000</v>
      </c>
    </row>
    <row r="6" spans="1:13" x14ac:dyDescent="0.25">
      <c r="A6" s="120" t="s">
        <v>146</v>
      </c>
      <c r="B6" s="121" t="s">
        <v>11</v>
      </c>
      <c r="C6" s="131">
        <v>42551</v>
      </c>
      <c r="D6" s="132">
        <v>5761000000</v>
      </c>
      <c r="E6" s="132">
        <v>3163000000</v>
      </c>
      <c r="F6" s="132">
        <v>1393000000</v>
      </c>
      <c r="G6" s="132">
        <v>141000000</v>
      </c>
      <c r="H6" s="132">
        <v>0</v>
      </c>
      <c r="I6" s="121" t="s">
        <v>30</v>
      </c>
      <c r="J6" s="121" t="s">
        <v>136</v>
      </c>
      <c r="K6" s="132">
        <v>2598000000</v>
      </c>
      <c r="L6" s="132">
        <v>1534000000</v>
      </c>
      <c r="M6" s="133">
        <v>1064000000</v>
      </c>
    </row>
    <row r="7" spans="1:13" x14ac:dyDescent="0.25">
      <c r="A7" s="122" t="s">
        <v>161</v>
      </c>
      <c r="B7" s="123" t="s">
        <v>11</v>
      </c>
      <c r="C7" s="124">
        <v>42610</v>
      </c>
      <c r="D7" s="125">
        <v>118719000000</v>
      </c>
      <c r="E7" s="125">
        <v>102901000000</v>
      </c>
      <c r="F7" s="125">
        <v>12068000000</v>
      </c>
      <c r="G7" s="125">
        <v>0</v>
      </c>
      <c r="H7" s="125">
        <v>0</v>
      </c>
      <c r="I7" s="123" t="s">
        <v>30</v>
      </c>
      <c r="J7" s="123" t="s">
        <v>162</v>
      </c>
      <c r="K7" s="125">
        <v>15818000000</v>
      </c>
      <c r="L7" s="125">
        <v>12068000000</v>
      </c>
      <c r="M7" s="126">
        <v>3750000000</v>
      </c>
    </row>
    <row r="8" spans="1:13" x14ac:dyDescent="0.25">
      <c r="A8" s="120" t="s">
        <v>163</v>
      </c>
      <c r="B8" s="121" t="s">
        <v>11</v>
      </c>
      <c r="C8" s="131">
        <v>39141</v>
      </c>
      <c r="D8" s="132">
        <v>99642000</v>
      </c>
      <c r="E8" s="132">
        <v>84477000</v>
      </c>
      <c r="F8" s="132">
        <v>25853000</v>
      </c>
      <c r="G8" s="132">
        <v>0</v>
      </c>
      <c r="H8" s="132">
        <v>0</v>
      </c>
      <c r="I8" s="121" t="s">
        <v>30</v>
      </c>
      <c r="J8" s="121" t="s">
        <v>164</v>
      </c>
      <c r="K8" s="132">
        <v>15165000</v>
      </c>
      <c r="L8" s="132">
        <v>25853000</v>
      </c>
      <c r="M8" s="133">
        <v>-10688000</v>
      </c>
    </row>
    <row r="9" spans="1:13" x14ac:dyDescent="0.25">
      <c r="A9" s="122" t="s">
        <v>165</v>
      </c>
      <c r="B9" s="123" t="s">
        <v>11</v>
      </c>
      <c r="C9" s="124">
        <v>42582</v>
      </c>
      <c r="D9" s="125">
        <v>7961000000</v>
      </c>
      <c r="E9" s="125">
        <v>5181000000</v>
      </c>
      <c r="F9" s="125">
        <v>1665000000</v>
      </c>
      <c r="G9" s="125">
        <v>124000000</v>
      </c>
      <c r="H9" s="125">
        <v>0</v>
      </c>
      <c r="I9" s="123" t="s">
        <v>30</v>
      </c>
      <c r="J9" s="123" t="s">
        <v>118</v>
      </c>
      <c r="K9" s="125">
        <v>2780000000</v>
      </c>
      <c r="L9" s="125">
        <v>1789000000</v>
      </c>
      <c r="M9" s="126">
        <v>991000000</v>
      </c>
    </row>
    <row r="10" spans="1:13" x14ac:dyDescent="0.25">
      <c r="A10" s="120" t="s">
        <v>180</v>
      </c>
      <c r="B10" s="121" t="s">
        <v>11</v>
      </c>
      <c r="C10" s="131">
        <v>42735</v>
      </c>
      <c r="D10" s="132">
        <v>177526000000</v>
      </c>
      <c r="E10" s="132">
        <v>148669000000</v>
      </c>
      <c r="F10" s="132">
        <v>0</v>
      </c>
      <c r="G10" s="132">
        <v>0</v>
      </c>
      <c r="H10" s="132">
        <v>0</v>
      </c>
      <c r="I10" s="121" t="s">
        <v>30</v>
      </c>
      <c r="J10" s="121" t="s">
        <v>181</v>
      </c>
      <c r="K10" s="132">
        <v>28857000000</v>
      </c>
      <c r="L10" s="132">
        <v>0</v>
      </c>
      <c r="M10" s="133">
        <v>28857000000</v>
      </c>
    </row>
    <row r="11" spans="1:13" x14ac:dyDescent="0.25">
      <c r="A11" s="122" t="s">
        <v>207</v>
      </c>
      <c r="B11" s="123" t="s">
        <v>11</v>
      </c>
      <c r="C11" s="124">
        <v>42735</v>
      </c>
      <c r="D11" s="125">
        <v>6440000000</v>
      </c>
      <c r="E11" s="125">
        <v>2582000000</v>
      </c>
      <c r="F11" s="125">
        <v>2326000000</v>
      </c>
      <c r="G11" s="125">
        <v>0</v>
      </c>
      <c r="H11" s="125">
        <v>99000000</v>
      </c>
      <c r="I11" s="123" t="s">
        <v>30</v>
      </c>
      <c r="J11" s="123" t="s">
        <v>208</v>
      </c>
      <c r="K11" s="125">
        <v>3858000000</v>
      </c>
      <c r="L11" s="125">
        <v>2425000000</v>
      </c>
      <c r="M11" s="126">
        <v>1433000000</v>
      </c>
    </row>
    <row r="12" spans="1:13" x14ac:dyDescent="0.25">
      <c r="A12" s="120" t="s">
        <v>219</v>
      </c>
      <c r="B12" s="121" t="s">
        <v>11</v>
      </c>
      <c r="C12" s="131">
        <v>42551</v>
      </c>
      <c r="D12" s="132">
        <v>11262300000</v>
      </c>
      <c r="E12" s="132">
        <v>2181100000</v>
      </c>
      <c r="F12" s="132">
        <v>7337800000</v>
      </c>
      <c r="G12" s="132">
        <v>0</v>
      </c>
      <c r="H12" s="132">
        <v>0</v>
      </c>
      <c r="I12" s="121" t="s">
        <v>30</v>
      </c>
      <c r="J12" s="121" t="s">
        <v>164</v>
      </c>
      <c r="K12" s="132">
        <v>9081200000</v>
      </c>
      <c r="L12" s="132">
        <v>7337800000</v>
      </c>
      <c r="M12" s="133">
        <v>1743400000</v>
      </c>
    </row>
    <row r="13" spans="1:13" x14ac:dyDescent="0.25">
      <c r="A13" s="122" t="s">
        <v>265</v>
      </c>
      <c r="B13" s="123" t="s">
        <v>11</v>
      </c>
      <c r="C13" s="124">
        <v>42519</v>
      </c>
      <c r="D13" s="125">
        <v>16563100000</v>
      </c>
      <c r="E13" s="125">
        <v>10733600000</v>
      </c>
      <c r="F13" s="125">
        <v>3118900000</v>
      </c>
      <c r="G13" s="125">
        <v>0</v>
      </c>
      <c r="H13" s="125">
        <v>0</v>
      </c>
      <c r="I13" s="123" t="s">
        <v>30</v>
      </c>
      <c r="J13" s="123" t="s">
        <v>118</v>
      </c>
      <c r="K13" s="125">
        <v>5829500000</v>
      </c>
      <c r="L13" s="125">
        <v>3118900000</v>
      </c>
      <c r="M13" s="126">
        <v>2710600000</v>
      </c>
    </row>
    <row r="14" spans="1:13" x14ac:dyDescent="0.25">
      <c r="A14" s="120" t="s">
        <v>301</v>
      </c>
      <c r="B14" s="121" t="s">
        <v>11</v>
      </c>
      <c r="C14" s="131">
        <v>42673</v>
      </c>
      <c r="D14" s="132">
        <v>9523224000</v>
      </c>
      <c r="E14" s="132">
        <v>7365049000</v>
      </c>
      <c r="F14" s="132">
        <v>871974000</v>
      </c>
      <c r="G14" s="132">
        <v>0</v>
      </c>
      <c r="H14" s="132">
        <v>0</v>
      </c>
      <c r="I14" s="121" t="s">
        <v>30</v>
      </c>
      <c r="J14" s="121" t="s">
        <v>118</v>
      </c>
      <c r="K14" s="132">
        <v>2158175000</v>
      </c>
      <c r="L14" s="132">
        <v>871974000</v>
      </c>
      <c r="M14" s="133">
        <v>1286201000</v>
      </c>
    </row>
    <row r="15" spans="1:13" x14ac:dyDescent="0.25">
      <c r="A15" s="122" t="s">
        <v>306</v>
      </c>
      <c r="B15" s="123" t="s">
        <v>11</v>
      </c>
      <c r="C15" s="124">
        <v>42369</v>
      </c>
      <c r="D15" s="125">
        <v>7386626000</v>
      </c>
      <c r="E15" s="125">
        <v>4003951000</v>
      </c>
      <c r="F15" s="125">
        <v>1969308000</v>
      </c>
      <c r="G15" s="125">
        <v>0</v>
      </c>
      <c r="H15" s="125">
        <v>0</v>
      </c>
      <c r="I15" s="123" t="s">
        <v>30</v>
      </c>
      <c r="J15" s="123" t="s">
        <v>118</v>
      </c>
      <c r="K15" s="125">
        <v>3382675000</v>
      </c>
      <c r="L15" s="125">
        <v>1969308000</v>
      </c>
      <c r="M15" s="126">
        <v>1413367000</v>
      </c>
    </row>
    <row r="16" spans="1:13" x14ac:dyDescent="0.25">
      <c r="A16" s="120" t="s">
        <v>329</v>
      </c>
      <c r="B16" s="121" t="s">
        <v>11</v>
      </c>
      <c r="C16" s="131">
        <v>42371</v>
      </c>
      <c r="D16" s="132">
        <v>13525000000</v>
      </c>
      <c r="E16" s="132">
        <v>8844000000</v>
      </c>
      <c r="F16" s="132">
        <v>3590000000</v>
      </c>
      <c r="G16" s="132">
        <v>0</v>
      </c>
      <c r="H16" s="132">
        <v>0</v>
      </c>
      <c r="I16" s="121" t="s">
        <v>30</v>
      </c>
      <c r="J16" s="121" t="s">
        <v>118</v>
      </c>
      <c r="K16" s="132">
        <v>4681000000</v>
      </c>
      <c r="L16" s="132">
        <v>3590000000</v>
      </c>
      <c r="M16" s="133">
        <v>1091000000</v>
      </c>
    </row>
    <row r="17" spans="1:13" x14ac:dyDescent="0.25">
      <c r="A17" s="122" t="s">
        <v>333</v>
      </c>
      <c r="B17" s="123" t="s">
        <v>11</v>
      </c>
      <c r="C17" s="124">
        <v>42735</v>
      </c>
      <c r="D17" s="125">
        <v>18202000000</v>
      </c>
      <c r="E17" s="125">
        <v>11551000000</v>
      </c>
      <c r="F17" s="125">
        <v>3334000000</v>
      </c>
      <c r="G17" s="125">
        <v>0</v>
      </c>
      <c r="H17" s="125">
        <v>0</v>
      </c>
      <c r="I17" s="123" t="s">
        <v>30</v>
      </c>
      <c r="J17" s="123" t="s">
        <v>136</v>
      </c>
      <c r="K17" s="125">
        <v>6651000000</v>
      </c>
      <c r="L17" s="125">
        <v>3334000000</v>
      </c>
      <c r="M17" s="126">
        <v>3317000000</v>
      </c>
    </row>
    <row r="18" spans="1:13" x14ac:dyDescent="0.25">
      <c r="A18" s="120" t="s">
        <v>337</v>
      </c>
      <c r="B18" s="121" t="s">
        <v>11</v>
      </c>
      <c r="C18" s="131">
        <v>42369</v>
      </c>
      <c r="D18" s="132">
        <v>44294000000</v>
      </c>
      <c r="E18" s="132">
        <v>17482000000</v>
      </c>
      <c r="F18" s="132">
        <v>18084000000</v>
      </c>
      <c r="G18" s="132">
        <v>0</v>
      </c>
      <c r="H18" s="132">
        <v>0</v>
      </c>
      <c r="I18" s="121" t="s">
        <v>30</v>
      </c>
      <c r="J18" s="121" t="s">
        <v>208</v>
      </c>
      <c r="K18" s="132">
        <v>26812000000</v>
      </c>
      <c r="L18" s="132">
        <v>18084000000</v>
      </c>
      <c r="M18" s="133">
        <v>8728000000</v>
      </c>
    </row>
    <row r="19" spans="1:13" x14ac:dyDescent="0.25">
      <c r="A19" s="122" t="s">
        <v>339</v>
      </c>
      <c r="B19" s="123" t="s">
        <v>11</v>
      </c>
      <c r="C19" s="124">
        <v>42399</v>
      </c>
      <c r="D19" s="125">
        <v>109830000000</v>
      </c>
      <c r="E19" s="125">
        <v>85496000000</v>
      </c>
      <c r="F19" s="125">
        <v>18669000000</v>
      </c>
      <c r="G19" s="125">
        <v>0</v>
      </c>
      <c r="H19" s="125">
        <v>2089000000</v>
      </c>
      <c r="I19" s="123" t="s">
        <v>30</v>
      </c>
      <c r="J19" s="123" t="s">
        <v>340</v>
      </c>
      <c r="K19" s="125">
        <v>24334000000</v>
      </c>
      <c r="L19" s="125">
        <v>20758000000</v>
      </c>
      <c r="M19" s="126">
        <v>3576000000</v>
      </c>
    </row>
    <row r="20" spans="1:13" x14ac:dyDescent="0.25">
      <c r="A20" s="120" t="s">
        <v>374</v>
      </c>
      <c r="B20" s="121" t="s">
        <v>11</v>
      </c>
      <c r="C20" s="131">
        <v>42369</v>
      </c>
      <c r="D20" s="132">
        <v>29636000000</v>
      </c>
      <c r="E20" s="132">
        <v>18124000000</v>
      </c>
      <c r="F20" s="132">
        <v>7577000000</v>
      </c>
      <c r="G20" s="132">
        <v>0</v>
      </c>
      <c r="H20" s="132">
        <v>181000000</v>
      </c>
      <c r="I20" s="121" t="s">
        <v>30</v>
      </c>
      <c r="J20" s="121" t="s">
        <v>118</v>
      </c>
      <c r="K20" s="132">
        <v>11512000000</v>
      </c>
      <c r="L20" s="132">
        <v>7758000000</v>
      </c>
      <c r="M20" s="133">
        <v>3754000000</v>
      </c>
    </row>
    <row r="21" spans="1:13" x14ac:dyDescent="0.25">
      <c r="A21" s="122" t="s">
        <v>378</v>
      </c>
      <c r="B21" s="123" t="s">
        <v>11</v>
      </c>
      <c r="C21" s="124">
        <v>42369</v>
      </c>
      <c r="D21" s="125">
        <v>4071300000</v>
      </c>
      <c r="E21" s="125">
        <v>1455300000</v>
      </c>
      <c r="F21" s="125">
        <v>1532400000</v>
      </c>
      <c r="G21" s="125">
        <v>108400000</v>
      </c>
      <c r="H21" s="125">
        <v>0</v>
      </c>
      <c r="I21" s="123" t="s">
        <v>30</v>
      </c>
      <c r="J21" s="123" t="s">
        <v>118</v>
      </c>
      <c r="K21" s="125">
        <v>2616000000</v>
      </c>
      <c r="L21" s="125">
        <v>1640800000</v>
      </c>
      <c r="M21" s="126">
        <v>975200000</v>
      </c>
    </row>
    <row r="22" spans="1:13" x14ac:dyDescent="0.25">
      <c r="A22" s="120" t="s">
        <v>379</v>
      </c>
      <c r="B22" s="121" t="s">
        <v>11</v>
      </c>
      <c r="C22" s="131">
        <v>42704</v>
      </c>
      <c r="D22" s="132">
        <v>4411500000</v>
      </c>
      <c r="E22" s="132">
        <v>2579800000</v>
      </c>
      <c r="F22" s="132">
        <v>1175000000</v>
      </c>
      <c r="G22" s="132">
        <v>0</v>
      </c>
      <c r="H22" s="132">
        <v>0</v>
      </c>
      <c r="I22" s="121" t="s">
        <v>30</v>
      </c>
      <c r="J22" s="121" t="s">
        <v>118</v>
      </c>
      <c r="K22" s="132">
        <v>1831700000</v>
      </c>
      <c r="L22" s="132">
        <v>1175000000</v>
      </c>
      <c r="M22" s="133">
        <v>656700000</v>
      </c>
    </row>
    <row r="23" spans="1:13" x14ac:dyDescent="0.25">
      <c r="A23" s="122" t="s">
        <v>385</v>
      </c>
      <c r="B23" s="123" t="s">
        <v>11</v>
      </c>
      <c r="C23" s="124">
        <v>42369</v>
      </c>
      <c r="D23" s="125">
        <v>2722564000</v>
      </c>
      <c r="E23" s="125">
        <v>1090263000</v>
      </c>
      <c r="F23" s="125">
        <v>0</v>
      </c>
      <c r="G23" s="125">
        <v>0</v>
      </c>
      <c r="H23" s="125">
        <v>0</v>
      </c>
      <c r="I23" s="123" t="s">
        <v>30</v>
      </c>
      <c r="J23" s="123" t="s">
        <v>208</v>
      </c>
      <c r="K23" s="125">
        <v>1632301000</v>
      </c>
      <c r="L23" s="125">
        <v>0</v>
      </c>
      <c r="M23" s="126">
        <v>1632301000</v>
      </c>
    </row>
    <row r="24" spans="1:13" x14ac:dyDescent="0.25">
      <c r="A24" s="120" t="s">
        <v>386</v>
      </c>
      <c r="B24" s="121" t="s">
        <v>11</v>
      </c>
      <c r="C24" s="131">
        <v>42369</v>
      </c>
      <c r="D24" s="132">
        <v>25434000000</v>
      </c>
      <c r="E24" s="132">
        <v>14320000000</v>
      </c>
      <c r="F24" s="132">
        <v>2749000000</v>
      </c>
      <c r="G24" s="132">
        <v>0</v>
      </c>
      <c r="H24" s="132">
        <v>0</v>
      </c>
      <c r="I24" s="121" t="s">
        <v>30</v>
      </c>
      <c r="J24" s="121" t="s">
        <v>387</v>
      </c>
      <c r="K24" s="132">
        <v>11114000000</v>
      </c>
      <c r="L24" s="132">
        <v>2749000000</v>
      </c>
      <c r="M24" s="133">
        <v>8365000000</v>
      </c>
    </row>
    <row r="25" spans="1:13" x14ac:dyDescent="0.25">
      <c r="A25" s="122" t="s">
        <v>431</v>
      </c>
      <c r="B25" s="123" t="s">
        <v>11</v>
      </c>
      <c r="C25" s="124">
        <v>42735</v>
      </c>
      <c r="D25" s="125">
        <v>62799000000</v>
      </c>
      <c r="E25" s="125">
        <v>28209000000</v>
      </c>
      <c r="F25" s="125">
        <v>24735000000</v>
      </c>
      <c r="G25" s="125">
        <v>0</v>
      </c>
      <c r="H25" s="125">
        <v>70000000</v>
      </c>
      <c r="I25" s="123" t="s">
        <v>30</v>
      </c>
      <c r="J25" s="123" t="s">
        <v>208</v>
      </c>
      <c r="K25" s="125">
        <v>34590000000</v>
      </c>
      <c r="L25" s="125">
        <v>24805000000</v>
      </c>
      <c r="M25" s="126">
        <v>9785000000</v>
      </c>
    </row>
    <row r="26" spans="1:13" x14ac:dyDescent="0.25">
      <c r="A26" s="120" t="s">
        <v>434</v>
      </c>
      <c r="B26" s="121" t="s">
        <v>11</v>
      </c>
      <c r="C26" s="131">
        <v>42735</v>
      </c>
      <c r="D26" s="132">
        <v>4860427000</v>
      </c>
      <c r="E26" s="132">
        <v>299694000</v>
      </c>
      <c r="F26" s="132">
        <v>1177697000</v>
      </c>
      <c r="G26" s="132">
        <v>2052295000</v>
      </c>
      <c r="H26" s="132">
        <v>0</v>
      </c>
      <c r="I26" s="121" t="s">
        <v>30</v>
      </c>
      <c r="J26" s="121" t="s">
        <v>164</v>
      </c>
      <c r="K26" s="132">
        <v>4560733000</v>
      </c>
      <c r="L26" s="132">
        <v>3229992000</v>
      </c>
      <c r="M26" s="133">
        <v>1330741000</v>
      </c>
    </row>
    <row r="27" spans="1:13" x14ac:dyDescent="0.25">
      <c r="A27" s="122" t="s">
        <v>439</v>
      </c>
      <c r="B27" s="123" t="s">
        <v>11</v>
      </c>
      <c r="C27" s="124">
        <v>42735</v>
      </c>
      <c r="D27" s="125">
        <v>74953000000</v>
      </c>
      <c r="E27" s="125">
        <v>57659000000</v>
      </c>
      <c r="F27" s="125">
        <v>6405000000</v>
      </c>
      <c r="G27" s="125">
        <v>0</v>
      </c>
      <c r="H27" s="125">
        <v>74000000</v>
      </c>
      <c r="I27" s="123" t="s">
        <v>30</v>
      </c>
      <c r="J27" s="123" t="s">
        <v>387</v>
      </c>
      <c r="K27" s="125">
        <v>17294000000</v>
      </c>
      <c r="L27" s="125">
        <v>6479000000</v>
      </c>
      <c r="M27" s="126">
        <v>10815000000</v>
      </c>
    </row>
    <row r="28" spans="1:13" x14ac:dyDescent="0.25">
      <c r="A28" s="120" t="s">
        <v>470</v>
      </c>
      <c r="B28" s="121" t="s">
        <v>11</v>
      </c>
      <c r="C28" s="131">
        <v>42490</v>
      </c>
      <c r="D28" s="132">
        <v>7811200000</v>
      </c>
      <c r="E28" s="132">
        <v>4843400000</v>
      </c>
      <c r="F28" s="132">
        <v>1614100000</v>
      </c>
      <c r="G28" s="132">
        <v>0</v>
      </c>
      <c r="H28" s="132">
        <v>208400000</v>
      </c>
      <c r="I28" s="121" t="s">
        <v>30</v>
      </c>
      <c r="J28" s="121" t="s">
        <v>118</v>
      </c>
      <c r="K28" s="132">
        <v>2967800000</v>
      </c>
      <c r="L28" s="132">
        <v>1822500000</v>
      </c>
      <c r="M28" s="133">
        <v>1145300000</v>
      </c>
    </row>
    <row r="29" spans="1:13" x14ac:dyDescent="0.25">
      <c r="A29" s="122" t="s">
        <v>484</v>
      </c>
      <c r="B29" s="123" t="s">
        <v>11</v>
      </c>
      <c r="C29" s="124">
        <v>42429</v>
      </c>
      <c r="D29" s="125">
        <v>6548400000</v>
      </c>
      <c r="E29" s="125">
        <v>3606100000</v>
      </c>
      <c r="F29" s="125">
        <v>1177200000</v>
      </c>
      <c r="G29" s="125">
        <v>0</v>
      </c>
      <c r="H29" s="125">
        <v>0</v>
      </c>
      <c r="I29" s="123" t="s">
        <v>30</v>
      </c>
      <c r="J29" s="123" t="s">
        <v>485</v>
      </c>
      <c r="K29" s="125">
        <v>2942300000</v>
      </c>
      <c r="L29" s="125">
        <v>1177200000</v>
      </c>
      <c r="M29" s="126">
        <v>1765100000</v>
      </c>
    </row>
    <row r="30" spans="1:13" x14ac:dyDescent="0.25">
      <c r="A30" s="120" t="s">
        <v>492</v>
      </c>
      <c r="B30" s="121" t="s">
        <v>11</v>
      </c>
      <c r="C30" s="131">
        <v>42553</v>
      </c>
      <c r="D30" s="132">
        <v>50366919000</v>
      </c>
      <c r="E30" s="132">
        <v>41326447000</v>
      </c>
      <c r="F30" s="132">
        <v>0</v>
      </c>
      <c r="G30" s="132">
        <v>0</v>
      </c>
      <c r="H30" s="132">
        <v>0</v>
      </c>
      <c r="I30" s="121" t="s">
        <v>30</v>
      </c>
      <c r="J30" s="121" t="s">
        <v>493</v>
      </c>
      <c r="K30" s="132">
        <v>9040472000</v>
      </c>
      <c r="L30" s="132">
        <v>0</v>
      </c>
      <c r="M30" s="133">
        <v>9040472000</v>
      </c>
    </row>
    <row r="31" spans="1:13" x14ac:dyDescent="0.25">
      <c r="A31" s="122" t="s">
        <v>495</v>
      </c>
      <c r="B31" s="123" t="s">
        <v>11</v>
      </c>
      <c r="C31" s="124">
        <v>42735</v>
      </c>
      <c r="D31" s="125">
        <v>4885000000</v>
      </c>
      <c r="E31" s="125">
        <v>3003100000</v>
      </c>
      <c r="F31" s="125">
        <v>1597300000</v>
      </c>
      <c r="G31" s="125">
        <v>0</v>
      </c>
      <c r="H31" s="125">
        <v>0</v>
      </c>
      <c r="I31" s="123" t="s">
        <v>30</v>
      </c>
      <c r="J31" s="123" t="s">
        <v>496</v>
      </c>
      <c r="K31" s="125">
        <v>1881900000</v>
      </c>
      <c r="L31" s="125">
        <v>1597300000</v>
      </c>
      <c r="M31" s="126">
        <v>284600000</v>
      </c>
    </row>
    <row r="32" spans="1:13" x14ac:dyDescent="0.25">
      <c r="A32" s="120" t="s">
        <v>512</v>
      </c>
      <c r="B32" s="121" t="s">
        <v>11</v>
      </c>
      <c r="C32" s="131">
        <v>42644</v>
      </c>
      <c r="D32" s="132">
        <v>36881000000</v>
      </c>
      <c r="E32" s="132">
        <v>32184000000</v>
      </c>
      <c r="F32" s="132">
        <v>1864000000</v>
      </c>
      <c r="G32" s="132">
        <v>0</v>
      </c>
      <c r="H32" s="132">
        <v>0</v>
      </c>
      <c r="I32" s="121" t="s">
        <v>30</v>
      </c>
      <c r="J32" s="121" t="s">
        <v>118</v>
      </c>
      <c r="K32" s="132">
        <v>4697000000</v>
      </c>
      <c r="L32" s="132">
        <v>1864000000</v>
      </c>
      <c r="M32" s="133">
        <v>2833000000</v>
      </c>
    </row>
    <row r="33" spans="1:13" x14ac:dyDescent="0.25">
      <c r="A33" s="122" t="s">
        <v>545</v>
      </c>
      <c r="B33" s="123" t="s">
        <v>11</v>
      </c>
      <c r="C33" s="124">
        <v>42638</v>
      </c>
      <c r="D33" s="125">
        <v>15724000000</v>
      </c>
      <c r="E33" s="125">
        <v>10313000000</v>
      </c>
      <c r="F33" s="125">
        <v>4477000000</v>
      </c>
      <c r="G33" s="125">
        <v>0</v>
      </c>
      <c r="H33" s="125">
        <v>0</v>
      </c>
      <c r="I33" s="123" t="s">
        <v>30</v>
      </c>
      <c r="J33" s="123" t="s">
        <v>340</v>
      </c>
      <c r="K33" s="125">
        <v>5411000000</v>
      </c>
      <c r="L33" s="125">
        <v>4477000000</v>
      </c>
      <c r="M33" s="126">
        <v>934000000</v>
      </c>
    </row>
    <row r="34" spans="1:13" x14ac:dyDescent="0.25">
      <c r="A34" s="120" t="s">
        <v>550</v>
      </c>
      <c r="B34" s="121" t="s">
        <v>11</v>
      </c>
      <c r="C34" s="131">
        <v>42400</v>
      </c>
      <c r="D34" s="132">
        <v>482130000000</v>
      </c>
      <c r="E34" s="132">
        <v>360984000000</v>
      </c>
      <c r="F34" s="132">
        <v>97041000000</v>
      </c>
      <c r="G34" s="132">
        <v>0</v>
      </c>
      <c r="H34" s="132">
        <v>0</v>
      </c>
      <c r="I34" s="121" t="s">
        <v>30</v>
      </c>
      <c r="J34" s="121" t="s">
        <v>162</v>
      </c>
      <c r="K34" s="132">
        <v>121146000000</v>
      </c>
      <c r="L34" s="132">
        <v>97041000000</v>
      </c>
      <c r="M34" s="133">
        <v>24105000000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3B13D8D-E715-42D5-94EA-1F59F4AB7B2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13</vt:i4>
      </vt:variant>
    </vt:vector>
  </HeadingPairs>
  <TitlesOfParts>
    <vt:vector size="29" baseType="lpstr">
      <vt:lpstr>Overview of Sectors</vt:lpstr>
      <vt:lpstr>projectdata-nyse</vt:lpstr>
      <vt:lpstr>Question 1</vt:lpstr>
      <vt:lpstr>Question 2</vt:lpstr>
      <vt:lpstr>PNL Statement Dashboard</vt:lpstr>
      <vt:lpstr>PNL Forecast (Year 5 &amp; 6)</vt:lpstr>
      <vt:lpstr>Question 3</vt:lpstr>
      <vt:lpstr>IT Pivot Table</vt:lpstr>
      <vt:lpstr>IGNORE &gt;</vt:lpstr>
      <vt:lpstr>For Drop down</vt:lpstr>
      <vt:lpstr>Consumer Discretionary</vt:lpstr>
      <vt:lpstr>Consumer Staples</vt:lpstr>
      <vt:lpstr>IT</vt:lpstr>
      <vt:lpstr>HC Avg Op exp</vt:lpstr>
      <vt:lpstr>E Avg Op Exp</vt:lpstr>
      <vt:lpstr>CS Avg Op Exp</vt:lpstr>
      <vt:lpstr>Case</vt:lpstr>
      <vt:lpstr>COGS</vt:lpstr>
      <vt:lpstr>CSOPEXP</vt:lpstr>
      <vt:lpstr>EOPEXP</vt:lpstr>
      <vt:lpstr>HCOPEXP</vt:lpstr>
      <vt:lpstr>op_exp</vt:lpstr>
      <vt:lpstr>RND</vt:lpstr>
      <vt:lpstr>SGAs</vt:lpstr>
      <vt:lpstr>ticker_symbol</vt:lpstr>
      <vt:lpstr>TICKETSYMBOL</vt:lpstr>
      <vt:lpstr>total_rev</vt:lpstr>
      <vt:lpstr>year</vt:lpstr>
      <vt:lpstr>yr</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c4194</dc:creator>
  <cp:lastModifiedBy>c4194</cp:lastModifiedBy>
  <dcterms:created xsi:type="dcterms:W3CDTF">2024-12-01T18:52:26Z</dcterms:created>
  <dcterms:modified xsi:type="dcterms:W3CDTF">2025-01-17T19:17:55Z</dcterms:modified>
</cp:coreProperties>
</file>